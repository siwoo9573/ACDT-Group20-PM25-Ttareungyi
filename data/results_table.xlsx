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쉬는날-근무일 차이" sheetId="1" state="visible" r:id="rId3"/>
    <sheet name="전체결과" sheetId="2" state="visible" r:id="rId4"/>
    <sheet name="설정·주의" sheetId="3" state="visible" r:id="rId5"/>
  </sheets>
  <definedNames>
    <definedName function="false" hidden="true" localSheetId="0" name="_xlnm._FilterDatabase" vbProcedure="false">'쉬는날-근무일 차이'!$A$1:$O$25</definedName>
    <definedName function="false" hidden="true" localSheetId="1" name="_xlnm._FilterDatabase" vbProcedure="false">전체결과!$A$1:$U$61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<sst xmlns="http://schemas.openxmlformats.org/spreadsheetml/2006/main" count="544" uniqueCount="75">
  <si>
    <t xml:space="preserve">블록</t>
  </si>
  <si>
    <t xml:space="preserve">Y</t>
  </si>
  <si>
    <t xml:space="preserve">학습기</t>
  </si>
  <si>
    <t xml:space="preserve">통제변수</t>
  </si>
  <si>
    <t xml:space="preserve">fold</t>
  </si>
  <si>
    <r>
      <rPr>
        <b val="true"/>
        <sz val="11"/>
        <rFont val="Arial"/>
        <family val="0"/>
        <charset val="1"/>
      </rPr>
      <t xml:space="preserve">θ </t>
    </r>
    <r>
      <rPr>
        <b val="true"/>
        <sz val="11"/>
        <rFont val="Noto Sans CJK SC"/>
        <family val="2"/>
      </rPr>
      <t xml:space="preserve">쉬는날</t>
    </r>
  </si>
  <si>
    <r>
      <rPr>
        <b val="true"/>
        <sz val="11"/>
        <rFont val="Arial"/>
        <family val="0"/>
        <charset val="1"/>
      </rPr>
      <t xml:space="preserve">SE </t>
    </r>
    <r>
      <rPr>
        <b val="true"/>
        <sz val="11"/>
        <rFont val="Noto Sans CJK SC"/>
        <family val="2"/>
      </rPr>
      <t xml:space="preserve">쉬는날</t>
    </r>
  </si>
  <si>
    <r>
      <rPr>
        <b val="true"/>
        <sz val="11"/>
        <rFont val="Arial"/>
        <family val="0"/>
        <charset val="1"/>
      </rPr>
      <t xml:space="preserve">θ </t>
    </r>
    <r>
      <rPr>
        <b val="true"/>
        <sz val="11"/>
        <rFont val="Noto Sans CJK SC"/>
        <family val="2"/>
      </rPr>
      <t xml:space="preserve">근무일</t>
    </r>
  </si>
  <si>
    <r>
      <rPr>
        <b val="true"/>
        <sz val="11"/>
        <rFont val="Arial"/>
        <family val="0"/>
        <charset val="1"/>
      </rPr>
      <t xml:space="preserve">SE </t>
    </r>
    <r>
      <rPr>
        <b val="true"/>
        <sz val="11"/>
        <rFont val="Noto Sans CJK SC"/>
        <family val="2"/>
      </rPr>
      <t xml:space="preserve">근무일</t>
    </r>
  </si>
  <si>
    <r>
      <rPr>
        <b val="true"/>
        <sz val="11"/>
        <rFont val="Noto Sans CJK SC"/>
        <family val="2"/>
      </rPr>
      <t xml:space="preserve">차이 </t>
    </r>
    <r>
      <rPr>
        <b val="true"/>
        <sz val="11"/>
        <rFont val="Arial"/>
        <family val="0"/>
        <charset val="1"/>
      </rPr>
      <t xml:space="preserve">θ</t>
    </r>
    <r>
      <rPr>
        <b val="true"/>
        <sz val="11"/>
        <rFont val="Noto Sans CJK SC"/>
        <family val="2"/>
      </rPr>
      <t xml:space="preserve">쉬는날−</t>
    </r>
    <r>
      <rPr>
        <b val="true"/>
        <sz val="11"/>
        <rFont val="Arial"/>
        <family val="0"/>
        <charset val="1"/>
      </rPr>
      <t xml:space="preserve">θ</t>
    </r>
    <r>
      <rPr>
        <b val="true"/>
        <sz val="11"/>
        <rFont val="Noto Sans CJK SC"/>
        <family val="2"/>
      </rPr>
      <t xml:space="preserve">근무일</t>
    </r>
  </si>
  <si>
    <r>
      <rPr>
        <b val="true"/>
        <sz val="11"/>
        <rFont val="Arial"/>
        <family val="0"/>
        <charset val="1"/>
      </rPr>
      <t xml:space="preserve">SE </t>
    </r>
    <r>
      <rPr>
        <b val="true"/>
        <sz val="11"/>
        <rFont val="Noto Sans CJK SC"/>
        <family val="2"/>
      </rPr>
      <t xml:space="preserve">차이 </t>
    </r>
    <r>
      <rPr>
        <b val="true"/>
        <sz val="11"/>
        <rFont val="Arial"/>
        <family val="0"/>
        <charset val="1"/>
      </rPr>
      <t xml:space="preserve">= √(SE₁²+SE₂²)</t>
    </r>
  </si>
  <si>
    <r>
      <rPr>
        <b val="true"/>
        <sz val="11"/>
        <rFont val="Arial"/>
        <family val="0"/>
        <charset val="1"/>
      </rPr>
      <t xml:space="preserve">95% CI </t>
    </r>
    <r>
      <rPr>
        <b val="true"/>
        <sz val="11"/>
        <rFont val="Noto Sans CJK SC"/>
        <family val="2"/>
      </rPr>
      <t xml:space="preserve">하한</t>
    </r>
  </si>
  <si>
    <r>
      <rPr>
        <b val="true"/>
        <sz val="11"/>
        <rFont val="Arial"/>
        <family val="0"/>
        <charset val="1"/>
      </rPr>
      <t xml:space="preserve">95% CI </t>
    </r>
    <r>
      <rPr>
        <b val="true"/>
        <sz val="11"/>
        <rFont val="Noto Sans CJK SC"/>
        <family val="2"/>
      </rPr>
      <t xml:space="preserve">상한</t>
    </r>
  </si>
  <si>
    <r>
      <rPr>
        <b val="true"/>
        <sz val="11"/>
        <rFont val="Arial"/>
        <family val="0"/>
        <charset val="1"/>
      </rPr>
      <t xml:space="preserve">p</t>
    </r>
    <r>
      <rPr>
        <b val="true"/>
        <sz val="11"/>
        <rFont val="Noto Sans CJK SC"/>
        <family val="2"/>
      </rPr>
      <t xml:space="preserve">값</t>
    </r>
  </si>
  <si>
    <t xml:space="preserve">해석</t>
  </si>
  <si>
    <t xml:space="preserve">핵심</t>
  </si>
  <si>
    <t xml:space="preserve">R500</t>
  </si>
  <si>
    <t xml:space="preserve">RF</t>
  </si>
  <si>
    <t xml:space="preserve">습도포함</t>
  </si>
  <si>
    <t xml:space="preserve">랜덤</t>
  </si>
  <si>
    <t xml:space="preserve">습도제외</t>
  </si>
  <si>
    <t xml:space="preserve">GB</t>
  </si>
  <si>
    <t xml:space="preserve">R2</t>
  </si>
  <si>
    <t xml:space="preserve">보강</t>
  </si>
  <si>
    <t xml:space="preserve">R1km</t>
  </si>
  <si>
    <t xml:space="preserve">R500_panel</t>
  </si>
  <si>
    <t xml:space="preserve">R500_noTrib</t>
  </si>
  <si>
    <t xml:space="preserve">ln_h500</t>
  </si>
  <si>
    <t xml:space="preserve">일조추가</t>
  </si>
  <si>
    <r>
      <rPr>
        <sz val="11"/>
        <color theme="1"/>
        <rFont val="Noto Sans CJK SC"/>
        <family val="2"/>
      </rPr>
      <t xml:space="preserve">습도포함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일조</t>
    </r>
  </si>
  <si>
    <r>
      <rPr>
        <sz val="11"/>
        <color theme="1"/>
        <rFont val="Noto Sans CJK SC"/>
        <family val="2"/>
      </rPr>
      <t xml:space="preserve">시간순</t>
    </r>
    <r>
      <rPr>
        <sz val="11"/>
        <color theme="1"/>
        <rFont val="Calibri"/>
        <family val="2"/>
        <charset val="1"/>
      </rPr>
      <t xml:space="preserve">fold</t>
    </r>
  </si>
  <si>
    <t xml:space="preserve">시간순</t>
  </si>
  <si>
    <t xml:space="preserve">표본</t>
  </si>
  <si>
    <t xml:space="preserve">n</t>
  </si>
  <si>
    <r>
      <rPr>
        <b val="true"/>
        <sz val="11"/>
        <rFont val="Arial"/>
        <family val="0"/>
        <charset val="1"/>
      </rPr>
      <t xml:space="preserve">θ (</t>
    </r>
    <r>
      <rPr>
        <b val="true"/>
        <sz val="11"/>
        <rFont val="Noto Sans CJK SC"/>
        <family val="2"/>
      </rPr>
      <t xml:space="preserve">로그단위</t>
    </r>
    <r>
      <rPr>
        <b val="true"/>
        <sz val="11"/>
        <rFont val="Arial"/>
        <family val="0"/>
        <charset val="1"/>
      </rPr>
      <t xml:space="preserve">)</t>
    </r>
  </si>
  <si>
    <t xml:space="preserve">SE</t>
  </si>
  <si>
    <r>
      <rPr>
        <b val="true"/>
        <sz val="11"/>
        <rFont val="Noto Sans CJK SC"/>
        <family val="2"/>
      </rPr>
      <t xml:space="preserve">효과 </t>
    </r>
    <r>
      <rPr>
        <b val="true"/>
        <sz val="11"/>
        <rFont val="Arial"/>
        <family val="0"/>
        <charset val="1"/>
      </rPr>
      <t xml:space="preserve">(%)</t>
    </r>
  </si>
  <si>
    <r>
      <rPr>
        <b val="true"/>
        <sz val="11"/>
        <rFont val="Arial"/>
        <family val="0"/>
        <charset val="1"/>
      </rPr>
      <t xml:space="preserve">CI </t>
    </r>
    <r>
      <rPr>
        <b val="true"/>
        <sz val="11"/>
        <rFont val="Noto Sans CJK SC"/>
        <family val="2"/>
      </rPr>
      <t xml:space="preserve">하한 </t>
    </r>
    <r>
      <rPr>
        <b val="true"/>
        <sz val="11"/>
        <rFont val="Arial"/>
        <family val="0"/>
        <charset val="1"/>
      </rPr>
      <t xml:space="preserve">(%)</t>
    </r>
  </si>
  <si>
    <r>
      <rPr>
        <b val="true"/>
        <sz val="11"/>
        <rFont val="Arial"/>
        <family val="0"/>
        <charset val="1"/>
      </rPr>
      <t xml:space="preserve">CI </t>
    </r>
    <r>
      <rPr>
        <b val="true"/>
        <sz val="11"/>
        <rFont val="Noto Sans CJK SC"/>
        <family val="2"/>
      </rPr>
      <t xml:space="preserve">상한 </t>
    </r>
    <r>
      <rPr>
        <b val="true"/>
        <sz val="11"/>
        <rFont val="Arial"/>
        <family val="0"/>
        <charset val="1"/>
      </rPr>
      <t xml:space="preserve">(%)</t>
    </r>
  </si>
  <si>
    <t xml:space="preserve">SE (HAC)</t>
  </si>
  <si>
    <r>
      <rPr>
        <b val="true"/>
        <sz val="11"/>
        <rFont val="Arial"/>
        <family val="0"/>
        <charset val="1"/>
      </rPr>
      <t xml:space="preserve">p</t>
    </r>
    <r>
      <rPr>
        <b val="true"/>
        <sz val="11"/>
        <rFont val="Noto Sans CJK SC"/>
        <family val="2"/>
      </rPr>
      <t xml:space="preserve">값 </t>
    </r>
    <r>
      <rPr>
        <b val="true"/>
        <sz val="11"/>
        <rFont val="Arial"/>
        <family val="0"/>
        <charset val="1"/>
      </rPr>
      <t xml:space="preserve">(HAC)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</si>
  <si>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단계 </t>
    </r>
    <r>
      <rPr>
        <b val="true"/>
        <sz val="11"/>
        <rFont val="Arial"/>
        <family val="0"/>
        <charset val="1"/>
      </rPr>
      <t xml:space="preserve">R² (Y)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</si>
  <si>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단계 </t>
    </r>
    <r>
      <rPr>
        <b val="true"/>
        <sz val="11"/>
        <rFont val="Arial"/>
        <family val="0"/>
        <charset val="1"/>
      </rPr>
      <t xml:space="preserve">R² (PM2.5)</t>
    </r>
  </si>
  <si>
    <r>
      <rPr>
        <b val="true"/>
        <sz val="11"/>
        <rFont val="Arial"/>
        <family val="0"/>
        <charset val="1"/>
      </rPr>
      <t xml:space="preserve">θ seed</t>
    </r>
    <r>
      <rPr>
        <b val="true"/>
        <sz val="11"/>
        <rFont val="Noto Sans CJK SC"/>
        <family val="2"/>
      </rPr>
      <t xml:space="preserve">최소</t>
    </r>
  </si>
  <si>
    <r>
      <rPr>
        <b val="true"/>
        <sz val="11"/>
        <rFont val="Arial"/>
        <family val="0"/>
        <charset val="1"/>
      </rPr>
      <t xml:space="preserve">θ seed</t>
    </r>
    <r>
      <rPr>
        <b val="true"/>
        <sz val="11"/>
        <rFont val="Noto Sans CJK SC"/>
        <family val="2"/>
      </rPr>
      <t xml:space="preserve">최대</t>
    </r>
  </si>
  <si>
    <t xml:space="preserve">쉬는날</t>
  </si>
  <si>
    <t xml:space="preserve">근무일</t>
  </si>
  <si>
    <t xml:space="preserve">ln_total</t>
  </si>
  <si>
    <t xml:space="preserve">전체</t>
  </si>
  <si>
    <r>
      <rPr>
        <sz val="11"/>
        <color theme="1"/>
        <rFont val="Noto Sans CJK SC"/>
        <family val="2"/>
      </rPr>
      <t xml:space="preserve">습도제외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일조</t>
    </r>
  </si>
  <si>
    <r>
      <rPr>
        <sz val="11"/>
        <color theme="1"/>
        <rFont val="Noto Sans CJK SC"/>
        <family val="2"/>
      </rPr>
      <t xml:space="preserve">기준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전체</t>
    </r>
    <r>
      <rPr>
        <sz val="11"/>
        <color theme="1"/>
        <rFont val="Calibri"/>
        <family val="2"/>
        <charset val="1"/>
      </rPr>
      <t xml:space="preserve">)</t>
    </r>
  </si>
  <si>
    <t xml:space="preserve">항목</t>
  </si>
  <si>
    <t xml:space="preserve">내용</t>
  </si>
  <si>
    <t xml:space="preserve">모형</t>
  </si>
  <si>
    <r>
      <rPr>
        <sz val="11"/>
        <color theme="1"/>
        <rFont val="Calibri"/>
        <family val="2"/>
        <charset val="1"/>
      </rPr>
      <t xml:space="preserve">Partially linear DML: Y = θ·D + g(X) + e, D = m(X) + v. 5-fold cross-fitting, seed 0–4 </t>
    </r>
    <r>
      <rPr>
        <sz val="11"/>
        <color theme="1"/>
        <rFont val="Noto Sans CJK SC"/>
        <family val="2"/>
      </rPr>
      <t xml:space="preserve">중앙값 </t>
    </r>
    <r>
      <rPr>
        <sz val="11"/>
        <color theme="1"/>
        <rFont val="Calibri"/>
        <family val="2"/>
        <charset val="1"/>
      </rPr>
      <t xml:space="preserve">(SE = √median(SE_s² + (θ_s−θ)²), Chernozhukov et al. 2018)</t>
    </r>
  </si>
  <si>
    <r>
      <rPr>
        <b val="true"/>
        <sz val="11"/>
        <rFont val="Noto Sans CJK SC"/>
        <family val="2"/>
      </rPr>
      <t xml:space="preserve">처치 </t>
    </r>
    <r>
      <rPr>
        <b val="true"/>
        <sz val="11"/>
        <rFont val="Arial"/>
        <family val="0"/>
        <charset val="1"/>
      </rPr>
      <t xml:space="preserve">D</t>
    </r>
  </si>
  <si>
    <r>
      <rPr>
        <sz val="11"/>
        <color theme="1"/>
        <rFont val="Noto Sans CJK SC"/>
        <family val="2"/>
      </rPr>
      <t xml:space="preserve">서울 </t>
    </r>
    <r>
      <rPr>
        <sz val="11"/>
        <color theme="1"/>
        <rFont val="Calibri"/>
        <family val="2"/>
        <charset val="1"/>
      </rPr>
      <t xml:space="preserve">PM2.5 </t>
    </r>
    <r>
      <rPr>
        <sz val="11"/>
        <color theme="1"/>
        <rFont val="Noto Sans CJK SC"/>
        <family val="2"/>
      </rPr>
      <t xml:space="preserve">일평균 </t>
    </r>
    <r>
      <rPr>
        <sz val="11"/>
        <color theme="1"/>
        <rFont val="Calibri"/>
        <family val="2"/>
        <charset val="1"/>
      </rPr>
      <t xml:space="preserve">÷ 10 → θ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PM2.5 +10 µg/m³</t>
    </r>
    <r>
      <rPr>
        <sz val="11"/>
        <color theme="1"/>
        <rFont val="Noto Sans CJK SC"/>
        <family val="2"/>
      </rPr>
      <t xml:space="preserve">당 효과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로그단위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효과</t>
    </r>
    <r>
      <rPr>
        <sz val="11"/>
        <color theme="1"/>
        <rFont val="Calibri"/>
        <family val="2"/>
        <charset val="1"/>
      </rPr>
      <t xml:space="preserve">(%) = e^θ − 1</t>
    </r>
  </si>
  <si>
    <r>
      <rPr>
        <b val="true"/>
        <sz val="11"/>
        <rFont val="Noto Sans CJK SC"/>
        <family val="2"/>
      </rPr>
      <t xml:space="preserve">통제 </t>
    </r>
    <r>
      <rPr>
        <b val="true"/>
        <sz val="11"/>
        <rFont val="Arial"/>
        <family val="0"/>
        <charset val="1"/>
      </rPr>
      <t xml:space="preserve">X (</t>
    </r>
    <r>
      <rPr>
        <b val="true"/>
        <sz val="11"/>
        <rFont val="Noto Sans CJK SC"/>
        <family val="2"/>
      </rPr>
      <t xml:space="preserve">기본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</si>
  <si>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Week 4 </t>
    </r>
    <r>
      <rPr>
        <sz val="11"/>
        <color theme="1"/>
        <rFont val="Noto Sans CJK SC"/>
        <family val="2"/>
      </rPr>
      <t xml:space="preserve">노트북 </t>
    </r>
    <r>
      <rPr>
        <sz val="11"/>
        <color theme="1"/>
        <rFont val="Calibri"/>
        <family val="2"/>
        <charset val="1"/>
      </rPr>
      <t xml:space="preserve">Xmat</t>
    </r>
    <r>
      <rPr>
        <sz val="11"/>
        <color theme="1"/>
        <rFont val="Noto Sans CJK SC"/>
        <family val="2"/>
      </rPr>
      <t xml:space="preserve">과 동일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평균기온</t>
    </r>
    <r>
      <rPr>
        <sz val="11"/>
        <color theme="1"/>
        <rFont val="Calibri"/>
        <family val="2"/>
        <charset val="1"/>
      </rPr>
      <t xml:space="preserve">, rain_mm, rain_day, </t>
    </r>
    <r>
      <rPr>
        <sz val="11"/>
        <color theme="1"/>
        <rFont val="Noto Sans CJK SC"/>
        <family val="2"/>
      </rPr>
      <t xml:space="preserve">평균풍속</t>
    </r>
    <r>
      <rPr>
        <sz val="11"/>
        <color theme="1"/>
        <rFont val="Calibri"/>
        <family val="2"/>
        <charset val="1"/>
      </rPr>
      <t xml:space="preserve">, snow_cm, Day_Off, </t>
    </r>
    <r>
      <rPr>
        <sz val="11"/>
        <color theme="1"/>
        <rFont val="Noto Sans CJK SC"/>
        <family val="2"/>
      </rPr>
      <t xml:space="preserve">요일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, day-of-year, </t>
    </r>
    <r>
      <rPr>
        <sz val="11"/>
        <color theme="1"/>
        <rFont val="Noto Sans CJK SC"/>
        <family val="2"/>
      </rPr>
      <t xml:space="preserve">연도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추세 </t>
    </r>
    <r>
      <rPr>
        <sz val="11"/>
        <color theme="1"/>
        <rFont val="Calibri"/>
        <family val="2"/>
        <charset val="1"/>
      </rPr>
      <t xml:space="preserve">t, </t>
    </r>
    <r>
      <rPr>
        <sz val="11"/>
        <color theme="1"/>
        <rFont val="Noto Sans CJK SC"/>
        <family val="2"/>
      </rPr>
      <t xml:space="preserve">평균습도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습도포함일 때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쉬는날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근무일 분리 시 </t>
    </r>
    <r>
      <rPr>
        <sz val="11"/>
        <color theme="1"/>
        <rFont val="Calibri"/>
        <family val="2"/>
        <charset val="1"/>
      </rPr>
      <t xml:space="preserve">Day_Off</t>
    </r>
    <r>
      <rPr>
        <sz val="11"/>
        <color theme="1"/>
        <rFont val="Noto Sans CJK SC"/>
        <family val="2"/>
      </rPr>
      <t xml:space="preserve">는 상수</t>
    </r>
  </si>
  <si>
    <r>
      <rPr>
        <sz val="11"/>
        <color theme="1"/>
        <rFont val="Noto Sans CJK SC"/>
        <family val="2"/>
      </rPr>
      <t xml:space="preserve">기본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합계 일조시간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합계 일사량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평균 전운량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일조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일사 공란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일 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일은 이미 풍속결측으로 제외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나머지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(2024-11-16, 2025-09-13) </t>
    </r>
    <r>
      <rPr>
        <sz val="11"/>
        <color theme="1"/>
        <rFont val="Noto Sans CJK SC"/>
        <family val="2"/>
      </rPr>
      <t xml:space="preserve">추가 제외 → 쉬는날 </t>
    </r>
    <r>
      <rPr>
        <sz val="11"/>
        <color theme="1"/>
        <rFont val="Calibri"/>
        <family val="2"/>
        <charset val="1"/>
      </rPr>
      <t xml:space="preserve">239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전체 </t>
    </r>
    <r>
      <rPr>
        <sz val="11"/>
        <color theme="1"/>
        <rFont val="Calibri"/>
        <family val="2"/>
        <charset val="1"/>
      </rPr>
      <t xml:space="preserve">725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</si>
  <si>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Week 4</t>
    </r>
    <r>
      <rPr>
        <sz val="11"/>
        <color theme="1"/>
        <rFont val="Noto Sans CJK SC"/>
        <family val="2"/>
      </rPr>
      <t xml:space="preserve">와 동일 — </t>
    </r>
    <r>
      <rPr>
        <sz val="11"/>
        <color theme="1"/>
        <rFont val="Calibri"/>
        <family val="2"/>
        <charset val="1"/>
      </rPr>
      <t xml:space="preserve">RF: 500 trees, min_samples_leaf=5 / GB: 300 trees, lr=0.05, depth=3, subsample=0.8</t>
    </r>
  </si>
  <si>
    <r>
      <rPr>
        <sz val="11"/>
        <color theme="1"/>
        <rFont val="Calibri"/>
        <family val="2"/>
        <charset val="1"/>
      </rPr>
      <t xml:space="preserve">727</t>
    </r>
    <r>
      <rPr>
        <sz val="11"/>
        <color theme="1"/>
        <rFont val="Noto Sans CJK SC"/>
        <family val="2"/>
      </rPr>
      <t xml:space="preserve">일 </t>
    </r>
    <r>
      <rPr>
        <sz val="11"/>
        <color theme="1"/>
        <rFont val="Calibri"/>
        <family val="2"/>
        <charset val="1"/>
      </rPr>
      <t xml:space="preserve">= 731</t>
    </r>
    <r>
      <rPr>
        <sz val="11"/>
        <color theme="1"/>
        <rFont val="Noto Sans CJK SC"/>
        <family val="2"/>
      </rPr>
      <t xml:space="preserve">일 − 풍속결측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(2024-03-11,12,14) − 2025-02-28(</t>
    </r>
    <r>
      <rPr>
        <sz val="11"/>
        <color theme="1"/>
        <rFont val="Noto Sans CJK SC"/>
        <family val="2"/>
      </rPr>
      <t xml:space="preserve">원자료 절단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쉬는날</t>
    </r>
    <r>
      <rPr>
        <sz val="11"/>
        <color theme="1"/>
        <rFont val="Calibri"/>
        <family val="2"/>
        <charset val="1"/>
      </rPr>
      <t xml:space="preserve">(Day_Off=1) 241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근무일 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Noto Sans CJK SC"/>
        <family val="2"/>
      </rPr>
      <t xml:space="preserve">일</t>
    </r>
  </si>
  <si>
    <r>
      <rPr>
        <b val="true"/>
        <sz val="11"/>
        <rFont val="Arial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정의</t>
    </r>
  </si>
  <si>
    <r>
      <rPr>
        <sz val="11"/>
        <color theme="1"/>
        <rFont val="Calibri"/>
        <family val="2"/>
        <charset val="1"/>
      </rPr>
      <t xml:space="preserve">R500 = ln(</t>
    </r>
    <r>
      <rPr>
        <sz val="11"/>
        <color theme="1"/>
        <rFont val="Noto Sans CJK SC"/>
        <family val="2"/>
      </rPr>
      <t xml:space="preserve">한강</t>
    </r>
    <r>
      <rPr>
        <sz val="11"/>
        <color theme="1"/>
        <rFont val="Calibri"/>
        <family val="2"/>
        <charset val="1"/>
      </rPr>
      <t xml:space="preserve">500) − ln(</t>
    </r>
    <r>
      <rPr>
        <sz val="11"/>
        <color theme="1"/>
        <rFont val="Noto Sans CJK SC"/>
        <family val="2"/>
      </rPr>
      <t xml:space="preserve">그외</t>
    </r>
    <r>
      <rPr>
        <sz val="11"/>
        <color theme="1"/>
        <rFont val="Calibri"/>
        <family val="2"/>
        <charset val="1"/>
      </rPr>
      <t xml:space="preserve">500); R1km </t>
    </r>
    <r>
      <rPr>
        <sz val="11"/>
        <color theme="1"/>
        <rFont val="Noto Sans CJK SC"/>
        <family val="2"/>
      </rPr>
      <t xml:space="preserve">동일</t>
    </r>
    <r>
      <rPr>
        <sz val="11"/>
        <color theme="1"/>
        <rFont val="Calibri"/>
        <family val="2"/>
        <charset val="1"/>
      </rPr>
      <t xml:space="preserve">(1km); R500_panel = panel_all5=1 </t>
    </r>
    <r>
      <rPr>
        <sz val="11"/>
        <color theme="1"/>
        <rFont val="Noto Sans CJK SC"/>
        <family val="2"/>
      </rPr>
      <t xml:space="preserve">대여소만</t>
    </r>
    <r>
      <rPr>
        <sz val="11"/>
        <color theme="1"/>
        <rFont val="Calibri"/>
        <family val="2"/>
        <charset val="1"/>
      </rPr>
      <t xml:space="preserve">; R500_noTrib = </t>
    </r>
    <r>
      <rPr>
        <sz val="11"/>
        <color theme="1"/>
        <rFont val="Noto Sans CJK SC"/>
        <family val="2"/>
      </rPr>
      <t xml:space="preserve">지류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(227,556,3550,3761,3794) </t>
    </r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; R2 = ln(</t>
    </r>
    <r>
      <rPr>
        <sz val="11"/>
        <color theme="1"/>
        <rFont val="Noto Sans CJK SC"/>
        <family val="2"/>
      </rPr>
      <t xml:space="preserve">왕복</t>
    </r>
    <r>
      <rPr>
        <sz val="11"/>
        <color theme="1"/>
        <rFont val="Calibri"/>
        <family val="2"/>
        <charset val="1"/>
      </rPr>
      <t xml:space="preserve">) − ln(</t>
    </r>
    <r>
      <rPr>
        <sz val="11"/>
        <color theme="1"/>
        <rFont val="Noto Sans CJK SC"/>
        <family val="2"/>
      </rPr>
      <t xml:space="preserve">편도</t>
    </r>
    <r>
      <rPr>
        <sz val="11"/>
        <color theme="1"/>
        <rFont val="Calibri"/>
        <family val="2"/>
        <charset val="1"/>
      </rPr>
      <t xml:space="preserve">); ln_h500 = ln(</t>
    </r>
    <r>
      <rPr>
        <sz val="11"/>
        <color theme="1"/>
        <rFont val="Noto Sans CJK SC"/>
        <family val="2"/>
      </rPr>
      <t xml:space="preserve">한강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대여</t>
    </r>
    <r>
      <rPr>
        <sz val="11"/>
        <color theme="1"/>
        <rFont val="Calibri"/>
        <family val="2"/>
        <charset val="1"/>
      </rPr>
      <t xml:space="preserve">); ln_total = ln(</t>
    </r>
    <r>
      <rPr>
        <sz val="11"/>
        <color theme="1"/>
        <rFont val="Noto Sans CJK SC"/>
        <family val="2"/>
      </rPr>
      <t xml:space="preserve">서울 전체 대여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</si>
  <si>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R </t>
    </r>
    <r>
      <rPr>
        <b val="true"/>
        <sz val="11"/>
        <rFont val="Noto Sans CJK SC"/>
        <family val="2"/>
      </rPr>
      <t xml:space="preserve">변수 재계산</t>
    </r>
  </si>
  <si>
    <r>
      <rPr>
        <sz val="11"/>
        <color theme="1"/>
        <rFont val="Calibri"/>
        <family val="2"/>
        <charset val="1"/>
      </rPr>
      <t xml:space="preserve">v3 </t>
    </r>
    <r>
      <rPr>
        <sz val="11"/>
        <color theme="1"/>
        <rFont val="Noto Sans CJK SC"/>
        <family val="2"/>
      </rPr>
      <t xml:space="preserve">엑셀의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열은 수식이고 캐시값이 없어 </t>
    </r>
    <r>
      <rPr>
        <sz val="11"/>
        <color theme="1"/>
        <rFont val="Calibri"/>
        <family val="2"/>
        <charset val="1"/>
      </rPr>
      <t xml:space="preserve">pandas</t>
    </r>
    <r>
      <rPr>
        <sz val="11"/>
        <color theme="1"/>
        <rFont val="Noto Sans CJK SC"/>
        <family val="2"/>
      </rPr>
      <t xml:space="preserve">로 읽으면 빈칸 → 같은 정의로 </t>
    </r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CJK SC"/>
        <family val="2"/>
      </rPr>
      <t xml:space="preserve">에서 재계산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한강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그외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위치미상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총이용 검증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건 불일치</t>
    </r>
  </si>
  <si>
    <r>
      <rPr>
        <sz val="11"/>
        <color theme="1"/>
        <rFont val="Noto Sans CJK SC"/>
        <family val="2"/>
      </rPr>
      <t xml:space="preserve">직교 </t>
    </r>
    <r>
      <rPr>
        <sz val="11"/>
        <color theme="1"/>
        <rFont val="Calibri"/>
        <family val="2"/>
        <charset val="1"/>
      </rPr>
      <t xml:space="preserve">score</t>
    </r>
    <r>
      <rPr>
        <sz val="11"/>
        <color theme="1"/>
        <rFont val="Noto Sans CJK SC"/>
        <family val="2"/>
      </rPr>
      <t xml:space="preserve">에 </t>
    </r>
    <r>
      <rPr>
        <sz val="11"/>
        <color theme="1"/>
        <rFont val="Calibri"/>
        <family val="2"/>
        <charset val="1"/>
      </rPr>
      <t xml:space="preserve">Newey-West(lag=floor(4(n/100)^(2/9))) </t>
    </r>
    <r>
      <rPr>
        <sz val="11"/>
        <color theme="1"/>
        <rFont val="Noto Sans CJK SC"/>
        <family val="2"/>
      </rPr>
      <t xml:space="preserve">적용한 자기상관 보정 </t>
    </r>
    <r>
      <rPr>
        <sz val="11"/>
        <color theme="1"/>
        <rFont val="Calibri"/>
        <family val="2"/>
        <charset val="1"/>
      </rPr>
      <t xml:space="preserve">SE. </t>
    </r>
    <r>
      <rPr>
        <sz val="11"/>
        <color theme="1"/>
        <rFont val="Noto Sans CJK SC"/>
        <family val="2"/>
      </rPr>
      <t xml:space="preserve">쉬는날 표본은 날짜가 연속이 아니라 근사치</t>
    </r>
  </si>
  <si>
    <r>
      <rPr>
        <b val="true"/>
        <sz val="11"/>
        <rFont val="Noto Sans CJK SC"/>
        <family val="2"/>
      </rPr>
      <t xml:space="preserve">시간순 </t>
    </r>
    <r>
      <rPr>
        <b val="true"/>
        <sz val="11"/>
        <rFont val="Arial"/>
        <family val="0"/>
        <charset val="1"/>
      </rPr>
      <t xml:space="preserve">fold</t>
    </r>
  </si>
  <si>
    <r>
      <rPr>
        <sz val="11"/>
        <color theme="1"/>
        <rFont val="Noto Sans CJK SC"/>
        <family val="2"/>
      </rPr>
      <t xml:space="preserve">날짜순으로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개 연속 구간으로 나눔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셔플 없음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이웃 날짜 간 정보 누설 차단용 검증</t>
    </r>
  </si>
  <si>
    <t xml:space="preserve">재현 확인</t>
  </si>
  <si>
    <r>
      <rPr>
        <sz val="11"/>
        <color theme="1"/>
        <rFont val="Calibri"/>
        <family val="2"/>
        <charset val="1"/>
      </rPr>
      <t xml:space="preserve">Week 4 </t>
    </r>
    <r>
      <rPr>
        <sz val="11"/>
        <color theme="1"/>
        <rFont val="Noto Sans CJK SC"/>
        <family val="2"/>
      </rPr>
      <t xml:space="preserve">노트북 설정으로 서울 전체 </t>
    </r>
    <r>
      <rPr>
        <sz val="11"/>
        <color theme="1"/>
        <rFont val="Calibri"/>
        <family val="2"/>
        <charset val="1"/>
      </rPr>
      <t xml:space="preserve">RF·</t>
    </r>
    <r>
      <rPr>
        <sz val="11"/>
        <color theme="1"/>
        <rFont val="Noto Sans CJK SC"/>
        <family val="2"/>
      </rPr>
      <t xml:space="preserve">습도포함 재실행 </t>
    </r>
    <r>
      <rPr>
        <sz val="11"/>
        <color theme="1"/>
        <rFont val="Calibri"/>
        <family val="2"/>
        <charset val="1"/>
      </rPr>
      <t xml:space="preserve">= −0.32% (Week 4 </t>
    </r>
    <r>
      <rPr>
        <sz val="11"/>
        <color theme="1"/>
        <rFont val="Noto Sans CJK SC"/>
        <family val="2"/>
      </rPr>
      <t xml:space="preserve">보고 −</t>
    </r>
    <r>
      <rPr>
        <sz val="11"/>
        <color theme="1"/>
        <rFont val="Calibri"/>
        <family val="2"/>
        <charset val="1"/>
      </rPr>
      <t xml:space="preserve">0.315%). </t>
    </r>
    <r>
      <rPr>
        <sz val="11"/>
        <color theme="1"/>
        <rFont val="Noto Sans CJK SC"/>
        <family val="2"/>
      </rPr>
      <t xml:space="preserve">차이는 </t>
    </r>
    <r>
      <rPr>
        <sz val="11"/>
        <color theme="1"/>
        <rFont val="Calibri"/>
        <family val="2"/>
        <charset val="1"/>
      </rPr>
      <t xml:space="preserve">v2→v3 </t>
    </r>
    <r>
      <rPr>
        <sz val="11"/>
        <color theme="1"/>
        <rFont val="Noto Sans CJK SC"/>
        <family val="2"/>
      </rPr>
      <t xml:space="preserve">데이터 갱신 수준</t>
    </r>
  </si>
  <si>
    <r>
      <rPr>
        <b val="true"/>
        <sz val="11"/>
        <rFont val="Noto Sans CJK SC"/>
        <family val="2"/>
      </rPr>
      <t xml:space="preserve">시간순 </t>
    </r>
    <r>
      <rPr>
        <b val="true"/>
        <sz val="11"/>
        <rFont val="Arial"/>
        <family val="0"/>
        <charset val="1"/>
      </rPr>
      <t xml:space="preserve">fold </t>
    </r>
    <r>
      <rPr>
        <b val="true"/>
        <sz val="11"/>
        <rFont val="Noto Sans CJK SC"/>
        <family val="2"/>
      </rPr>
      <t xml:space="preserve">주의</t>
    </r>
  </si>
  <si>
    <r>
      <rPr>
        <sz val="11"/>
        <color theme="1"/>
        <rFont val="Calibri"/>
        <family val="2"/>
        <charset val="1"/>
      </rPr>
      <t xml:space="preserve">Week 4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seed 0·RF 1</t>
    </r>
    <r>
      <rPr>
        <sz val="11"/>
        <color theme="1"/>
        <rFont val="Noto Sans CJK SC"/>
        <family val="2"/>
      </rPr>
      <t xml:space="preserve">회만 실행</t>
    </r>
    <r>
      <rPr>
        <sz val="11"/>
        <color theme="1"/>
        <rFont val="Calibri"/>
        <family val="2"/>
        <charset val="1"/>
      </rPr>
      <t xml:space="preserve">(−1.46%). </t>
    </r>
    <r>
      <rPr>
        <sz val="11"/>
        <color theme="1"/>
        <rFont val="Noto Sans CJK SC"/>
        <family val="2"/>
      </rPr>
      <t xml:space="preserve">이번 표는 </t>
    </r>
    <r>
      <rPr>
        <sz val="11"/>
        <color theme="1"/>
        <rFont val="Calibri"/>
        <family val="2"/>
        <charset val="1"/>
      </rPr>
      <t xml:space="preserve">seed 5</t>
    </r>
    <r>
      <rPr>
        <sz val="11"/>
        <color theme="1"/>
        <rFont val="Noto Sans CJK SC"/>
        <family val="2"/>
      </rPr>
      <t xml:space="preserve">개 중앙값 → 서울 전체 </t>
    </r>
    <r>
      <rPr>
        <sz val="11"/>
        <color theme="1"/>
        <rFont val="Calibri"/>
        <family val="2"/>
        <charset val="1"/>
      </rPr>
      <t xml:space="preserve">RF −1.41% (p=0.09), GB +0.47% (p=0.51). Week 4</t>
    </r>
    <r>
      <rPr>
        <sz val="11"/>
        <color theme="1"/>
        <rFont val="Noto Sans CJK SC"/>
        <family val="2"/>
      </rPr>
      <t xml:space="preserve">의 −</t>
    </r>
    <r>
      <rPr>
        <sz val="11"/>
        <color theme="1"/>
        <rFont val="Calibri"/>
        <family val="2"/>
        <charset val="1"/>
      </rPr>
      <t xml:space="preserve">1.46%</t>
    </r>
    <r>
      <rPr>
        <sz val="11"/>
        <color theme="1"/>
        <rFont val="Noto Sans CJK SC"/>
        <family val="2"/>
      </rPr>
      <t xml:space="preserve">가 재현됨</t>
    </r>
  </si>
  <si>
    <t xml:space="preserve">색 규칙</t>
  </si>
  <si>
    <r>
      <rPr>
        <sz val="11"/>
        <color theme="1"/>
        <rFont val="Noto Sans CJK SC"/>
        <family val="2"/>
      </rPr>
      <t xml:space="preserve">파란 글씨 </t>
    </r>
    <r>
      <rPr>
        <sz val="11"/>
        <color theme="1"/>
        <rFont val="Calibri"/>
        <family val="2"/>
        <charset val="1"/>
      </rPr>
      <t xml:space="preserve">= Python</t>
    </r>
    <r>
      <rPr>
        <sz val="11"/>
        <color theme="1"/>
        <rFont val="Noto Sans CJK SC"/>
        <family val="2"/>
      </rPr>
      <t xml:space="preserve">에서 계산된 입력값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검은 글씨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엑셀 수식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초록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다른 시트 참조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</si>
</sst>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\+0.00%;\-0.00%;0.00%"/>
    <numFmt numFmtId="167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FFF2CC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9" min="6" style="0" width="10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3" min="12" style="0" width="10"/>
    <col collapsed="false" customWidth="true" hidden="false" outlineLevel="0" max="14" min="14" style="0" width="8"/>
    <col collapsed="false" customWidth="true" hidden="false" outlineLevel="0" max="15" min="15" style="0" width="18"/>
  </cols>
  <sheetData>
    <row r="1" customFormat="false" ht="4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customFormat="false" ht="17.15" hidden="false" customHeight="false" outlineLevel="0" collapsed="false">
      <c r="A2" s="3" t="s">
        <v>15</v>
      </c>
      <c r="B2" s="4" t="s">
        <v>16</v>
      </c>
      <c r="C2" s="4" t="s">
        <v>17</v>
      </c>
      <c r="D2" s="3" t="s">
        <v>18</v>
      </c>
      <c r="E2" s="3" t="s">
        <v>19</v>
      </c>
      <c r="F2" s="5" t="n">
        <f aca="false">전체결과!H2</f>
        <v>-0.00907224826546491</v>
      </c>
      <c r="G2" s="5" t="n">
        <f aca="false">전체결과!I2</f>
        <v>0.00934176386209616</v>
      </c>
      <c r="H2" s="5" t="n">
        <f aca="false">전체결과!H6</f>
        <v>-0.0117404784680697</v>
      </c>
      <c r="I2" s="5" t="n">
        <f aca="false">전체결과!I6</f>
        <v>0.00303541363234045</v>
      </c>
      <c r="J2" s="6" t="n">
        <f aca="false">F2-H2</f>
        <v>0.00266823020260474</v>
      </c>
      <c r="K2" s="6" t="n">
        <f aca="false">SQRT(G2^2+I2^2)</f>
        <v>0.00982253979246529</v>
      </c>
      <c r="L2" s="6" t="n">
        <f aca="false">J2-1.96*K2</f>
        <v>-0.0165839477906272</v>
      </c>
      <c r="M2" s="6" t="n">
        <f aca="false">J2+1.96*K2</f>
        <v>0.0219204081958367</v>
      </c>
      <c r="N2" s="6" t="n">
        <f aca="false">2*(1-NORMSDIST(ABS(J2/K2)))</f>
        <v>0.785896061245525</v>
      </c>
      <c r="O2" s="4" t="str">
        <f aca="false">IF(N2&lt;0.05,"차이 유의","차이 없음 (p≥0.05)")</f>
        <v>차이 없음 (p≥0.05)</v>
      </c>
    </row>
    <row r="3" customFormat="false" ht="17.15" hidden="false" customHeight="false" outlineLevel="0" collapsed="false">
      <c r="A3" s="3" t="s">
        <v>15</v>
      </c>
      <c r="B3" s="4" t="s">
        <v>16</v>
      </c>
      <c r="C3" s="4" t="s">
        <v>17</v>
      </c>
      <c r="D3" s="3" t="s">
        <v>20</v>
      </c>
      <c r="E3" s="3" t="s">
        <v>19</v>
      </c>
      <c r="F3" s="5" t="n">
        <f aca="false">전체결과!H3</f>
        <v>-0.0088846495620809</v>
      </c>
      <c r="G3" s="5" t="n">
        <f aca="false">전체결과!I3</f>
        <v>0.00883389875278516</v>
      </c>
      <c r="H3" s="5" t="n">
        <f aca="false">전체결과!H7</f>
        <v>-0.0113789645612674</v>
      </c>
      <c r="I3" s="5" t="n">
        <f aca="false">전체결과!I7</f>
        <v>0.00312896944342698</v>
      </c>
      <c r="J3" s="6" t="n">
        <f aca="false">F3-H3</f>
        <v>0.00249431499918652</v>
      </c>
      <c r="K3" s="6" t="n">
        <f aca="false">SQRT(G3^2+I3^2)</f>
        <v>0.00937167097973243</v>
      </c>
      <c r="L3" s="6" t="n">
        <f aca="false">J3-1.96*K3</f>
        <v>-0.015874160121089</v>
      </c>
      <c r="M3" s="6" t="n">
        <f aca="false">J3+1.96*K3</f>
        <v>0.0208627901194621</v>
      </c>
      <c r="N3" s="6" t="n">
        <f aca="false">2*(1-NORMSDIST(ABS(J3/K3)))</f>
        <v>0.790120009940295</v>
      </c>
      <c r="O3" s="4" t="str">
        <f aca="false">IF(N3&lt;0.05,"차이 유의","차이 없음 (p≥0.05)")</f>
        <v>차이 없음 (p≥0.05)</v>
      </c>
    </row>
    <row r="4" customFormat="false" ht="17.15" hidden="false" customHeight="false" outlineLevel="0" collapsed="false">
      <c r="A4" s="3" t="s">
        <v>15</v>
      </c>
      <c r="B4" s="4" t="s">
        <v>16</v>
      </c>
      <c r="C4" s="4" t="s">
        <v>21</v>
      </c>
      <c r="D4" s="3" t="s">
        <v>18</v>
      </c>
      <c r="E4" s="3" t="s">
        <v>19</v>
      </c>
      <c r="F4" s="5" t="n">
        <f aca="false">전체결과!H4</f>
        <v>-0.0058015626800814</v>
      </c>
      <c r="G4" s="5" t="n">
        <f aca="false">전체결과!I4</f>
        <v>0.00854931180150925</v>
      </c>
      <c r="H4" s="5" t="n">
        <f aca="false">전체결과!H8</f>
        <v>-0.0114438312779896</v>
      </c>
      <c r="I4" s="5" t="n">
        <f aca="false">전체결과!I8</f>
        <v>0.00270204966278617</v>
      </c>
      <c r="J4" s="6" t="n">
        <f aca="false">F4-H4</f>
        <v>0.00564226859790822</v>
      </c>
      <c r="K4" s="6" t="n">
        <f aca="false">SQRT(G4^2+I4^2)</f>
        <v>0.00896614770453779</v>
      </c>
      <c r="L4" s="6" t="n">
        <f aca="false">J4-1.96*K4</f>
        <v>-0.0119313809029858</v>
      </c>
      <c r="M4" s="6" t="n">
        <f aca="false">J4+1.96*K4</f>
        <v>0.0232159180988023</v>
      </c>
      <c r="N4" s="6" t="n">
        <f aca="false">2*(1-NORMSDIST(ABS(J4/K4)))</f>
        <v>0.529162026907312</v>
      </c>
      <c r="O4" s="4" t="str">
        <f aca="false">IF(N4&lt;0.05,"차이 유의","차이 없음 (p≥0.05)")</f>
        <v>차이 없음 (p≥0.05)</v>
      </c>
    </row>
    <row r="5" customFormat="false" ht="17.15" hidden="false" customHeight="false" outlineLevel="0" collapsed="false">
      <c r="A5" s="3" t="s">
        <v>15</v>
      </c>
      <c r="B5" s="4" t="s">
        <v>16</v>
      </c>
      <c r="C5" s="4" t="s">
        <v>21</v>
      </c>
      <c r="D5" s="3" t="s">
        <v>20</v>
      </c>
      <c r="E5" s="3" t="s">
        <v>19</v>
      </c>
      <c r="F5" s="5" t="n">
        <f aca="false">전체결과!H5</f>
        <v>-0.00758144726997218</v>
      </c>
      <c r="G5" s="5" t="n">
        <f aca="false">전체결과!I5</f>
        <v>0.00695565390732413</v>
      </c>
      <c r="H5" s="5" t="n">
        <f aca="false">전체결과!H9</f>
        <v>-0.0114725324673969</v>
      </c>
      <c r="I5" s="5" t="n">
        <f aca="false">전체결과!I9</f>
        <v>0.00293744320743446</v>
      </c>
      <c r="J5" s="6" t="n">
        <f aca="false">F5-H5</f>
        <v>0.00389108519742473</v>
      </c>
      <c r="K5" s="6" t="n">
        <f aca="false">SQRT(G5^2+I5^2)</f>
        <v>0.00755047640055754</v>
      </c>
      <c r="L5" s="6" t="n">
        <f aca="false">J5-1.96*K5</f>
        <v>-0.010907848547668</v>
      </c>
      <c r="M5" s="6" t="n">
        <f aca="false">J5+1.96*K5</f>
        <v>0.0186900189425175</v>
      </c>
      <c r="N5" s="6" t="n">
        <f aca="false">2*(1-NORMSDIST(ABS(J5/K5)))</f>
        <v>0.606313352438205</v>
      </c>
      <c r="O5" s="4" t="str">
        <f aca="false">IF(N5&lt;0.05,"차이 유의","차이 없음 (p≥0.05)")</f>
        <v>차이 없음 (p≥0.05)</v>
      </c>
    </row>
    <row r="6" customFormat="false" ht="17.15" hidden="false" customHeight="false" outlineLevel="0" collapsed="false">
      <c r="A6" s="3" t="s">
        <v>15</v>
      </c>
      <c r="B6" s="4" t="s">
        <v>22</v>
      </c>
      <c r="C6" s="4" t="s">
        <v>17</v>
      </c>
      <c r="D6" s="3" t="s">
        <v>18</v>
      </c>
      <c r="E6" s="3" t="s">
        <v>19</v>
      </c>
      <c r="F6" s="5" t="n">
        <f aca="false">전체결과!H10</f>
        <v>-0.00369778269310122</v>
      </c>
      <c r="G6" s="5" t="n">
        <f aca="false">전체결과!I10</f>
        <v>0.00610921027448584</v>
      </c>
      <c r="H6" s="5" t="n">
        <f aca="false">전체결과!H14</f>
        <v>-0.00412838292674269</v>
      </c>
      <c r="I6" s="5" t="n">
        <f aca="false">전체결과!I14</f>
        <v>0.0040788770130232</v>
      </c>
      <c r="J6" s="6" t="n">
        <f aca="false">F6-H6</f>
        <v>0.000430600233641467</v>
      </c>
      <c r="K6" s="6" t="n">
        <f aca="false">SQRT(G6^2+I6^2)</f>
        <v>0.00734572582290221</v>
      </c>
      <c r="L6" s="6" t="n">
        <f aca="false">J6-1.96*K6</f>
        <v>-0.0139670223792469</v>
      </c>
      <c r="M6" s="6" t="n">
        <f aca="false">J6+1.96*K6</f>
        <v>0.0148282228465298</v>
      </c>
      <c r="N6" s="6" t="n">
        <f aca="false">2*(1-NORMSDIST(ABS(J6/K6)))</f>
        <v>0.953255454187887</v>
      </c>
      <c r="O6" s="4" t="str">
        <f aca="false">IF(N6&lt;0.05,"차이 유의","차이 없음 (p≥0.05)")</f>
        <v>차이 없음 (p≥0.05)</v>
      </c>
    </row>
    <row r="7" customFormat="false" ht="17.15" hidden="false" customHeight="false" outlineLevel="0" collapsed="false">
      <c r="A7" s="3" t="s">
        <v>15</v>
      </c>
      <c r="B7" s="4" t="s">
        <v>22</v>
      </c>
      <c r="C7" s="4" t="s">
        <v>17</v>
      </c>
      <c r="D7" s="3" t="s">
        <v>20</v>
      </c>
      <c r="E7" s="3" t="s">
        <v>19</v>
      </c>
      <c r="F7" s="5" t="n">
        <f aca="false">전체결과!H11</f>
        <v>-0.00233202950160276</v>
      </c>
      <c r="G7" s="5" t="n">
        <f aca="false">전체결과!I11</f>
        <v>0.00578764593874417</v>
      </c>
      <c r="H7" s="5" t="n">
        <f aca="false">전체결과!H15</f>
        <v>-0.00457711465799471</v>
      </c>
      <c r="I7" s="5" t="n">
        <f aca="false">전체결과!I15</f>
        <v>0.00382577423979222</v>
      </c>
      <c r="J7" s="6" t="n">
        <f aca="false">F7-H7</f>
        <v>0.00224508515639195</v>
      </c>
      <c r="K7" s="6" t="n">
        <f aca="false">SQRT(G7^2+I7^2)</f>
        <v>0.0069378234372258</v>
      </c>
      <c r="L7" s="6" t="n">
        <f aca="false">J7-1.96*K7</f>
        <v>-0.0113530487805706</v>
      </c>
      <c r="M7" s="6" t="n">
        <f aca="false">J7+1.96*K7</f>
        <v>0.0158432190933545</v>
      </c>
      <c r="N7" s="6" t="n">
        <f aca="false">2*(1-NORMSDIST(ABS(J7/K7)))</f>
        <v>0.746240288566721</v>
      </c>
      <c r="O7" s="4" t="str">
        <f aca="false">IF(N7&lt;0.05,"차이 유의","차이 없음 (p≥0.05)")</f>
        <v>차이 없음 (p≥0.05)</v>
      </c>
    </row>
    <row r="8" customFormat="false" ht="17.15" hidden="false" customHeight="false" outlineLevel="0" collapsed="false">
      <c r="A8" s="3" t="s">
        <v>15</v>
      </c>
      <c r="B8" s="4" t="s">
        <v>22</v>
      </c>
      <c r="C8" s="4" t="s">
        <v>21</v>
      </c>
      <c r="D8" s="3" t="s">
        <v>18</v>
      </c>
      <c r="E8" s="3" t="s">
        <v>19</v>
      </c>
      <c r="F8" s="5" t="n">
        <f aca="false">전체결과!H12</f>
        <v>-0.00629950690331253</v>
      </c>
      <c r="G8" s="5" t="n">
        <f aca="false">전체결과!I12</f>
        <v>0.00633044887980083</v>
      </c>
      <c r="H8" s="5" t="n">
        <f aca="false">전체결과!H16</f>
        <v>-0.00464407654416639</v>
      </c>
      <c r="I8" s="5" t="n">
        <f aca="false">전체결과!I16</f>
        <v>0.00439623082979822</v>
      </c>
      <c r="J8" s="6" t="n">
        <f aca="false">F8-H8</f>
        <v>-0.00165543035914614</v>
      </c>
      <c r="K8" s="6" t="n">
        <f aca="false">SQRT(G8^2+I8^2)</f>
        <v>0.00770723222231171</v>
      </c>
      <c r="L8" s="6" t="n">
        <f aca="false">J8-1.96*K8</f>
        <v>-0.0167616055148771</v>
      </c>
      <c r="M8" s="6" t="n">
        <f aca="false">J8+1.96*K8</f>
        <v>0.0134507447965848</v>
      </c>
      <c r="N8" s="6" t="n">
        <f aca="false">2*(1-NORMSDIST(ABS(J8/K8)))</f>
        <v>0.829931661817375</v>
      </c>
      <c r="O8" s="4" t="str">
        <f aca="false">IF(N8&lt;0.05,"차이 유의","차이 없음 (p≥0.05)")</f>
        <v>차이 없음 (p≥0.05)</v>
      </c>
    </row>
    <row r="9" customFormat="false" ht="17.15" hidden="false" customHeight="false" outlineLevel="0" collapsed="false">
      <c r="A9" s="3" t="s">
        <v>15</v>
      </c>
      <c r="B9" s="4" t="s">
        <v>22</v>
      </c>
      <c r="C9" s="4" t="s">
        <v>21</v>
      </c>
      <c r="D9" s="3" t="s">
        <v>20</v>
      </c>
      <c r="E9" s="3" t="s">
        <v>19</v>
      </c>
      <c r="F9" s="5" t="n">
        <f aca="false">전체결과!H13</f>
        <v>-0.00614709535003481</v>
      </c>
      <c r="G9" s="5" t="n">
        <f aca="false">전체결과!I13</f>
        <v>0.00610589901865464</v>
      </c>
      <c r="H9" s="5" t="n">
        <f aca="false">전체결과!H17</f>
        <v>-0.00491274018336509</v>
      </c>
      <c r="I9" s="5" t="n">
        <f aca="false">전체결과!I17</f>
        <v>0.00440867085254325</v>
      </c>
      <c r="J9" s="6" t="n">
        <f aca="false">F9-H9</f>
        <v>-0.00123435516666972</v>
      </c>
      <c r="K9" s="6" t="n">
        <f aca="false">SQRT(G9^2+I9^2)</f>
        <v>0.00753116070151687</v>
      </c>
      <c r="L9" s="6" t="n">
        <f aca="false">J9-1.96*K9</f>
        <v>-0.0159954301416428</v>
      </c>
      <c r="M9" s="6" t="n">
        <f aca="false">J9+1.96*K9</f>
        <v>0.0135267198083034</v>
      </c>
      <c r="N9" s="6" t="n">
        <f aca="false">2*(1-NORMSDIST(ABS(J9/K9)))</f>
        <v>0.869810083720312</v>
      </c>
      <c r="O9" s="4" t="str">
        <f aca="false">IF(N9&lt;0.05,"차이 유의","차이 없음 (p≥0.05)")</f>
        <v>차이 없음 (p≥0.05)</v>
      </c>
    </row>
    <row r="10" customFormat="false" ht="17.15" hidden="false" customHeight="false" outlineLevel="0" collapsed="false">
      <c r="A10" s="3" t="s">
        <v>23</v>
      </c>
      <c r="B10" s="4" t="s">
        <v>24</v>
      </c>
      <c r="C10" s="4" t="s">
        <v>17</v>
      </c>
      <c r="D10" s="3" t="s">
        <v>18</v>
      </c>
      <c r="E10" s="3" t="s">
        <v>19</v>
      </c>
      <c r="F10" s="5" t="n">
        <f aca="false">전체결과!H18</f>
        <v>-0.0067193214072795</v>
      </c>
      <c r="G10" s="5" t="n">
        <f aca="false">전체결과!I18</f>
        <v>0.00590747067588735</v>
      </c>
      <c r="H10" s="5" t="n">
        <f aca="false">전체결과!H20</f>
        <v>-0.00658230409423744</v>
      </c>
      <c r="I10" s="5" t="n">
        <f aca="false">전체결과!I20</f>
        <v>0.00199806314493483</v>
      </c>
      <c r="J10" s="6" t="n">
        <f aca="false">F10-H10</f>
        <v>-0.000137017313042055</v>
      </c>
      <c r="K10" s="6" t="n">
        <f aca="false">SQRT(G10^2+I10^2)</f>
        <v>0.00623622210297355</v>
      </c>
      <c r="L10" s="6" t="n">
        <f aca="false">J10-1.96*K10</f>
        <v>-0.0123600126348702</v>
      </c>
      <c r="M10" s="6" t="n">
        <f aca="false">J10+1.96*K10</f>
        <v>0.0120859780087861</v>
      </c>
      <c r="N10" s="6" t="n">
        <f aca="false">2*(1-NORMSDIST(ABS(J10/K10)))</f>
        <v>0.982470925227086</v>
      </c>
      <c r="O10" s="4" t="str">
        <f aca="false">IF(N10&lt;0.05,"차이 유의","차이 없음 (p≥0.05)")</f>
        <v>차이 없음 (p≥0.05)</v>
      </c>
    </row>
    <row r="11" customFormat="false" ht="17.15" hidden="false" customHeight="false" outlineLevel="0" collapsed="false">
      <c r="A11" s="3" t="s">
        <v>23</v>
      </c>
      <c r="B11" s="4" t="s">
        <v>24</v>
      </c>
      <c r="C11" s="4" t="s">
        <v>21</v>
      </c>
      <c r="D11" s="3" t="s">
        <v>18</v>
      </c>
      <c r="E11" s="3" t="s">
        <v>19</v>
      </c>
      <c r="F11" s="5" t="n">
        <f aca="false">전체결과!H19</f>
        <v>-0.00637678963208613</v>
      </c>
      <c r="G11" s="5" t="n">
        <f aca="false">전체결과!I19</f>
        <v>0.00590583424591921</v>
      </c>
      <c r="H11" s="5" t="n">
        <f aca="false">전체결과!H21</f>
        <v>-0.00649731438224229</v>
      </c>
      <c r="I11" s="5" t="n">
        <f aca="false">전체결과!I21</f>
        <v>0.00183673008780041</v>
      </c>
      <c r="J11" s="6" t="n">
        <f aca="false">F11-H11</f>
        <v>0.000120524750156161</v>
      </c>
      <c r="K11" s="6" t="n">
        <f aca="false">SQRT(G11^2+I11^2)</f>
        <v>0.00618485695515292</v>
      </c>
      <c r="L11" s="6" t="n">
        <f aca="false">J11-1.96*K11</f>
        <v>-0.0120017948819436</v>
      </c>
      <c r="M11" s="6" t="n">
        <f aca="false">J11+1.96*K11</f>
        <v>0.0122428443822559</v>
      </c>
      <c r="N11" s="6" t="n">
        <f aca="false">2*(1-NORMSDIST(ABS(J11/K11)))</f>
        <v>0.98445255047609</v>
      </c>
      <c r="O11" s="4" t="str">
        <f aca="false">IF(N11&lt;0.05,"차이 유의","차이 없음 (p≥0.05)")</f>
        <v>차이 없음 (p≥0.05)</v>
      </c>
    </row>
    <row r="12" customFormat="false" ht="17.15" hidden="false" customHeight="false" outlineLevel="0" collapsed="false">
      <c r="A12" s="3" t="s">
        <v>23</v>
      </c>
      <c r="B12" s="4" t="s">
        <v>25</v>
      </c>
      <c r="C12" s="4" t="s">
        <v>17</v>
      </c>
      <c r="D12" s="3" t="s">
        <v>18</v>
      </c>
      <c r="E12" s="3" t="s">
        <v>19</v>
      </c>
      <c r="F12" s="5" t="n">
        <f aca="false">전체결과!H22</f>
        <v>-0.0104935622094113</v>
      </c>
      <c r="G12" s="5" t="n">
        <f aca="false">전체결과!I22</f>
        <v>0.00939128454182247</v>
      </c>
      <c r="H12" s="5" t="n">
        <f aca="false">전체결과!H24</f>
        <v>-0.00993226238320666</v>
      </c>
      <c r="I12" s="5" t="n">
        <f aca="false">전체결과!I24</f>
        <v>0.00305614897406517</v>
      </c>
      <c r="J12" s="6" t="n">
        <f aca="false">F12-H12</f>
        <v>-0.000561299826204681</v>
      </c>
      <c r="K12" s="6" t="n">
        <f aca="false">SQRT(G12^2+I12^2)</f>
        <v>0.00987604535718388</v>
      </c>
      <c r="L12" s="6" t="n">
        <f aca="false">J12-1.96*K12</f>
        <v>-0.0199183487262851</v>
      </c>
      <c r="M12" s="6" t="n">
        <f aca="false">J12+1.96*K12</f>
        <v>0.0187957490738757</v>
      </c>
      <c r="N12" s="6" t="n">
        <f aca="false">2*(1-NORMSDIST(ABS(J12/K12)))</f>
        <v>0.954677053390237</v>
      </c>
      <c r="O12" s="4" t="str">
        <f aca="false">IF(N12&lt;0.05,"차이 유의","차이 없음 (p≥0.05)")</f>
        <v>차이 없음 (p≥0.05)</v>
      </c>
    </row>
    <row r="13" customFormat="false" ht="17.15" hidden="false" customHeight="false" outlineLevel="0" collapsed="false">
      <c r="A13" s="3" t="s">
        <v>23</v>
      </c>
      <c r="B13" s="4" t="s">
        <v>25</v>
      </c>
      <c r="C13" s="4" t="s">
        <v>21</v>
      </c>
      <c r="D13" s="3" t="s">
        <v>18</v>
      </c>
      <c r="E13" s="3" t="s">
        <v>19</v>
      </c>
      <c r="F13" s="5" t="n">
        <f aca="false">전체결과!H23</f>
        <v>-0.00815585548315511</v>
      </c>
      <c r="G13" s="5" t="n">
        <f aca="false">전체결과!I23</f>
        <v>0.00823831290152834</v>
      </c>
      <c r="H13" s="5" t="n">
        <f aca="false">전체결과!H25</f>
        <v>-0.0115055804883366</v>
      </c>
      <c r="I13" s="5" t="n">
        <f aca="false">전체결과!I25</f>
        <v>0.00293822063283707</v>
      </c>
      <c r="J13" s="6" t="n">
        <f aca="false">F13-H13</f>
        <v>0.00334972500518146</v>
      </c>
      <c r="K13" s="6" t="n">
        <f aca="false">SQRT(G13^2+I13^2)</f>
        <v>0.00874659590644942</v>
      </c>
      <c r="L13" s="6" t="n">
        <f aca="false">J13-1.96*K13</f>
        <v>-0.0137936029714594</v>
      </c>
      <c r="M13" s="6" t="n">
        <f aca="false">J13+1.96*K13</f>
        <v>0.0204930529818223</v>
      </c>
      <c r="N13" s="6" t="n">
        <f aca="false">2*(1-NORMSDIST(ABS(J13/K13)))</f>
        <v>0.701738517826074</v>
      </c>
      <c r="O13" s="4" t="str">
        <f aca="false">IF(N13&lt;0.05,"차이 유의","차이 없음 (p≥0.05)")</f>
        <v>차이 없음 (p≥0.05)</v>
      </c>
    </row>
    <row r="14" customFormat="false" ht="17.15" hidden="false" customHeight="false" outlineLevel="0" collapsed="false">
      <c r="A14" s="3" t="s">
        <v>23</v>
      </c>
      <c r="B14" s="4" t="s">
        <v>26</v>
      </c>
      <c r="C14" s="4" t="s">
        <v>17</v>
      </c>
      <c r="D14" s="3" t="s">
        <v>18</v>
      </c>
      <c r="E14" s="3" t="s">
        <v>19</v>
      </c>
      <c r="F14" s="5" t="n">
        <f aca="false">전체결과!H26</f>
        <v>-0.00840467645711212</v>
      </c>
      <c r="G14" s="5" t="n">
        <f aca="false">전체결과!I26</f>
        <v>0.00931175677458134</v>
      </c>
      <c r="H14" s="5" t="n">
        <f aca="false">전체결과!H28</f>
        <v>-0.0119245752058908</v>
      </c>
      <c r="I14" s="5" t="n">
        <f aca="false">전체결과!I28</f>
        <v>0.00310940189526135</v>
      </c>
      <c r="J14" s="6" t="n">
        <f aca="false">F14-H14</f>
        <v>0.00351989874877868</v>
      </c>
      <c r="K14" s="6" t="n">
        <f aca="false">SQRT(G14^2+I14^2)</f>
        <v>0.00981718872056641</v>
      </c>
      <c r="L14" s="6" t="n">
        <f aca="false">J14-1.96*K14</f>
        <v>-0.0157217911435315</v>
      </c>
      <c r="M14" s="6" t="n">
        <f aca="false">J14+1.96*K14</f>
        <v>0.0227615886410888</v>
      </c>
      <c r="N14" s="6" t="n">
        <f aca="false">2*(1-NORMSDIST(ABS(J14/K14)))</f>
        <v>0.719935892929685</v>
      </c>
      <c r="O14" s="4" t="str">
        <f aca="false">IF(N14&lt;0.05,"차이 유의","차이 없음 (p≥0.05)")</f>
        <v>차이 없음 (p≥0.05)</v>
      </c>
    </row>
    <row r="15" customFormat="false" ht="17.15" hidden="false" customHeight="false" outlineLevel="0" collapsed="false">
      <c r="A15" s="3" t="s">
        <v>23</v>
      </c>
      <c r="B15" s="4" t="s">
        <v>26</v>
      </c>
      <c r="C15" s="4" t="s">
        <v>21</v>
      </c>
      <c r="D15" s="3" t="s">
        <v>18</v>
      </c>
      <c r="E15" s="3" t="s">
        <v>19</v>
      </c>
      <c r="F15" s="5" t="n">
        <f aca="false">전체결과!H27</f>
        <v>-0.00509219263895169</v>
      </c>
      <c r="G15" s="5" t="n">
        <f aca="false">전체결과!I27</f>
        <v>0.00799596601154164</v>
      </c>
      <c r="H15" s="5" t="n">
        <f aca="false">전체결과!H29</f>
        <v>-0.0113615227571491</v>
      </c>
      <c r="I15" s="5" t="n">
        <f aca="false">전체결과!I29</f>
        <v>0.00268419026709706</v>
      </c>
      <c r="J15" s="6" t="n">
        <f aca="false">F15-H15</f>
        <v>0.00626933011819737</v>
      </c>
      <c r="K15" s="6" t="n">
        <f aca="false">SQRT(G15^2+I15^2)</f>
        <v>0.00843447389276342</v>
      </c>
      <c r="L15" s="6" t="n">
        <f aca="false">J15-1.96*K15</f>
        <v>-0.0102622387116189</v>
      </c>
      <c r="M15" s="6" t="n">
        <f aca="false">J15+1.96*K15</f>
        <v>0.0228008989480137</v>
      </c>
      <c r="N15" s="6" t="n">
        <f aca="false">2*(1-NORMSDIST(ABS(J15/K15)))</f>
        <v>0.457301099707532</v>
      </c>
      <c r="O15" s="4" t="str">
        <f aca="false">IF(N15&lt;0.05,"차이 유의","차이 없음 (p≥0.05)")</f>
        <v>차이 없음 (p≥0.05)</v>
      </c>
    </row>
    <row r="16" customFormat="false" ht="17.15" hidden="false" customHeight="false" outlineLevel="0" collapsed="false">
      <c r="A16" s="3" t="s">
        <v>23</v>
      </c>
      <c r="B16" s="4" t="s">
        <v>27</v>
      </c>
      <c r="C16" s="4" t="s">
        <v>17</v>
      </c>
      <c r="D16" s="3" t="s">
        <v>18</v>
      </c>
      <c r="E16" s="3" t="s">
        <v>19</v>
      </c>
      <c r="F16" s="5" t="n">
        <f aca="false">전체결과!H30</f>
        <v>-0.0187060157975711</v>
      </c>
      <c r="G16" s="5" t="n">
        <f aca="false">전체결과!I30</f>
        <v>0.0221861191749678</v>
      </c>
      <c r="H16" s="5" t="n">
        <f aca="false">전체결과!H32</f>
        <v>-0.00794985228397962</v>
      </c>
      <c r="I16" s="5" t="n">
        <f aca="false">전체결과!I32</f>
        <v>0.0100255458824358</v>
      </c>
      <c r="J16" s="6" t="n">
        <f aca="false">F16-H16</f>
        <v>-0.0107561635135914</v>
      </c>
      <c r="K16" s="6" t="n">
        <f aca="false">SQRT(G16^2+I16^2)</f>
        <v>0.0243461589226453</v>
      </c>
      <c r="L16" s="6" t="n">
        <f aca="false">J16-1.96*K16</f>
        <v>-0.0584746350019762</v>
      </c>
      <c r="M16" s="6" t="n">
        <f aca="false">J16+1.96*K16</f>
        <v>0.0369623079747933</v>
      </c>
      <c r="N16" s="6" t="n">
        <f aca="false">2*(1-NORMSDIST(ABS(J16/K16)))</f>
        <v>0.658633031905428</v>
      </c>
      <c r="O16" s="4" t="str">
        <f aca="false">IF(N16&lt;0.05,"차이 유의","차이 없음 (p≥0.05)")</f>
        <v>차이 없음 (p≥0.05)</v>
      </c>
    </row>
    <row r="17" customFormat="false" ht="17.15" hidden="false" customHeight="false" outlineLevel="0" collapsed="false">
      <c r="A17" s="3" t="s">
        <v>23</v>
      </c>
      <c r="B17" s="4" t="s">
        <v>27</v>
      </c>
      <c r="C17" s="4" t="s">
        <v>21</v>
      </c>
      <c r="D17" s="3" t="s">
        <v>18</v>
      </c>
      <c r="E17" s="3" t="s">
        <v>19</v>
      </c>
      <c r="F17" s="5" t="n">
        <f aca="false">전체결과!H31</f>
        <v>-0.00462429071078713</v>
      </c>
      <c r="G17" s="5" t="n">
        <f aca="false">전체결과!I31</f>
        <v>0.0227189496105866</v>
      </c>
      <c r="H17" s="5" t="n">
        <f aca="false">전체결과!H33</f>
        <v>-0.00272212213453008</v>
      </c>
      <c r="I17" s="5" t="n">
        <f aca="false">전체결과!I33</f>
        <v>0.0101204079324686</v>
      </c>
      <c r="J17" s="6" t="n">
        <f aca="false">F17-H17</f>
        <v>-0.00190216857625705</v>
      </c>
      <c r="K17" s="6" t="n">
        <f aca="false">SQRT(G17^2+I17^2)</f>
        <v>0.0248711344358866</v>
      </c>
      <c r="L17" s="6" t="n">
        <f aca="false">J17-1.96*K17</f>
        <v>-0.0506495920705948</v>
      </c>
      <c r="M17" s="6" t="n">
        <f aca="false">J17+1.96*K17</f>
        <v>0.0468452549180807</v>
      </c>
      <c r="N17" s="6" t="n">
        <f aca="false">2*(1-NORMSDIST(ABS(J17/K17)))</f>
        <v>0.939036450500395</v>
      </c>
      <c r="O17" s="4" t="str">
        <f aca="false">IF(N17&lt;0.05,"차이 유의","차이 없음 (p≥0.05)")</f>
        <v>차이 없음 (p≥0.05)</v>
      </c>
    </row>
    <row r="18" customFormat="false" ht="17.15" hidden="false" customHeight="false" outlineLevel="0" collapsed="false">
      <c r="A18" s="3" t="s">
        <v>28</v>
      </c>
      <c r="B18" s="4" t="s">
        <v>16</v>
      </c>
      <c r="C18" s="4" t="s">
        <v>17</v>
      </c>
      <c r="D18" s="3" t="s">
        <v>29</v>
      </c>
      <c r="E18" s="3" t="s">
        <v>19</v>
      </c>
      <c r="F18" s="5" t="n">
        <f aca="false">전체결과!H42</f>
        <v>-0.00891774858097649</v>
      </c>
      <c r="G18" s="5" t="n">
        <f aca="false">전체결과!I42</f>
        <v>0.00873820211550701</v>
      </c>
      <c r="H18" s="5" t="n">
        <f aca="false">전체결과!H44</f>
        <v>-0.0114261932090678</v>
      </c>
      <c r="I18" s="5" t="n">
        <f aca="false">전체결과!I44</f>
        <v>0.00258727779979215</v>
      </c>
      <c r="J18" s="6" t="n">
        <f aca="false">F18-H18</f>
        <v>0.0025084446280913</v>
      </c>
      <c r="K18" s="6" t="n">
        <f aca="false">SQRT(G18^2+I18^2)</f>
        <v>0.00911318729231154</v>
      </c>
      <c r="L18" s="6" t="n">
        <f aca="false">J18-1.96*K18</f>
        <v>-0.0153534024648393</v>
      </c>
      <c r="M18" s="6" t="n">
        <f aca="false">J18+1.96*K18</f>
        <v>0.0203702917210219</v>
      </c>
      <c r="N18" s="6" t="n">
        <f aca="false">2*(1-NORMSDIST(ABS(J18/K18)))</f>
        <v>0.783120818206894</v>
      </c>
      <c r="O18" s="4" t="str">
        <f aca="false">IF(N18&lt;0.05,"차이 유의","차이 없음 (p≥0.05)")</f>
        <v>차이 없음 (p≥0.05)</v>
      </c>
    </row>
    <row r="19" customFormat="false" ht="17.15" hidden="false" customHeight="false" outlineLevel="0" collapsed="false">
      <c r="A19" s="3" t="s">
        <v>28</v>
      </c>
      <c r="B19" s="4" t="s">
        <v>16</v>
      </c>
      <c r="C19" s="4" t="s">
        <v>21</v>
      </c>
      <c r="D19" s="3" t="s">
        <v>29</v>
      </c>
      <c r="E19" s="3" t="s">
        <v>19</v>
      </c>
      <c r="F19" s="5" t="n">
        <f aca="false">전체결과!H43</f>
        <v>-0.0121145791891332</v>
      </c>
      <c r="G19" s="5" t="n">
        <f aca="false">전체결과!I43</f>
        <v>0.00759950818635606</v>
      </c>
      <c r="H19" s="5" t="n">
        <f aca="false">전체결과!H45</f>
        <v>-0.01352669077634</v>
      </c>
      <c r="I19" s="5" t="n">
        <f aca="false">전체결과!I45</f>
        <v>0.00245656120355827</v>
      </c>
      <c r="J19" s="6" t="n">
        <f aca="false">F19-H19</f>
        <v>0.00141211158720675</v>
      </c>
      <c r="K19" s="6" t="n">
        <f aca="false">SQRT(G19^2+I19^2)</f>
        <v>0.00798669002912473</v>
      </c>
      <c r="L19" s="6" t="n">
        <f aca="false">J19-1.96*K19</f>
        <v>-0.0142418008698777</v>
      </c>
      <c r="M19" s="6" t="n">
        <f aca="false">J19+1.96*K19</f>
        <v>0.0170660240442912</v>
      </c>
      <c r="N19" s="6" t="n">
        <f aca="false">2*(1-NORMSDIST(ABS(J19/K19)))</f>
        <v>0.85965911679148</v>
      </c>
      <c r="O19" s="4" t="str">
        <f aca="false">IF(N19&lt;0.05,"차이 유의","차이 없음 (p≥0.05)")</f>
        <v>차이 없음 (p≥0.05)</v>
      </c>
    </row>
    <row r="20" customFormat="false" ht="17.15" hidden="false" customHeight="false" outlineLevel="0" collapsed="false">
      <c r="A20" s="3" t="s">
        <v>28</v>
      </c>
      <c r="B20" s="4" t="s">
        <v>22</v>
      </c>
      <c r="C20" s="4" t="s">
        <v>17</v>
      </c>
      <c r="D20" s="3" t="s">
        <v>29</v>
      </c>
      <c r="E20" s="3" t="s">
        <v>19</v>
      </c>
      <c r="F20" s="5" t="n">
        <f aca="false">전체결과!H46</f>
        <v>-0.00568632417997217</v>
      </c>
      <c r="G20" s="5" t="n">
        <f aca="false">전체결과!I46</f>
        <v>0.00554314294416401</v>
      </c>
      <c r="H20" s="5" t="n">
        <f aca="false">전체결과!H48</f>
        <v>-0.00525383636166297</v>
      </c>
      <c r="I20" s="5" t="n">
        <f aca="false">전체결과!I48</f>
        <v>0.00429660349399801</v>
      </c>
      <c r="J20" s="6" t="n">
        <f aca="false">F20-H20</f>
        <v>-0.000432487818309202</v>
      </c>
      <c r="K20" s="6" t="n">
        <f aca="false">SQRT(G20^2+I20^2)</f>
        <v>0.00701336119731981</v>
      </c>
      <c r="L20" s="6" t="n">
        <f aca="false">J20-1.96*K20</f>
        <v>-0.014178675765056</v>
      </c>
      <c r="M20" s="6" t="n">
        <f aca="false">J20+1.96*K20</f>
        <v>0.0133137001284376</v>
      </c>
      <c r="N20" s="6" t="n">
        <f aca="false">2*(1-NORMSDIST(ABS(J20/K20)))</f>
        <v>0.950828602249847</v>
      </c>
      <c r="O20" s="4" t="str">
        <f aca="false">IF(N20&lt;0.05,"차이 유의","차이 없음 (p≥0.05)")</f>
        <v>차이 없음 (p≥0.05)</v>
      </c>
    </row>
    <row r="21" customFormat="false" ht="17.15" hidden="false" customHeight="false" outlineLevel="0" collapsed="false">
      <c r="A21" s="3" t="s">
        <v>28</v>
      </c>
      <c r="B21" s="4" t="s">
        <v>22</v>
      </c>
      <c r="C21" s="4" t="s">
        <v>21</v>
      </c>
      <c r="D21" s="3" t="s">
        <v>29</v>
      </c>
      <c r="E21" s="3" t="s">
        <v>19</v>
      </c>
      <c r="F21" s="5" t="n">
        <f aca="false">전체결과!H47</f>
        <v>-0.00746773780645795</v>
      </c>
      <c r="G21" s="5" t="n">
        <f aca="false">전체결과!I47</f>
        <v>0.00574692655376919</v>
      </c>
      <c r="H21" s="5" t="n">
        <f aca="false">전체결과!H49</f>
        <v>-0.00681405680560593</v>
      </c>
      <c r="I21" s="5" t="n">
        <f aca="false">전체결과!I49</f>
        <v>0.00487460501984798</v>
      </c>
      <c r="J21" s="6" t="n">
        <f aca="false">F21-H21</f>
        <v>-0.000653681000852018</v>
      </c>
      <c r="K21" s="6" t="n">
        <f aca="false">SQRT(G21^2+I21^2)</f>
        <v>0.00753584360997125</v>
      </c>
      <c r="L21" s="6" t="n">
        <f aca="false">J21-1.96*K21</f>
        <v>-0.0154239344763957</v>
      </c>
      <c r="M21" s="6" t="n">
        <f aca="false">J21+1.96*K21</f>
        <v>0.0141165724746916</v>
      </c>
      <c r="N21" s="6" t="n">
        <f aca="false">2*(1-NORMSDIST(ABS(J21/K21)))</f>
        <v>0.930875868028724</v>
      </c>
      <c r="O21" s="4" t="str">
        <f aca="false">IF(N21&lt;0.05,"차이 유의","차이 없음 (p≥0.05)")</f>
        <v>차이 없음 (p≥0.05)</v>
      </c>
    </row>
    <row r="22" customFormat="false" ht="17.15" hidden="false" customHeight="false" outlineLevel="0" collapsed="false">
      <c r="A22" s="3" t="s">
        <v>30</v>
      </c>
      <c r="B22" s="4" t="s">
        <v>16</v>
      </c>
      <c r="C22" s="4" t="s">
        <v>17</v>
      </c>
      <c r="D22" s="3" t="s">
        <v>18</v>
      </c>
      <c r="E22" s="3" t="s">
        <v>31</v>
      </c>
      <c r="F22" s="5" t="n">
        <f aca="false">전체결과!H50</f>
        <v>-0.0280638937549232</v>
      </c>
      <c r="G22" s="5" t="n">
        <f aca="false">전체결과!I50</f>
        <v>0.0107795088182978</v>
      </c>
      <c r="H22" s="5" t="n">
        <f aca="false">전체결과!H52</f>
        <v>-0.0179968529214709</v>
      </c>
      <c r="I22" s="5" t="n">
        <f aca="false">전체결과!I52</f>
        <v>0.00299308023691582</v>
      </c>
      <c r="J22" s="6" t="n">
        <f aca="false">F22-H22</f>
        <v>-0.0100670408334524</v>
      </c>
      <c r="K22" s="6" t="n">
        <f aca="false">SQRT(G22^2+I22^2)</f>
        <v>0.0111873294252192</v>
      </c>
      <c r="L22" s="6" t="n">
        <f aca="false">J22-1.96*K22</f>
        <v>-0.0319942065068821</v>
      </c>
      <c r="M22" s="6" t="n">
        <f aca="false">J22+1.96*K22</f>
        <v>0.0118601248399773</v>
      </c>
      <c r="N22" s="6" t="n">
        <f aca="false">2*(1-NORMSDIST(ABS(J22/K22)))</f>
        <v>0.368194256062256</v>
      </c>
      <c r="O22" s="4" t="str">
        <f aca="false">IF(N22&lt;0.05,"차이 유의","차이 없음 (p≥0.05)")</f>
        <v>차이 없음 (p≥0.05)</v>
      </c>
    </row>
    <row r="23" customFormat="false" ht="17.15" hidden="false" customHeight="false" outlineLevel="0" collapsed="false">
      <c r="A23" s="3" t="s">
        <v>30</v>
      </c>
      <c r="B23" s="4" t="s">
        <v>16</v>
      </c>
      <c r="C23" s="4" t="s">
        <v>21</v>
      </c>
      <c r="D23" s="3" t="s">
        <v>18</v>
      </c>
      <c r="E23" s="3" t="s">
        <v>31</v>
      </c>
      <c r="F23" s="5" t="n">
        <f aca="false">전체결과!H51</f>
        <v>-0.000978355371938609</v>
      </c>
      <c r="G23" s="5" t="n">
        <f aca="false">전체결과!I51</f>
        <v>0.00955641271778318</v>
      </c>
      <c r="H23" s="5" t="n">
        <f aca="false">전체결과!H53</f>
        <v>-0.0126631353168864</v>
      </c>
      <c r="I23" s="5" t="n">
        <f aca="false">전체결과!I53</f>
        <v>0.00284551210821758</v>
      </c>
      <c r="J23" s="6" t="n">
        <f aca="false">F23-H23</f>
        <v>0.0116847799449477</v>
      </c>
      <c r="K23" s="6" t="n">
        <f aca="false">SQRT(G23^2+I23^2)</f>
        <v>0.00997105627256315</v>
      </c>
      <c r="L23" s="6" t="n">
        <f aca="false">J23-1.96*K23</f>
        <v>-0.00785849034927604</v>
      </c>
      <c r="M23" s="6" t="n">
        <f aca="false">J23+1.96*K23</f>
        <v>0.0312280502391715</v>
      </c>
      <c r="N23" s="6" t="n">
        <f aca="false">2*(1-NORMSDIST(ABS(J23/K23)))</f>
        <v>0.241249324516802</v>
      </c>
      <c r="O23" s="4" t="str">
        <f aca="false">IF(N23&lt;0.05,"차이 유의","차이 없음 (p≥0.05)")</f>
        <v>차이 없음 (p≥0.05)</v>
      </c>
    </row>
    <row r="24" customFormat="false" ht="17.15" hidden="false" customHeight="false" outlineLevel="0" collapsed="false">
      <c r="A24" s="3" t="s">
        <v>30</v>
      </c>
      <c r="B24" s="4" t="s">
        <v>22</v>
      </c>
      <c r="C24" s="4" t="s">
        <v>17</v>
      </c>
      <c r="D24" s="3" t="s">
        <v>18</v>
      </c>
      <c r="E24" s="3" t="s">
        <v>31</v>
      </c>
      <c r="F24" s="5" t="n">
        <f aca="false">전체결과!H54</f>
        <v>-0.00294927849830921</v>
      </c>
      <c r="G24" s="5" t="n">
        <f aca="false">전체결과!I54</f>
        <v>0.00627318164499855</v>
      </c>
      <c r="H24" s="5" t="n">
        <f aca="false">전체결과!H56</f>
        <v>0.00308981744919107</v>
      </c>
      <c r="I24" s="5" t="n">
        <f aca="false">전체결과!I56</f>
        <v>0.00364713186848221</v>
      </c>
      <c r="J24" s="6" t="n">
        <f aca="false">F24-H24</f>
        <v>-0.00603909594750028</v>
      </c>
      <c r="K24" s="6" t="n">
        <f aca="false">SQRT(G24^2+I24^2)</f>
        <v>0.00725633370354791</v>
      </c>
      <c r="L24" s="6" t="n">
        <f aca="false">J24-1.96*K24</f>
        <v>-0.0202615100064542</v>
      </c>
      <c r="M24" s="6" t="n">
        <f aca="false">J24+1.96*K24</f>
        <v>0.00818331811145362</v>
      </c>
      <c r="N24" s="6" t="n">
        <f aca="false">2*(1-NORMSDIST(ABS(J24/K24)))</f>
        <v>0.40526689609329</v>
      </c>
      <c r="O24" s="4" t="str">
        <f aca="false">IF(N24&lt;0.05,"차이 유의","차이 없음 (p≥0.05)")</f>
        <v>차이 없음 (p≥0.05)</v>
      </c>
    </row>
    <row r="25" customFormat="false" ht="17.15" hidden="false" customHeight="false" outlineLevel="0" collapsed="false">
      <c r="A25" s="3" t="s">
        <v>30</v>
      </c>
      <c r="B25" s="4" t="s">
        <v>22</v>
      </c>
      <c r="C25" s="4" t="s">
        <v>21</v>
      </c>
      <c r="D25" s="3" t="s">
        <v>18</v>
      </c>
      <c r="E25" s="3" t="s">
        <v>31</v>
      </c>
      <c r="F25" s="5" t="n">
        <f aca="false">전체결과!H55</f>
        <v>0.00176661100892562</v>
      </c>
      <c r="G25" s="5" t="n">
        <f aca="false">전체결과!I55</f>
        <v>0.00616922945582857</v>
      </c>
      <c r="H25" s="5" t="n">
        <f aca="false">전체결과!H57</f>
        <v>-0.00161554707957708</v>
      </c>
      <c r="I25" s="5" t="n">
        <f aca="false">전체결과!I57</f>
        <v>0.00405152436209518</v>
      </c>
      <c r="J25" s="6" t="n">
        <f aca="false">F25-H25</f>
        <v>0.0033821580885027</v>
      </c>
      <c r="K25" s="6" t="n">
        <f aca="false">SQRT(G25^2+I25^2)</f>
        <v>0.00738066675411603</v>
      </c>
      <c r="L25" s="6" t="n">
        <f aca="false">J25-1.96*K25</f>
        <v>-0.0110839487495647</v>
      </c>
      <c r="M25" s="6" t="n">
        <f aca="false">J25+1.96*K25</f>
        <v>0.0178482649265701</v>
      </c>
      <c r="N25" s="6" t="n">
        <f aca="false">2*(1-NORMSDIST(ABS(J25/K25)))</f>
        <v>0.646776000102592</v>
      </c>
      <c r="O25" s="4" t="str">
        <f aca="false">IF(N25&lt;0.05,"차이 유의","차이 없음 (p≥0.05)")</f>
        <v>차이 없음 (p≥0.05)</v>
      </c>
    </row>
  </sheetData>
  <autoFilter ref="A1:O25"/>
  <conditionalFormatting sqref="A2:O25">
    <cfRule type="expression" priority="2" aboveAverage="0" equalAverage="0" bottom="0" percent="0" rank="0" text="" dxfId="4">
      <formula>$N2&lt;0.05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5" min="14" style="0" width="10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1" min="20" style="0" width="10"/>
  </cols>
  <sheetData>
    <row r="1" customFormat="false" ht="31.5" hidden="false" customHeight="true" outlineLevel="0" collapsed="false">
      <c r="A1" s="1" t="s">
        <v>0</v>
      </c>
      <c r="B1" s="2" t="s">
        <v>1</v>
      </c>
      <c r="C1" s="1" t="s">
        <v>32</v>
      </c>
      <c r="D1" s="1" t="s">
        <v>2</v>
      </c>
      <c r="E1" s="1" t="s">
        <v>3</v>
      </c>
      <c r="F1" s="2" t="s">
        <v>4</v>
      </c>
      <c r="G1" s="2" t="s">
        <v>33</v>
      </c>
      <c r="H1" s="2" t="s">
        <v>34</v>
      </c>
      <c r="I1" s="2" t="s">
        <v>35</v>
      </c>
      <c r="J1" s="2" t="s">
        <v>11</v>
      </c>
      <c r="K1" s="2" t="s">
        <v>12</v>
      </c>
      <c r="L1" s="2" t="s">
        <v>13</v>
      </c>
      <c r="M1" s="1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</row>
    <row r="2" customFormat="false" ht="17.15" hidden="false" customHeight="false" outlineLevel="0" collapsed="false">
      <c r="A2" s="3" t="s">
        <v>15</v>
      </c>
      <c r="B2" s="4" t="s">
        <v>16</v>
      </c>
      <c r="C2" s="3" t="s">
        <v>45</v>
      </c>
      <c r="D2" s="4" t="s">
        <v>17</v>
      </c>
      <c r="E2" s="3" t="s">
        <v>18</v>
      </c>
      <c r="F2" s="3" t="s">
        <v>19</v>
      </c>
      <c r="G2" s="4" t="n">
        <v>241</v>
      </c>
      <c r="H2" s="7" t="n">
        <v>-0.00907224826546491</v>
      </c>
      <c r="I2" s="7" t="n">
        <v>0.00934176386209616</v>
      </c>
      <c r="J2" s="6" t="n">
        <f aca="false">H2-1.96*I2</f>
        <v>-0.0273821054351734</v>
      </c>
      <c r="K2" s="6" t="n">
        <f aca="false">H2+1.96*I2</f>
        <v>0.00923760890424357</v>
      </c>
      <c r="L2" s="6" t="n">
        <f aca="false">2*(1-NORMSDIST(ABS(H2/I2)))</f>
        <v>0.331473892539938</v>
      </c>
      <c r="M2" s="8" t="n">
        <f aca="false">EXP(H2)-1</f>
        <v>-0.00903121958902853</v>
      </c>
      <c r="N2" s="8" t="n">
        <f aca="false">EXP(J2)-1</f>
        <v>-0.0270106140478947</v>
      </c>
      <c r="O2" s="8" t="n">
        <f aca="false">EXP(K2)-1</f>
        <v>0.00928040729680424</v>
      </c>
      <c r="P2" s="7" t="n">
        <v>0.0105904286586083</v>
      </c>
      <c r="Q2" s="6" t="n">
        <f aca="false">2*(1-NORMSDIST(ABS(H2/P2)))</f>
        <v>0.391640559585621</v>
      </c>
      <c r="R2" s="9" t="n">
        <v>0.75753733390159</v>
      </c>
      <c r="S2" s="9" t="n">
        <v>0.329538420664388</v>
      </c>
      <c r="T2" s="9" t="n">
        <v>-0.0109048768527253</v>
      </c>
      <c r="U2" s="9" t="n">
        <v>-0.00329654848228241</v>
      </c>
    </row>
    <row r="3" customFormat="false" ht="17.15" hidden="false" customHeight="false" outlineLevel="0" collapsed="false">
      <c r="A3" s="3" t="s">
        <v>15</v>
      </c>
      <c r="B3" s="4" t="s">
        <v>16</v>
      </c>
      <c r="C3" s="3" t="s">
        <v>45</v>
      </c>
      <c r="D3" s="4" t="s">
        <v>17</v>
      </c>
      <c r="E3" s="3" t="s">
        <v>20</v>
      </c>
      <c r="F3" s="3" t="s">
        <v>19</v>
      </c>
      <c r="G3" s="4" t="n">
        <v>241</v>
      </c>
      <c r="H3" s="7" t="n">
        <v>-0.0088846495620809</v>
      </c>
      <c r="I3" s="7" t="n">
        <v>0.00883389875278516</v>
      </c>
      <c r="J3" s="6" t="n">
        <f aca="false">H3-1.96*I3</f>
        <v>-0.0261990911175398</v>
      </c>
      <c r="K3" s="6" t="n">
        <f aca="false">H3+1.96*I3</f>
        <v>0.00842979199337802</v>
      </c>
      <c r="L3" s="6" t="n">
        <f aca="false">2*(1-NORMSDIST(ABS(H3/I3)))</f>
        <v>0.314538247123722</v>
      </c>
      <c r="M3" s="8" t="n">
        <f aca="false">EXP(H3)-1</f>
        <v>-0.00884529769192122</v>
      </c>
      <c r="N3" s="8" t="n">
        <f aca="false">EXP(J3)-1</f>
        <v>-0.0258588725443876</v>
      </c>
      <c r="O3" s="8" t="n">
        <f aca="false">EXP(K3)-1</f>
        <v>0.00846542273945783</v>
      </c>
      <c r="P3" s="7" t="n">
        <v>0.00958438438763301</v>
      </c>
      <c r="Q3" s="6" t="n">
        <f aca="false">2*(1-NORMSDIST(ABS(H3/P3)))</f>
        <v>0.353930584481307</v>
      </c>
      <c r="R3" s="9" t="n">
        <v>0.760780748831691</v>
      </c>
      <c r="S3" s="9" t="n">
        <v>0.290935345516587</v>
      </c>
      <c r="T3" s="9" t="n">
        <v>-0.0108254194422004</v>
      </c>
      <c r="U3" s="9" t="n">
        <v>-0.00500413329852271</v>
      </c>
    </row>
    <row r="4" customFormat="false" ht="17.15" hidden="false" customHeight="false" outlineLevel="0" collapsed="false">
      <c r="A4" s="3" t="s">
        <v>15</v>
      </c>
      <c r="B4" s="4" t="s">
        <v>16</v>
      </c>
      <c r="C4" s="3" t="s">
        <v>45</v>
      </c>
      <c r="D4" s="4" t="s">
        <v>21</v>
      </c>
      <c r="E4" s="3" t="s">
        <v>18</v>
      </c>
      <c r="F4" s="3" t="s">
        <v>19</v>
      </c>
      <c r="G4" s="4" t="n">
        <v>241</v>
      </c>
      <c r="H4" s="7" t="n">
        <v>-0.0058015626800814</v>
      </c>
      <c r="I4" s="7" t="n">
        <v>0.00854931180150925</v>
      </c>
      <c r="J4" s="6" t="n">
        <f aca="false">H4-1.96*I4</f>
        <v>-0.0225582138110395</v>
      </c>
      <c r="K4" s="6" t="n">
        <f aca="false">H4+1.96*I4</f>
        <v>0.0109550884508767</v>
      </c>
      <c r="L4" s="6" t="n">
        <f aca="false">2*(1-NORMSDIST(ABS(H4/I4)))</f>
        <v>0.497391365712291</v>
      </c>
      <c r="M4" s="8" t="n">
        <f aca="false">EXP(H4)-1</f>
        <v>-0.00578476611312584</v>
      </c>
      <c r="N4" s="8" t="n">
        <f aca="false">EXP(J4)-1</f>
        <v>-0.0223056797757364</v>
      </c>
      <c r="O4" s="8" t="n">
        <f aca="false">EXP(K4)-1</f>
        <v>0.0110153151610803</v>
      </c>
      <c r="P4" s="7" t="n">
        <v>0.00911929857374315</v>
      </c>
      <c r="Q4" s="6" t="n">
        <f aca="false">2*(1-NORMSDIST(ABS(H4/P4)))</f>
        <v>0.52465572605679</v>
      </c>
      <c r="R4" s="9" t="n">
        <v>0.789599766294592</v>
      </c>
      <c r="S4" s="9" t="n">
        <v>0.337018477130777</v>
      </c>
      <c r="T4" s="9" t="n">
        <v>-0.00961286990302488</v>
      </c>
      <c r="U4" s="9" t="n">
        <v>-0.00385424642294683</v>
      </c>
    </row>
    <row r="5" customFormat="false" ht="17.15" hidden="false" customHeight="false" outlineLevel="0" collapsed="false">
      <c r="A5" s="3" t="s">
        <v>15</v>
      </c>
      <c r="B5" s="4" t="s">
        <v>16</v>
      </c>
      <c r="C5" s="3" t="s">
        <v>45</v>
      </c>
      <c r="D5" s="4" t="s">
        <v>21</v>
      </c>
      <c r="E5" s="3" t="s">
        <v>20</v>
      </c>
      <c r="F5" s="3" t="s">
        <v>19</v>
      </c>
      <c r="G5" s="4" t="n">
        <v>241</v>
      </c>
      <c r="H5" s="7" t="n">
        <v>-0.00758144726997218</v>
      </c>
      <c r="I5" s="7" t="n">
        <v>0.00695565390732413</v>
      </c>
      <c r="J5" s="6" t="n">
        <f aca="false">H5-1.96*I5</f>
        <v>-0.0212145289283275</v>
      </c>
      <c r="K5" s="6" t="n">
        <f aca="false">H5+1.96*I5</f>
        <v>0.00605163438838311</v>
      </c>
      <c r="L5" s="6" t="n">
        <f aca="false">2*(1-NORMSDIST(ABS(H5/I5)))</f>
        <v>0.275726791212679</v>
      </c>
      <c r="M5" s="8" t="n">
        <f aca="false">EXP(H5)-1</f>
        <v>-0.00755278058934106</v>
      </c>
      <c r="N5" s="8" t="n">
        <f aca="false">EXP(J5)-1</f>
        <v>-0.0209910836940874</v>
      </c>
      <c r="O5" s="8" t="n">
        <f aca="false">EXP(K5)-1</f>
        <v>0.00606998252115942</v>
      </c>
      <c r="P5" s="7" t="n">
        <v>0.00760494420510268</v>
      </c>
      <c r="Q5" s="6" t="n">
        <f aca="false">2*(1-NORMSDIST(ABS(H5/P5)))</f>
        <v>0.318808047773954</v>
      </c>
      <c r="R5" s="9" t="n">
        <v>0.770168638418846</v>
      </c>
      <c r="S5" s="9" t="n">
        <v>0.282864833500048</v>
      </c>
      <c r="T5" s="9" t="n">
        <v>-0.01432214583489</v>
      </c>
      <c r="U5" s="9" t="n">
        <v>-0.00629049585427061</v>
      </c>
    </row>
    <row r="6" customFormat="false" ht="17.15" hidden="false" customHeight="false" outlineLevel="0" collapsed="false">
      <c r="A6" s="3" t="s">
        <v>15</v>
      </c>
      <c r="B6" s="4" t="s">
        <v>16</v>
      </c>
      <c r="C6" s="3" t="s">
        <v>46</v>
      </c>
      <c r="D6" s="4" t="s">
        <v>17</v>
      </c>
      <c r="E6" s="3" t="s">
        <v>18</v>
      </c>
      <c r="F6" s="3" t="s">
        <v>19</v>
      </c>
      <c r="G6" s="4" t="n">
        <v>486</v>
      </c>
      <c r="H6" s="7" t="n">
        <v>-0.0117404784680697</v>
      </c>
      <c r="I6" s="7" t="n">
        <v>0.00303541363234045</v>
      </c>
      <c r="J6" s="6" t="n">
        <f aca="false">H6-1.96*I6</f>
        <v>-0.0176898891874569</v>
      </c>
      <c r="K6" s="6" t="n">
        <f aca="false">H6+1.96*I6</f>
        <v>-0.00579106774868236</v>
      </c>
      <c r="L6" s="6" t="n">
        <f aca="false">2*(1-NORMSDIST(ABS(H6/I6)))</f>
        <v>0.000109806012538627</v>
      </c>
      <c r="M6" s="8" t="n">
        <f aca="false">EXP(H6)-1</f>
        <v>-0.0116718279765926</v>
      </c>
      <c r="N6" s="8" t="n">
        <f aca="false">EXP(J6)-1</f>
        <v>-0.0175343416544416</v>
      </c>
      <c r="O6" s="8" t="n">
        <f aca="false">EXP(K6)-1</f>
        <v>-0.00577433183769682</v>
      </c>
      <c r="P6" s="7" t="n">
        <v>0.00307754340652715</v>
      </c>
      <c r="Q6" s="6" t="n">
        <f aca="false">2*(1-NORMSDIST(ABS(H6/P6)))</f>
        <v>0.000136245598708618</v>
      </c>
      <c r="R6" s="9" t="n">
        <v>0.825991217835811</v>
      </c>
      <c r="S6" s="9" t="n">
        <v>0.440381648387993</v>
      </c>
      <c r="T6" s="9" t="n">
        <v>-0.0124363365767178</v>
      </c>
      <c r="U6" s="9" t="n">
        <v>-0.0107521971558992</v>
      </c>
    </row>
    <row r="7" customFormat="false" ht="17.15" hidden="false" customHeight="false" outlineLevel="0" collapsed="false">
      <c r="A7" s="3" t="s">
        <v>15</v>
      </c>
      <c r="B7" s="4" t="s">
        <v>16</v>
      </c>
      <c r="C7" s="3" t="s">
        <v>46</v>
      </c>
      <c r="D7" s="4" t="s">
        <v>17</v>
      </c>
      <c r="E7" s="3" t="s">
        <v>20</v>
      </c>
      <c r="F7" s="3" t="s">
        <v>19</v>
      </c>
      <c r="G7" s="4" t="n">
        <v>486</v>
      </c>
      <c r="H7" s="7" t="n">
        <v>-0.0113789645612674</v>
      </c>
      <c r="I7" s="7" t="n">
        <v>0.00312896944342698</v>
      </c>
      <c r="J7" s="6" t="n">
        <f aca="false">H7-1.96*I7</f>
        <v>-0.0175117446703843</v>
      </c>
      <c r="K7" s="6" t="n">
        <f aca="false">H7+1.96*I7</f>
        <v>-0.00524618445215054</v>
      </c>
      <c r="L7" s="6" t="n">
        <f aca="false">2*(1-NORMSDIST(ABS(H7/I7)))</f>
        <v>0.000276207568953302</v>
      </c>
      <c r="M7" s="8" t="n">
        <f aca="false">EXP(H7)-1</f>
        <v>-0.0113144690066951</v>
      </c>
      <c r="N7" s="8" t="n">
        <f aca="false">EXP(J7)-1</f>
        <v>-0.0173593051937652</v>
      </c>
      <c r="O7" s="8" t="n">
        <f aca="false">EXP(K7)-1</f>
        <v>-0.00523244725961147</v>
      </c>
      <c r="P7" s="7" t="n">
        <v>0.00327812411345042</v>
      </c>
      <c r="Q7" s="6" t="n">
        <f aca="false">2*(1-NORMSDIST(ABS(H7/P7)))</f>
        <v>0.000518173170028113</v>
      </c>
      <c r="R7" s="9" t="n">
        <v>0.81493049142198</v>
      </c>
      <c r="S7" s="9" t="n">
        <v>0.419459050173872</v>
      </c>
      <c r="T7" s="9" t="n">
        <v>-0.0126175230284438</v>
      </c>
      <c r="U7" s="9" t="n">
        <v>-0.0103563681527366</v>
      </c>
    </row>
    <row r="8" customFormat="false" ht="17.15" hidden="false" customHeight="false" outlineLevel="0" collapsed="false">
      <c r="A8" s="3" t="s">
        <v>15</v>
      </c>
      <c r="B8" s="4" t="s">
        <v>16</v>
      </c>
      <c r="C8" s="3" t="s">
        <v>46</v>
      </c>
      <c r="D8" s="4" t="s">
        <v>21</v>
      </c>
      <c r="E8" s="3" t="s">
        <v>18</v>
      </c>
      <c r="F8" s="3" t="s">
        <v>19</v>
      </c>
      <c r="G8" s="4" t="n">
        <v>486</v>
      </c>
      <c r="H8" s="7" t="n">
        <v>-0.0114438312779896</v>
      </c>
      <c r="I8" s="7" t="n">
        <v>0.00270204966278617</v>
      </c>
      <c r="J8" s="6" t="n">
        <f aca="false">H8-1.96*I8</f>
        <v>-0.0167398486170505</v>
      </c>
      <c r="K8" s="6" t="n">
        <f aca="false">H8+1.96*I8</f>
        <v>-0.00614781393892873</v>
      </c>
      <c r="L8" s="6" t="n">
        <f aca="false">2*(1-NORMSDIST(ABS(H8/I8)))</f>
        <v>2.28306803913281E-005</v>
      </c>
      <c r="M8" s="8" t="n">
        <f aca="false">EXP(H8)-1</f>
        <v>-0.0113785997109648</v>
      </c>
      <c r="N8" s="8" t="n">
        <f aca="false">EXP(J8)-1</f>
        <v>-0.0166005159040454</v>
      </c>
      <c r="O8" s="8" t="n">
        <f aca="false">EXP(K8)-1</f>
        <v>-0.00612895479810283</v>
      </c>
      <c r="P8" s="7" t="n">
        <v>0.00289305502124128</v>
      </c>
      <c r="Q8" s="6" t="n">
        <f aca="false">2*(1-NORMSDIST(ABS(H8/P8)))</f>
        <v>7.63358692545957E-005</v>
      </c>
      <c r="R8" s="9" t="n">
        <v>0.841681587512692</v>
      </c>
      <c r="S8" s="9" t="n">
        <v>0.469328337228119</v>
      </c>
      <c r="T8" s="9" t="n">
        <v>-0.0145166149339643</v>
      </c>
      <c r="U8" s="9" t="n">
        <v>-0.0106454863477183</v>
      </c>
    </row>
    <row r="9" customFormat="false" ht="17.15" hidden="false" customHeight="false" outlineLevel="0" collapsed="false">
      <c r="A9" s="3" t="s">
        <v>15</v>
      </c>
      <c r="B9" s="4" t="s">
        <v>16</v>
      </c>
      <c r="C9" s="3" t="s">
        <v>46</v>
      </c>
      <c r="D9" s="4" t="s">
        <v>21</v>
      </c>
      <c r="E9" s="3" t="s">
        <v>20</v>
      </c>
      <c r="F9" s="3" t="s">
        <v>19</v>
      </c>
      <c r="G9" s="4" t="n">
        <v>486</v>
      </c>
      <c r="H9" s="7" t="n">
        <v>-0.0114725324673969</v>
      </c>
      <c r="I9" s="7" t="n">
        <v>0.00293744320743446</v>
      </c>
      <c r="J9" s="6" t="n">
        <f aca="false">H9-1.96*I9</f>
        <v>-0.0172299211539685</v>
      </c>
      <c r="K9" s="6" t="n">
        <f aca="false">H9+1.96*I9</f>
        <v>-0.00571514378082536</v>
      </c>
      <c r="L9" s="6" t="n">
        <f aca="false">2*(1-NORMSDIST(ABS(H9/I9)))</f>
        <v>9.39846963154967E-005</v>
      </c>
      <c r="M9" s="8" t="n">
        <f aca="false">EXP(H9)-1</f>
        <v>-0.0114069739138379</v>
      </c>
      <c r="N9" s="8" t="n">
        <f aca="false">EXP(J9)-1</f>
        <v>-0.0170823349112453</v>
      </c>
      <c r="O9" s="8" t="n">
        <f aca="false">EXP(K9)-1</f>
        <v>-0.00569884341437066</v>
      </c>
      <c r="P9" s="7" t="n">
        <v>0.00305846616907611</v>
      </c>
      <c r="Q9" s="6" t="n">
        <f aca="false">2*(1-NORMSDIST(ABS(H9/P9)))</f>
        <v>0.000176078823616699</v>
      </c>
      <c r="R9" s="9" t="n">
        <v>0.824949781454716</v>
      </c>
      <c r="S9" s="9" t="n">
        <v>0.415990726894079</v>
      </c>
      <c r="T9" s="9" t="n">
        <v>-0.0142962275100293</v>
      </c>
      <c r="U9" s="9" t="n">
        <v>-0.0102041076428547</v>
      </c>
    </row>
    <row r="10" customFormat="false" ht="17.15" hidden="false" customHeight="false" outlineLevel="0" collapsed="false">
      <c r="A10" s="3" t="s">
        <v>15</v>
      </c>
      <c r="B10" s="4" t="s">
        <v>22</v>
      </c>
      <c r="C10" s="3" t="s">
        <v>45</v>
      </c>
      <c r="D10" s="4" t="s">
        <v>17</v>
      </c>
      <c r="E10" s="3" t="s">
        <v>18</v>
      </c>
      <c r="F10" s="3" t="s">
        <v>19</v>
      </c>
      <c r="G10" s="4" t="n">
        <v>241</v>
      </c>
      <c r="H10" s="7" t="n">
        <v>-0.00369778269310122</v>
      </c>
      <c r="I10" s="7" t="n">
        <v>0.00610921027448584</v>
      </c>
      <c r="J10" s="6" t="n">
        <f aca="false">H10-1.96*I10</f>
        <v>-0.0156718348310935</v>
      </c>
      <c r="K10" s="6" t="n">
        <f aca="false">H10+1.96*I10</f>
        <v>0.00827626944489101</v>
      </c>
      <c r="L10" s="6" t="n">
        <f aca="false">2*(1-NORMSDIST(ABS(H10/I10)))</f>
        <v>0.544992979058967</v>
      </c>
      <c r="M10" s="8" t="n">
        <f aca="false">EXP(H10)-1</f>
        <v>-0.00369095431389233</v>
      </c>
      <c r="N10" s="8" t="n">
        <f aca="false">EXP(J10)-1</f>
        <v>-0.0155496706392005</v>
      </c>
      <c r="O10" s="8" t="n">
        <f aca="false">EXP(K10)-1</f>
        <v>0.0083106124414376</v>
      </c>
      <c r="P10" s="7" t="n">
        <v>0.00641820891294492</v>
      </c>
      <c r="Q10" s="6" t="n">
        <f aca="false">2*(1-NORMSDIST(ABS(H10/P10)))</f>
        <v>0.564520997721387</v>
      </c>
      <c r="R10" s="9" t="n">
        <v>0.645919259369937</v>
      </c>
      <c r="S10" s="9" t="n">
        <v>0.329538420664388</v>
      </c>
      <c r="T10" s="9" t="n">
        <v>-0.00575419286186961</v>
      </c>
      <c r="U10" s="9" t="n">
        <v>-0.00190709587845164</v>
      </c>
    </row>
    <row r="11" customFormat="false" ht="17.15" hidden="false" customHeight="false" outlineLevel="0" collapsed="false">
      <c r="A11" s="3" t="s">
        <v>15</v>
      </c>
      <c r="B11" s="4" t="s">
        <v>22</v>
      </c>
      <c r="C11" s="3" t="s">
        <v>45</v>
      </c>
      <c r="D11" s="4" t="s">
        <v>17</v>
      </c>
      <c r="E11" s="3" t="s">
        <v>20</v>
      </c>
      <c r="F11" s="3" t="s">
        <v>19</v>
      </c>
      <c r="G11" s="4" t="n">
        <v>241</v>
      </c>
      <c r="H11" s="7" t="n">
        <v>-0.00233202950160276</v>
      </c>
      <c r="I11" s="7" t="n">
        <v>0.00578764593874417</v>
      </c>
      <c r="J11" s="6" t="n">
        <f aca="false">H11-1.96*I11</f>
        <v>-0.0136758155415413</v>
      </c>
      <c r="K11" s="6" t="n">
        <f aca="false">H11+1.96*I11</f>
        <v>0.00901175653833582</v>
      </c>
      <c r="L11" s="6" t="n">
        <f aca="false">2*(1-NORMSDIST(ABS(H11/I11)))</f>
        <v>0.68699802740791</v>
      </c>
      <c r="M11" s="8" t="n">
        <f aca="false">EXP(H11)-1</f>
        <v>-0.00232931243330947</v>
      </c>
      <c r="N11" s="8" t="n">
        <f aca="false">EXP(J11)-1</f>
        <v>-0.0135827264159256</v>
      </c>
      <c r="O11" s="8" t="n">
        <f aca="false">EXP(K11)-1</f>
        <v>0.00905248466835329</v>
      </c>
      <c r="P11" s="7" t="n">
        <v>0.00644188153983082</v>
      </c>
      <c r="Q11" s="6" t="n">
        <f aca="false">2*(1-NORMSDIST(ABS(H11/P11)))</f>
        <v>0.717344097644556</v>
      </c>
      <c r="R11" s="9" t="n">
        <v>0.645456309287102</v>
      </c>
      <c r="S11" s="9" t="n">
        <v>0.290935345516587</v>
      </c>
      <c r="T11" s="9" t="n">
        <v>-0.00395027363105283</v>
      </c>
      <c r="U11" s="9" t="n">
        <v>-0.000233949719734681</v>
      </c>
    </row>
    <row r="12" customFormat="false" ht="17.15" hidden="false" customHeight="false" outlineLevel="0" collapsed="false">
      <c r="A12" s="3" t="s">
        <v>15</v>
      </c>
      <c r="B12" s="4" t="s">
        <v>22</v>
      </c>
      <c r="C12" s="3" t="s">
        <v>45</v>
      </c>
      <c r="D12" s="4" t="s">
        <v>21</v>
      </c>
      <c r="E12" s="3" t="s">
        <v>18</v>
      </c>
      <c r="F12" s="3" t="s">
        <v>19</v>
      </c>
      <c r="G12" s="4" t="n">
        <v>241</v>
      </c>
      <c r="H12" s="7" t="n">
        <v>-0.00629950690331253</v>
      </c>
      <c r="I12" s="7" t="n">
        <v>0.00633044887980083</v>
      </c>
      <c r="J12" s="6" t="n">
        <f aca="false">H12-1.96*I12</f>
        <v>-0.0187071867077222</v>
      </c>
      <c r="K12" s="6" t="n">
        <f aca="false">H12+1.96*I12</f>
        <v>0.00610817290109709</v>
      </c>
      <c r="L12" s="6" t="n">
        <f aca="false">2*(1-NORMSDIST(ABS(H12/I12)))</f>
        <v>0.319681698326982</v>
      </c>
      <c r="M12" s="8" t="n">
        <f aca="false">EXP(H12)-1</f>
        <v>-0.00627970660888111</v>
      </c>
      <c r="N12" s="8" t="n">
        <f aca="false">EXP(J12)-1</f>
        <v>-0.0185332933307399</v>
      </c>
      <c r="O12" s="8" t="n">
        <f aca="false">EXP(K12)-1</f>
        <v>0.00612686582969091</v>
      </c>
      <c r="P12" s="7" t="n">
        <v>0.00693506933187087</v>
      </c>
      <c r="Q12" s="6" t="n">
        <f aca="false">2*(1-NORMSDIST(ABS(H12/P12)))</f>
        <v>0.363690540357087</v>
      </c>
      <c r="R12" s="9" t="n">
        <v>0.690390431786822</v>
      </c>
      <c r="S12" s="9" t="n">
        <v>0.337018477130777</v>
      </c>
      <c r="T12" s="9" t="n">
        <v>-0.0101898138741425</v>
      </c>
      <c r="U12" s="9" t="n">
        <v>-0.00514328397627045</v>
      </c>
    </row>
    <row r="13" customFormat="false" ht="17.15" hidden="false" customHeight="false" outlineLevel="0" collapsed="false">
      <c r="A13" s="3" t="s">
        <v>15</v>
      </c>
      <c r="B13" s="4" t="s">
        <v>22</v>
      </c>
      <c r="C13" s="3" t="s">
        <v>45</v>
      </c>
      <c r="D13" s="4" t="s">
        <v>21</v>
      </c>
      <c r="E13" s="3" t="s">
        <v>20</v>
      </c>
      <c r="F13" s="3" t="s">
        <v>19</v>
      </c>
      <c r="G13" s="4" t="n">
        <v>241</v>
      </c>
      <c r="H13" s="7" t="n">
        <v>-0.00614709535003481</v>
      </c>
      <c r="I13" s="7" t="n">
        <v>0.00610589901865464</v>
      </c>
      <c r="J13" s="6" t="n">
        <f aca="false">H13-1.96*I13</f>
        <v>-0.0181146574265979</v>
      </c>
      <c r="K13" s="6" t="n">
        <f aca="false">H13+1.96*I13</f>
        <v>0.00582046672652829</v>
      </c>
      <c r="L13" s="6" t="n">
        <f aca="false">2*(1-NORMSDIST(ABS(H13/I13)))</f>
        <v>0.314056383144042</v>
      </c>
      <c r="M13" s="8" t="n">
        <f aca="false">EXP(H13)-1</f>
        <v>-0.0061282406131512</v>
      </c>
      <c r="N13" s="8" t="n">
        <f aca="false">EXP(J13)-1</f>
        <v>-0.0179515732425166</v>
      </c>
      <c r="O13" s="8" t="n">
        <f aca="false">EXP(K13)-1</f>
        <v>0.00583743855499574</v>
      </c>
      <c r="P13" s="7" t="n">
        <v>0.00590628586233175</v>
      </c>
      <c r="Q13" s="6" t="n">
        <f aca="false">2*(1-NORMSDIST(ABS(H13/P13)))</f>
        <v>0.297981503782117</v>
      </c>
      <c r="R13" s="9" t="n">
        <v>0.706983432457941</v>
      </c>
      <c r="S13" s="9" t="n">
        <v>0.282864833500048</v>
      </c>
      <c r="T13" s="9" t="n">
        <v>-0.00676110282596454</v>
      </c>
      <c r="U13" s="9" t="n">
        <v>-0.00156007145346897</v>
      </c>
    </row>
    <row r="14" customFormat="false" ht="17.15" hidden="false" customHeight="false" outlineLevel="0" collapsed="false">
      <c r="A14" s="3" t="s">
        <v>15</v>
      </c>
      <c r="B14" s="4" t="s">
        <v>22</v>
      </c>
      <c r="C14" s="3" t="s">
        <v>46</v>
      </c>
      <c r="D14" s="4" t="s">
        <v>17</v>
      </c>
      <c r="E14" s="3" t="s">
        <v>18</v>
      </c>
      <c r="F14" s="3" t="s">
        <v>19</v>
      </c>
      <c r="G14" s="4" t="n">
        <v>486</v>
      </c>
      <c r="H14" s="7" t="n">
        <v>-0.00412838292674269</v>
      </c>
      <c r="I14" s="7" t="n">
        <v>0.0040788770130232</v>
      </c>
      <c r="J14" s="6" t="n">
        <f aca="false">H14-1.96*I14</f>
        <v>-0.0121229818722682</v>
      </c>
      <c r="K14" s="6" t="n">
        <f aca="false">H14+1.96*I14</f>
        <v>0.00386621601878278</v>
      </c>
      <c r="L14" s="6" t="n">
        <f aca="false">2*(1-NORMSDIST(ABS(H14/I14)))</f>
        <v>0.311472485169267</v>
      </c>
      <c r="M14" s="8" t="n">
        <f aca="false">EXP(H14)-1</f>
        <v>-0.00411987286890148</v>
      </c>
      <c r="N14" s="8" t="n">
        <f aca="false">EXP(J14)-1</f>
        <v>-0.0120497945754933</v>
      </c>
      <c r="O14" s="8" t="n">
        <f aca="false">EXP(K14)-1</f>
        <v>0.00387369947304372</v>
      </c>
      <c r="P14" s="7" t="n">
        <v>0.00476450311435167</v>
      </c>
      <c r="Q14" s="6" t="n">
        <f aca="false">2*(1-NORMSDIST(ABS(H14/P14)))</f>
        <v>0.386222816820143</v>
      </c>
      <c r="R14" s="9" t="n">
        <v>0.387067000856158</v>
      </c>
      <c r="S14" s="9" t="n">
        <v>0.440381648387993</v>
      </c>
      <c r="T14" s="9" t="n">
        <v>-0.00503517231190878</v>
      </c>
      <c r="U14" s="9" t="n">
        <v>-0.0017107570559102</v>
      </c>
    </row>
    <row r="15" customFormat="false" ht="17.15" hidden="false" customHeight="false" outlineLevel="0" collapsed="false">
      <c r="A15" s="3" t="s">
        <v>15</v>
      </c>
      <c r="B15" s="4" t="s">
        <v>22</v>
      </c>
      <c r="C15" s="3" t="s">
        <v>46</v>
      </c>
      <c r="D15" s="4" t="s">
        <v>17</v>
      </c>
      <c r="E15" s="3" t="s">
        <v>20</v>
      </c>
      <c r="F15" s="3" t="s">
        <v>19</v>
      </c>
      <c r="G15" s="4" t="n">
        <v>486</v>
      </c>
      <c r="H15" s="7" t="n">
        <v>-0.00457711465799471</v>
      </c>
      <c r="I15" s="7" t="n">
        <v>0.00382577423979222</v>
      </c>
      <c r="J15" s="6" t="n">
        <f aca="false">H15-1.96*I15</f>
        <v>-0.0120756321679875</v>
      </c>
      <c r="K15" s="6" t="n">
        <f aca="false">H15+1.96*I15</f>
        <v>0.00292140285199804</v>
      </c>
      <c r="L15" s="6" t="n">
        <f aca="false">2*(1-NORMSDIST(ABS(H15/I15)))</f>
        <v>0.231544746969011</v>
      </c>
      <c r="M15" s="8" t="n">
        <f aca="false">EXP(H15)-1</f>
        <v>-0.00456665563216996</v>
      </c>
      <c r="N15" s="8" t="n">
        <f aca="false">EXP(J15)-1</f>
        <v>-0.0120030143179154</v>
      </c>
      <c r="O15" s="8" t="n">
        <f aca="false">EXP(K15)-1</f>
        <v>0.00292567430784474</v>
      </c>
      <c r="P15" s="7" t="n">
        <v>0.00443433235069505</v>
      </c>
      <c r="Q15" s="6" t="n">
        <f aca="false">2*(1-NORMSDIST(ABS(H15/P15)))</f>
        <v>0.301978772457814</v>
      </c>
      <c r="R15" s="9" t="n">
        <v>0.40681545884646</v>
      </c>
      <c r="S15" s="9" t="n">
        <v>0.419459050173872</v>
      </c>
      <c r="T15" s="9" t="n">
        <v>-0.00565844383131014</v>
      </c>
      <c r="U15" s="9" t="n">
        <v>-0.00178406541552286</v>
      </c>
    </row>
    <row r="16" customFormat="false" ht="17.15" hidden="false" customHeight="false" outlineLevel="0" collapsed="false">
      <c r="A16" s="3" t="s">
        <v>15</v>
      </c>
      <c r="B16" s="4" t="s">
        <v>22</v>
      </c>
      <c r="C16" s="3" t="s">
        <v>46</v>
      </c>
      <c r="D16" s="4" t="s">
        <v>21</v>
      </c>
      <c r="E16" s="3" t="s">
        <v>18</v>
      </c>
      <c r="F16" s="3" t="s">
        <v>19</v>
      </c>
      <c r="G16" s="4" t="n">
        <v>486</v>
      </c>
      <c r="H16" s="7" t="n">
        <v>-0.00464407654416639</v>
      </c>
      <c r="I16" s="7" t="n">
        <v>0.00439623082979822</v>
      </c>
      <c r="J16" s="6" t="n">
        <f aca="false">H16-1.96*I16</f>
        <v>-0.0132606889705709</v>
      </c>
      <c r="K16" s="6" t="n">
        <f aca="false">H16+1.96*I16</f>
        <v>0.00397253588223813</v>
      </c>
      <c r="L16" s="6" t="n">
        <f aca="false">2*(1-NORMSDIST(ABS(H16/I16)))</f>
        <v>0.290796071074018</v>
      </c>
      <c r="M16" s="8" t="n">
        <f aca="false">EXP(H16)-1</f>
        <v>-0.004633309494808</v>
      </c>
      <c r="N16" s="8" t="n">
        <f aca="false">EXP(J16)-1</f>
        <v>-0.0131731533891554</v>
      </c>
      <c r="O16" s="8" t="n">
        <f aca="false">EXP(K16)-1</f>
        <v>0.00398043686174976</v>
      </c>
      <c r="P16" s="7" t="n">
        <v>0.00485762320947591</v>
      </c>
      <c r="Q16" s="6" t="n">
        <f aca="false">2*(1-NORMSDIST(ABS(H16/P16)))</f>
        <v>0.339052603143562</v>
      </c>
      <c r="R16" s="9" t="n">
        <v>0.381307159644824</v>
      </c>
      <c r="S16" s="9" t="n">
        <v>0.469328337228119</v>
      </c>
      <c r="T16" s="9" t="n">
        <v>-0.00771561560335927</v>
      </c>
      <c r="U16" s="9" t="n">
        <v>-0.0038245485801722</v>
      </c>
    </row>
    <row r="17" customFormat="false" ht="17.15" hidden="false" customHeight="false" outlineLevel="0" collapsed="false">
      <c r="A17" s="3" t="s">
        <v>15</v>
      </c>
      <c r="B17" s="4" t="s">
        <v>22</v>
      </c>
      <c r="C17" s="3" t="s">
        <v>46</v>
      </c>
      <c r="D17" s="4" t="s">
        <v>21</v>
      </c>
      <c r="E17" s="3" t="s">
        <v>20</v>
      </c>
      <c r="F17" s="3" t="s">
        <v>19</v>
      </c>
      <c r="G17" s="4" t="n">
        <v>486</v>
      </c>
      <c r="H17" s="7" t="n">
        <v>-0.00491274018336509</v>
      </c>
      <c r="I17" s="7" t="n">
        <v>0.00440867085254325</v>
      </c>
      <c r="J17" s="6" t="n">
        <f aca="false">H17-1.96*I17</f>
        <v>-0.0135537350543499</v>
      </c>
      <c r="K17" s="6" t="n">
        <f aca="false">H17+1.96*I17</f>
        <v>0.00372825468761969</v>
      </c>
      <c r="L17" s="6" t="n">
        <f aca="false">2*(1-NORMSDIST(ABS(H17/I17)))</f>
        <v>0.265135113054011</v>
      </c>
      <c r="M17" s="8" t="n">
        <f aca="false">EXP(H17)-1</f>
        <v>-0.00490069241257407</v>
      </c>
      <c r="N17" s="8" t="n">
        <f aca="false">EXP(J17)-1</f>
        <v>-0.0134622967636866</v>
      </c>
      <c r="O17" s="8" t="n">
        <f aca="false">EXP(K17)-1</f>
        <v>0.00373521327423454</v>
      </c>
      <c r="P17" s="7" t="n">
        <v>0.00492409152567038</v>
      </c>
      <c r="Q17" s="6" t="n">
        <f aca="false">2*(1-NORMSDIST(ABS(H17/P17)))</f>
        <v>0.318427407674221</v>
      </c>
      <c r="R17" s="9" t="n">
        <v>0.304857720240367</v>
      </c>
      <c r="S17" s="9" t="n">
        <v>0.415990726894079</v>
      </c>
      <c r="T17" s="9" t="n">
        <v>-0.00622558249030928</v>
      </c>
      <c r="U17" s="9" t="n">
        <v>-0.00303453051404462</v>
      </c>
    </row>
    <row r="18" customFormat="false" ht="17.15" hidden="false" customHeight="false" outlineLevel="0" collapsed="false">
      <c r="A18" s="3" t="s">
        <v>23</v>
      </c>
      <c r="B18" s="4" t="s">
        <v>24</v>
      </c>
      <c r="C18" s="3" t="s">
        <v>45</v>
      </c>
      <c r="D18" s="4" t="s">
        <v>17</v>
      </c>
      <c r="E18" s="3" t="s">
        <v>18</v>
      </c>
      <c r="F18" s="3" t="s">
        <v>19</v>
      </c>
      <c r="G18" s="4" t="n">
        <v>241</v>
      </c>
      <c r="H18" s="7" t="n">
        <v>-0.0067193214072795</v>
      </c>
      <c r="I18" s="7" t="n">
        <v>0.00590747067588735</v>
      </c>
      <c r="J18" s="6" t="n">
        <f aca="false">H18-1.96*I18</f>
        <v>-0.0182979639320187</v>
      </c>
      <c r="K18" s="6" t="n">
        <f aca="false">H18+1.96*I18</f>
        <v>0.00485932111745971</v>
      </c>
      <c r="L18" s="6" t="n">
        <f aca="false">2*(1-NORMSDIST(ABS(H18/I18)))</f>
        <v>0.255359488908344</v>
      </c>
      <c r="M18" s="8" t="n">
        <f aca="false">EXP(H18)-1</f>
        <v>-0.00669679724445804</v>
      </c>
      <c r="N18" s="8" t="n">
        <f aca="false">EXP(J18)-1</f>
        <v>-0.0181315726097481</v>
      </c>
      <c r="O18" s="8" t="n">
        <f aca="false">EXP(K18)-1</f>
        <v>0.00487114676543543</v>
      </c>
      <c r="P18" s="7" t="n">
        <v>0.00656472079757909</v>
      </c>
      <c r="Q18" s="6" t="n">
        <f aca="false">2*(1-NORMSDIST(ABS(H18/P18)))</f>
        <v>0.306047768672225</v>
      </c>
      <c r="R18" s="9" t="n">
        <v>0.763605486235643</v>
      </c>
      <c r="S18" s="9" t="n">
        <v>0.329538420664388</v>
      </c>
      <c r="T18" s="9" t="n">
        <v>-0.00788800593344665</v>
      </c>
      <c r="U18" s="9" t="n">
        <v>-0.00335754946876334</v>
      </c>
    </row>
    <row r="19" customFormat="false" ht="17.15" hidden="false" customHeight="false" outlineLevel="0" collapsed="false">
      <c r="A19" s="3" t="s">
        <v>23</v>
      </c>
      <c r="B19" s="4" t="s">
        <v>24</v>
      </c>
      <c r="C19" s="3" t="s">
        <v>45</v>
      </c>
      <c r="D19" s="4" t="s">
        <v>21</v>
      </c>
      <c r="E19" s="3" t="s">
        <v>18</v>
      </c>
      <c r="F19" s="3" t="s">
        <v>19</v>
      </c>
      <c r="G19" s="4" t="n">
        <v>241</v>
      </c>
      <c r="H19" s="7" t="n">
        <v>-0.00637678963208613</v>
      </c>
      <c r="I19" s="7" t="n">
        <v>0.00590583424591921</v>
      </c>
      <c r="J19" s="6" t="n">
        <f aca="false">H19-1.96*I19</f>
        <v>-0.0179522247540878</v>
      </c>
      <c r="K19" s="6" t="n">
        <f aca="false">H19+1.96*I19</f>
        <v>0.00519864548991553</v>
      </c>
      <c r="L19" s="6" t="n">
        <f aca="false">2*(1-NORMSDIST(ABS(H19/I19)))</f>
        <v>0.280256153795817</v>
      </c>
      <c r="M19" s="8" t="n">
        <f aca="false">EXP(H19)-1</f>
        <v>-0.00635650105731167</v>
      </c>
      <c r="N19" s="8" t="n">
        <f aca="false">EXP(J19)-1</f>
        <v>-0.0177920435359565</v>
      </c>
      <c r="O19" s="8" t="n">
        <f aca="false">EXP(K19)-1</f>
        <v>0.00521218189420392</v>
      </c>
      <c r="P19" s="7" t="n">
        <v>0.00643640505989568</v>
      </c>
      <c r="Q19" s="6" t="n">
        <f aca="false">2*(1-NORMSDIST(ABS(H19/P19)))</f>
        <v>0.321813640227308</v>
      </c>
      <c r="R19" s="9" t="n">
        <v>0.774685981047066</v>
      </c>
      <c r="S19" s="9" t="n">
        <v>0.337018477130777</v>
      </c>
      <c r="T19" s="9" t="n">
        <v>-0.00758805182226555</v>
      </c>
      <c r="U19" s="9" t="n">
        <v>-0.00248512918337892</v>
      </c>
    </row>
    <row r="20" customFormat="false" ht="17.15" hidden="false" customHeight="false" outlineLevel="0" collapsed="false">
      <c r="A20" s="3" t="s">
        <v>23</v>
      </c>
      <c r="B20" s="4" t="s">
        <v>24</v>
      </c>
      <c r="C20" s="3" t="s">
        <v>46</v>
      </c>
      <c r="D20" s="4" t="s">
        <v>17</v>
      </c>
      <c r="E20" s="3" t="s">
        <v>18</v>
      </c>
      <c r="F20" s="3" t="s">
        <v>19</v>
      </c>
      <c r="G20" s="4" t="n">
        <v>486</v>
      </c>
      <c r="H20" s="7" t="n">
        <v>-0.00658230409423744</v>
      </c>
      <c r="I20" s="7" t="n">
        <v>0.00199806314493483</v>
      </c>
      <c r="J20" s="6" t="n">
        <f aca="false">H20-1.96*I20</f>
        <v>-0.0104985078583097</v>
      </c>
      <c r="K20" s="6" t="n">
        <f aca="false">H20+1.96*I20</f>
        <v>-0.00266610033016518</v>
      </c>
      <c r="L20" s="6" t="n">
        <f aca="false">2*(1-NORMSDIST(ABS(H20/I20)))</f>
        <v>0.000986522554056402</v>
      </c>
      <c r="M20" s="8" t="n">
        <f aca="false">EXP(H20)-1</f>
        <v>-0.00656068818414457</v>
      </c>
      <c r="N20" s="8" t="n">
        <f aca="false">EXP(J20)-1</f>
        <v>-0.0104435908748294</v>
      </c>
      <c r="O20" s="8" t="n">
        <f aca="false">EXP(K20)-1</f>
        <v>-0.00266254944105648</v>
      </c>
      <c r="P20" s="7" t="n">
        <v>0.00199293101174432</v>
      </c>
      <c r="Q20" s="6" t="n">
        <f aca="false">2*(1-NORMSDIST(ABS(H20/P20)))</f>
        <v>0.0009571580532306</v>
      </c>
      <c r="R20" s="9" t="n">
        <v>0.787615121589675</v>
      </c>
      <c r="S20" s="9" t="n">
        <v>0.440381648387993</v>
      </c>
      <c r="T20" s="9" t="n">
        <v>-0.00743591577633467</v>
      </c>
      <c r="U20" s="9" t="n">
        <v>-0.00554512610557087</v>
      </c>
    </row>
    <row r="21" customFormat="false" ht="17.15" hidden="false" customHeight="false" outlineLevel="0" collapsed="false">
      <c r="A21" s="3" t="s">
        <v>23</v>
      </c>
      <c r="B21" s="4" t="s">
        <v>24</v>
      </c>
      <c r="C21" s="3" t="s">
        <v>46</v>
      </c>
      <c r="D21" s="4" t="s">
        <v>21</v>
      </c>
      <c r="E21" s="3" t="s">
        <v>18</v>
      </c>
      <c r="F21" s="3" t="s">
        <v>19</v>
      </c>
      <c r="G21" s="4" t="n">
        <v>486</v>
      </c>
      <c r="H21" s="7" t="n">
        <v>-0.00649731438224229</v>
      </c>
      <c r="I21" s="7" t="n">
        <v>0.00183673008780041</v>
      </c>
      <c r="J21" s="6" t="n">
        <f aca="false">H21-1.96*I21</f>
        <v>-0.0100973053543311</v>
      </c>
      <c r="K21" s="6" t="n">
        <f aca="false">H21+1.96*I21</f>
        <v>-0.00289732341015349</v>
      </c>
      <c r="L21" s="6" t="n">
        <f aca="false">2*(1-NORMSDIST(ABS(H21/I21)))</f>
        <v>0.000404032718668734</v>
      </c>
      <c r="M21" s="8" t="n">
        <f aca="false">EXP(H21)-1</f>
        <v>-0.00647625247511618</v>
      </c>
      <c r="N21" s="8" t="n">
        <f aca="false">EXP(J21)-1</f>
        <v>-0.0100464987138021</v>
      </c>
      <c r="O21" s="8" t="n">
        <f aca="false">EXP(K21)-1</f>
        <v>-0.00289313021933624</v>
      </c>
      <c r="P21" s="7" t="n">
        <v>0.00187133659070033</v>
      </c>
      <c r="Q21" s="6" t="n">
        <f aca="false">2*(1-NORMSDIST(ABS(H21/P21)))</f>
        <v>0.000516561643314706</v>
      </c>
      <c r="R21" s="9" t="n">
        <v>0.787582523356442</v>
      </c>
      <c r="S21" s="9" t="n">
        <v>0.469328337228119</v>
      </c>
      <c r="T21" s="9" t="n">
        <v>-0.00918408680409826</v>
      </c>
      <c r="U21" s="9" t="n">
        <v>-0.00598347475017764</v>
      </c>
    </row>
    <row r="22" customFormat="false" ht="17.15" hidden="false" customHeight="false" outlineLevel="0" collapsed="false">
      <c r="A22" s="3" t="s">
        <v>23</v>
      </c>
      <c r="B22" s="4" t="s">
        <v>25</v>
      </c>
      <c r="C22" s="3" t="s">
        <v>45</v>
      </c>
      <c r="D22" s="4" t="s">
        <v>17</v>
      </c>
      <c r="E22" s="3" t="s">
        <v>18</v>
      </c>
      <c r="F22" s="3" t="s">
        <v>19</v>
      </c>
      <c r="G22" s="4" t="n">
        <v>241</v>
      </c>
      <c r="H22" s="7" t="n">
        <v>-0.0104935622094113</v>
      </c>
      <c r="I22" s="7" t="n">
        <v>0.00939128454182247</v>
      </c>
      <c r="J22" s="6" t="n">
        <f aca="false">H22-1.96*I22</f>
        <v>-0.0289004799113834</v>
      </c>
      <c r="K22" s="6" t="n">
        <f aca="false">H22+1.96*I22</f>
        <v>0.00791335549256069</v>
      </c>
      <c r="L22" s="6" t="n">
        <f aca="false">2*(1-NORMSDIST(ABS(H22/I22)))</f>
        <v>0.263835128197928</v>
      </c>
      <c r="M22" s="8" t="n">
        <f aca="false">EXP(H22)-1</f>
        <v>-0.0104386968641628</v>
      </c>
      <c r="N22" s="8" t="n">
        <f aca="false">EXP(J22)-1</f>
        <v>-0.0284868552700334</v>
      </c>
      <c r="O22" s="8" t="n">
        <f aca="false">EXP(K22)-1</f>
        <v>0.00794474884441754</v>
      </c>
      <c r="P22" s="7" t="n">
        <v>0.0105069734013239</v>
      </c>
      <c r="Q22" s="6" t="n">
        <f aca="false">2*(1-NORMSDIST(ABS(H22/P22)))</f>
        <v>0.317928609145964</v>
      </c>
      <c r="R22" s="9" t="n">
        <v>0.74779790375014</v>
      </c>
      <c r="S22" s="9" t="n">
        <v>0.329538420664388</v>
      </c>
      <c r="T22" s="9" t="n">
        <v>-0.0121360314515297</v>
      </c>
      <c r="U22" s="9" t="n">
        <v>-0.00642347074230403</v>
      </c>
    </row>
    <row r="23" customFormat="false" ht="17.15" hidden="false" customHeight="false" outlineLevel="0" collapsed="false">
      <c r="A23" s="3" t="s">
        <v>23</v>
      </c>
      <c r="B23" s="4" t="s">
        <v>25</v>
      </c>
      <c r="C23" s="3" t="s">
        <v>45</v>
      </c>
      <c r="D23" s="4" t="s">
        <v>21</v>
      </c>
      <c r="E23" s="3" t="s">
        <v>18</v>
      </c>
      <c r="F23" s="3" t="s">
        <v>19</v>
      </c>
      <c r="G23" s="4" t="n">
        <v>241</v>
      </c>
      <c r="H23" s="7" t="n">
        <v>-0.00815585548315511</v>
      </c>
      <c r="I23" s="7" t="n">
        <v>0.00823831290152834</v>
      </c>
      <c r="J23" s="6" t="n">
        <f aca="false">H23-1.96*I23</f>
        <v>-0.0243029487701507</v>
      </c>
      <c r="K23" s="6" t="n">
        <f aca="false">H23+1.96*I23</f>
        <v>0.00799123780384045</v>
      </c>
      <c r="L23" s="6" t="n">
        <f aca="false">2*(1-NORMSDIST(ABS(H23/I23)))</f>
        <v>0.322178526643348</v>
      </c>
      <c r="M23" s="8" t="n">
        <f aca="false">EXP(H23)-1</f>
        <v>-0.00812268672826777</v>
      </c>
      <c r="N23" s="8" t="n">
        <f aca="false">EXP(J23)-1</f>
        <v>-0.0240100100009472</v>
      </c>
      <c r="O23" s="8" t="n">
        <f aca="false">EXP(K23)-1</f>
        <v>0.00802325296810147</v>
      </c>
      <c r="P23" s="7" t="n">
        <v>0.00881655066840463</v>
      </c>
      <c r="Q23" s="6" t="n">
        <f aca="false">2*(1-NORMSDIST(ABS(H23/P23)))</f>
        <v>0.354933688130612</v>
      </c>
      <c r="R23" s="9" t="n">
        <v>0.794708858455929</v>
      </c>
      <c r="S23" s="9" t="n">
        <v>0.337018477130777</v>
      </c>
      <c r="T23" s="9" t="n">
        <v>-0.0116769154713844</v>
      </c>
      <c r="U23" s="9" t="n">
        <v>-0.00520107166644456</v>
      </c>
    </row>
    <row r="24" customFormat="false" ht="17.15" hidden="false" customHeight="false" outlineLevel="0" collapsed="false">
      <c r="A24" s="3" t="s">
        <v>23</v>
      </c>
      <c r="B24" s="4" t="s">
        <v>25</v>
      </c>
      <c r="C24" s="3" t="s">
        <v>46</v>
      </c>
      <c r="D24" s="4" t="s">
        <v>17</v>
      </c>
      <c r="E24" s="3" t="s">
        <v>18</v>
      </c>
      <c r="F24" s="3" t="s">
        <v>19</v>
      </c>
      <c r="G24" s="4" t="n">
        <v>486</v>
      </c>
      <c r="H24" s="7" t="n">
        <v>-0.00993226238320666</v>
      </c>
      <c r="I24" s="7" t="n">
        <v>0.00305614897406517</v>
      </c>
      <c r="J24" s="6" t="n">
        <f aca="false">H24-1.96*I24</f>
        <v>-0.0159223143723744</v>
      </c>
      <c r="K24" s="6" t="n">
        <f aca="false">H24+1.96*I24</f>
        <v>-0.00394221039403893</v>
      </c>
      <c r="L24" s="6" t="n">
        <f aca="false">2*(1-NORMSDIST(ABS(H24/I24)))</f>
        <v>0.00115434461259145</v>
      </c>
      <c r="M24" s="8" t="n">
        <f aca="false">EXP(H24)-1</f>
        <v>-0.00988310036317108</v>
      </c>
      <c r="N24" s="8" t="n">
        <f aca="false">EXP(J24)-1</f>
        <v>-0.0157962244264839</v>
      </c>
      <c r="O24" s="8" t="n">
        <f aca="false">EXP(K24)-1</f>
        <v>-0.00393445008358484</v>
      </c>
      <c r="P24" s="7" t="n">
        <v>0.00313404621019907</v>
      </c>
      <c r="Q24" s="6" t="n">
        <f aca="false">2*(1-NORMSDIST(ABS(H24/P24)))</f>
        <v>0.00152885497805966</v>
      </c>
      <c r="R24" s="9" t="n">
        <v>0.830542370887395</v>
      </c>
      <c r="S24" s="9" t="n">
        <v>0.440381648387993</v>
      </c>
      <c r="T24" s="9" t="n">
        <v>-0.0105521276149647</v>
      </c>
      <c r="U24" s="9" t="n">
        <v>-0.00898623488132322</v>
      </c>
    </row>
    <row r="25" customFormat="false" ht="17.15" hidden="false" customHeight="false" outlineLevel="0" collapsed="false">
      <c r="A25" s="3" t="s">
        <v>23</v>
      </c>
      <c r="B25" s="4" t="s">
        <v>25</v>
      </c>
      <c r="C25" s="3" t="s">
        <v>46</v>
      </c>
      <c r="D25" s="4" t="s">
        <v>21</v>
      </c>
      <c r="E25" s="3" t="s">
        <v>18</v>
      </c>
      <c r="F25" s="3" t="s">
        <v>19</v>
      </c>
      <c r="G25" s="4" t="n">
        <v>486</v>
      </c>
      <c r="H25" s="7" t="n">
        <v>-0.0115055804883366</v>
      </c>
      <c r="I25" s="7" t="n">
        <v>0.00293822063283707</v>
      </c>
      <c r="J25" s="6" t="n">
        <f aca="false">H25-1.96*I25</f>
        <v>-0.0172644929286972</v>
      </c>
      <c r="K25" s="6" t="n">
        <f aca="false">H25+1.96*I25</f>
        <v>-0.00574666804797592</v>
      </c>
      <c r="L25" s="6" t="n">
        <f aca="false">2*(1-NORMSDIST(ABS(H25/I25)))</f>
        <v>9.00927022386977E-005</v>
      </c>
      <c r="M25" s="8" t="n">
        <f aca="false">EXP(H25)-1</f>
        <v>-0.0114396444170142</v>
      </c>
      <c r="N25" s="8" t="n">
        <f aca="false">EXP(J25)-1</f>
        <v>-0.0171163155319511</v>
      </c>
      <c r="O25" s="8" t="n">
        <f aca="false">EXP(K25)-1</f>
        <v>-0.00573018753560617</v>
      </c>
      <c r="P25" s="7" t="n">
        <v>0.0029786454768964</v>
      </c>
      <c r="Q25" s="6" t="n">
        <f aca="false">2*(1-NORMSDIST(ABS(H25/P25)))</f>
        <v>0.000112145837611433</v>
      </c>
      <c r="R25" s="9" t="n">
        <v>0.844438015878298</v>
      </c>
      <c r="S25" s="9" t="n">
        <v>0.469328337228119</v>
      </c>
      <c r="T25" s="9" t="n">
        <v>-0.0140086385278741</v>
      </c>
      <c r="U25" s="9" t="n">
        <v>-0.00931371245026117</v>
      </c>
    </row>
    <row r="26" customFormat="false" ht="17.15" hidden="false" customHeight="false" outlineLevel="0" collapsed="false">
      <c r="A26" s="3" t="s">
        <v>23</v>
      </c>
      <c r="B26" s="4" t="s">
        <v>26</v>
      </c>
      <c r="C26" s="3" t="s">
        <v>45</v>
      </c>
      <c r="D26" s="4" t="s">
        <v>17</v>
      </c>
      <c r="E26" s="3" t="s">
        <v>18</v>
      </c>
      <c r="F26" s="3" t="s">
        <v>19</v>
      </c>
      <c r="G26" s="4" t="n">
        <v>241</v>
      </c>
      <c r="H26" s="7" t="n">
        <v>-0.00840467645711212</v>
      </c>
      <c r="I26" s="7" t="n">
        <v>0.00931175677458134</v>
      </c>
      <c r="J26" s="6" t="n">
        <f aca="false">H26-1.96*I26</f>
        <v>-0.0266557197352916</v>
      </c>
      <c r="K26" s="6" t="n">
        <f aca="false">H26+1.96*I26</f>
        <v>0.00984636682106731</v>
      </c>
      <c r="L26" s="6" t="n">
        <f aca="false">2*(1-NORMSDIST(ABS(H26/I26)))</f>
        <v>0.366744795336763</v>
      </c>
      <c r="M26" s="8" t="n">
        <f aca="false">EXP(H26)-1</f>
        <v>-0.00836945590545524</v>
      </c>
      <c r="N26" s="8" t="n">
        <f aca="false">EXP(J26)-1</f>
        <v>-0.0263035917174347</v>
      </c>
      <c r="O26" s="8" t="n">
        <f aca="false">EXP(K26)-1</f>
        <v>0.00989500178569158</v>
      </c>
      <c r="P26" s="7" t="n">
        <v>0.0103775921841725</v>
      </c>
      <c r="Q26" s="6" t="n">
        <f aca="false">2*(1-NORMSDIST(ABS(H26/P26)))</f>
        <v>0.418005154225335</v>
      </c>
      <c r="R26" s="9" t="n">
        <v>0.752816545269786</v>
      </c>
      <c r="S26" s="9" t="n">
        <v>0.329538420664388</v>
      </c>
      <c r="T26" s="9" t="n">
        <v>-0.0109767414994989</v>
      </c>
      <c r="U26" s="9" t="n">
        <v>-0.00372001440615065</v>
      </c>
    </row>
    <row r="27" customFormat="false" ht="17.15" hidden="false" customHeight="false" outlineLevel="0" collapsed="false">
      <c r="A27" s="3" t="s">
        <v>23</v>
      </c>
      <c r="B27" s="4" t="s">
        <v>26</v>
      </c>
      <c r="C27" s="3" t="s">
        <v>45</v>
      </c>
      <c r="D27" s="4" t="s">
        <v>21</v>
      </c>
      <c r="E27" s="3" t="s">
        <v>18</v>
      </c>
      <c r="F27" s="3" t="s">
        <v>19</v>
      </c>
      <c r="G27" s="4" t="n">
        <v>241</v>
      </c>
      <c r="H27" s="7" t="n">
        <v>-0.00509219263895169</v>
      </c>
      <c r="I27" s="7" t="n">
        <v>0.00799596601154164</v>
      </c>
      <c r="J27" s="6" t="n">
        <f aca="false">H27-1.96*I27</f>
        <v>-0.0207642860215733</v>
      </c>
      <c r="K27" s="6" t="n">
        <f aca="false">H27+1.96*I27</f>
        <v>0.0105799007436699</v>
      </c>
      <c r="L27" s="6" t="n">
        <f aca="false">2*(1-NORMSDIST(ABS(H27/I27)))</f>
        <v>0.524225675498552</v>
      </c>
      <c r="M27" s="8" t="n">
        <f aca="false">EXP(H27)-1</f>
        <v>-0.00507924940514859</v>
      </c>
      <c r="N27" s="8" t="n">
        <f aca="false">EXP(J27)-1</f>
        <v>-0.020550192627282</v>
      </c>
      <c r="O27" s="8" t="n">
        <f aca="false">EXP(K27)-1</f>
        <v>0.0106360657923332</v>
      </c>
      <c r="P27" s="7" t="n">
        <v>0.00850243999112855</v>
      </c>
      <c r="Q27" s="6" t="n">
        <f aca="false">2*(1-NORMSDIST(ABS(H27/P27)))</f>
        <v>0.549233192489444</v>
      </c>
      <c r="R27" s="9" t="n">
        <v>0.774798537045727</v>
      </c>
      <c r="S27" s="9" t="n">
        <v>0.337018477130777</v>
      </c>
      <c r="T27" s="9" t="n">
        <v>-0.00875075117500806</v>
      </c>
      <c r="U27" s="9" t="n">
        <v>-0.00372155190907951</v>
      </c>
    </row>
    <row r="28" customFormat="false" ht="17.15" hidden="false" customHeight="false" outlineLevel="0" collapsed="false">
      <c r="A28" s="3" t="s">
        <v>23</v>
      </c>
      <c r="B28" s="4" t="s">
        <v>26</v>
      </c>
      <c r="C28" s="3" t="s">
        <v>46</v>
      </c>
      <c r="D28" s="4" t="s">
        <v>17</v>
      </c>
      <c r="E28" s="3" t="s">
        <v>18</v>
      </c>
      <c r="F28" s="3" t="s">
        <v>19</v>
      </c>
      <c r="G28" s="4" t="n">
        <v>486</v>
      </c>
      <c r="H28" s="7" t="n">
        <v>-0.0119245752058908</v>
      </c>
      <c r="I28" s="7" t="n">
        <v>0.00310940189526135</v>
      </c>
      <c r="J28" s="6" t="n">
        <f aca="false">H28-1.96*I28</f>
        <v>-0.018019002920603</v>
      </c>
      <c r="K28" s="6" t="n">
        <f aca="false">H28+1.96*I28</f>
        <v>-0.00583014749117856</v>
      </c>
      <c r="L28" s="6" t="n">
        <f aca="false">2*(1-NORMSDIST(ABS(H28/I28)))</f>
        <v>0.000125561183100809</v>
      </c>
      <c r="M28" s="8" t="n">
        <f aca="false">EXP(H28)-1</f>
        <v>-0.0118537592219707</v>
      </c>
      <c r="N28" s="8" t="n">
        <f aca="false">EXP(J28)-1</f>
        <v>-0.0178576313924831</v>
      </c>
      <c r="O28" s="8" t="n">
        <f aca="false">EXP(K28)-1</f>
        <v>-0.0058131851615979</v>
      </c>
      <c r="P28" s="7" t="n">
        <v>0.00313789354562184</v>
      </c>
      <c r="Q28" s="6" t="n">
        <f aca="false">2*(1-NORMSDIST(ABS(H28/P28)))</f>
        <v>0.000144588250074573</v>
      </c>
      <c r="R28" s="9" t="n">
        <v>0.825178087736358</v>
      </c>
      <c r="S28" s="9" t="n">
        <v>0.440381648387993</v>
      </c>
      <c r="T28" s="9" t="n">
        <v>-0.0125025724185044</v>
      </c>
      <c r="U28" s="9" t="n">
        <v>-0.0107078732733881</v>
      </c>
    </row>
    <row r="29" customFormat="false" ht="17.15" hidden="false" customHeight="false" outlineLevel="0" collapsed="false">
      <c r="A29" s="3" t="s">
        <v>23</v>
      </c>
      <c r="B29" s="4" t="s">
        <v>26</v>
      </c>
      <c r="C29" s="3" t="s">
        <v>46</v>
      </c>
      <c r="D29" s="4" t="s">
        <v>21</v>
      </c>
      <c r="E29" s="3" t="s">
        <v>18</v>
      </c>
      <c r="F29" s="3" t="s">
        <v>19</v>
      </c>
      <c r="G29" s="4" t="n">
        <v>486</v>
      </c>
      <c r="H29" s="7" t="n">
        <v>-0.0113615227571491</v>
      </c>
      <c r="I29" s="7" t="n">
        <v>0.00268419026709706</v>
      </c>
      <c r="J29" s="6" t="n">
        <f aca="false">H29-1.96*I29</f>
        <v>-0.0166225356806593</v>
      </c>
      <c r="K29" s="6" t="n">
        <f aca="false">H29+1.96*I29</f>
        <v>-0.00610050983363882</v>
      </c>
      <c r="L29" s="6" t="n">
        <f aca="false">2*(1-NORMSDIST(ABS(H29/I29)))</f>
        <v>2.3084479811919E-005</v>
      </c>
      <c r="M29" s="8" t="n">
        <f aca="false">EXP(H29)-1</f>
        <v>-0.0112972243969407</v>
      </c>
      <c r="N29" s="8" t="n">
        <f aca="false">EXP(J29)-1</f>
        <v>-0.0164851436557243</v>
      </c>
      <c r="O29" s="8" t="n">
        <f aca="false">EXP(K29)-1</f>
        <v>-0.00608193950553659</v>
      </c>
      <c r="P29" s="7" t="n">
        <v>0.00272947277076806</v>
      </c>
      <c r="Q29" s="6" t="n">
        <f aca="false">2*(1-NORMSDIST(ABS(H29/P29)))</f>
        <v>3.14735488740059E-005</v>
      </c>
      <c r="R29" s="9" t="n">
        <v>0.841392995632865</v>
      </c>
      <c r="S29" s="9" t="n">
        <v>0.469328337228119</v>
      </c>
      <c r="T29" s="9" t="n">
        <v>-0.0145037640759926</v>
      </c>
      <c r="U29" s="9" t="n">
        <v>-0.011110469833698</v>
      </c>
    </row>
    <row r="30" customFormat="false" ht="17.15" hidden="false" customHeight="false" outlineLevel="0" collapsed="false">
      <c r="A30" s="3" t="s">
        <v>23</v>
      </c>
      <c r="B30" s="4" t="s">
        <v>27</v>
      </c>
      <c r="C30" s="3" t="s">
        <v>45</v>
      </c>
      <c r="D30" s="4" t="s">
        <v>17</v>
      </c>
      <c r="E30" s="3" t="s">
        <v>18</v>
      </c>
      <c r="F30" s="3" t="s">
        <v>19</v>
      </c>
      <c r="G30" s="4" t="n">
        <v>241</v>
      </c>
      <c r="H30" s="7" t="n">
        <v>-0.0187060157975711</v>
      </c>
      <c r="I30" s="7" t="n">
        <v>0.0221861191749678</v>
      </c>
      <c r="J30" s="6" t="n">
        <f aca="false">H30-1.96*I30</f>
        <v>-0.062190809380508</v>
      </c>
      <c r="K30" s="6" t="n">
        <f aca="false">H30+1.96*I30</f>
        <v>0.0247787777853659</v>
      </c>
      <c r="L30" s="6" t="n">
        <f aca="false">2*(1-NORMSDIST(ABS(H30/I30)))</f>
        <v>0.399149865836776</v>
      </c>
      <c r="M30" s="8" t="n">
        <f aca="false">EXP(H30)-1</f>
        <v>-0.0185321441207373</v>
      </c>
      <c r="N30" s="8" t="n">
        <f aca="false">EXP(J30)-1</f>
        <v>-0.0602964345716467</v>
      </c>
      <c r="O30" s="8" t="n">
        <f aca="false">EXP(K30)-1</f>
        <v>0.0250883231300045</v>
      </c>
      <c r="P30" s="7" t="n">
        <v>0.0199525608354609</v>
      </c>
      <c r="Q30" s="6" t="n">
        <f aca="false">2*(1-NORMSDIST(ABS(H30/P30)))</f>
        <v>0.348488796966114</v>
      </c>
      <c r="R30" s="9" t="n">
        <v>0.811586371513869</v>
      </c>
      <c r="S30" s="9" t="n">
        <v>0.329538420664388</v>
      </c>
      <c r="T30" s="9" t="n">
        <v>-0.0278635367154466</v>
      </c>
      <c r="U30" s="9" t="n">
        <v>-0.00722444174650334</v>
      </c>
    </row>
    <row r="31" customFormat="false" ht="17.15" hidden="false" customHeight="false" outlineLevel="0" collapsed="false">
      <c r="A31" s="3" t="s">
        <v>23</v>
      </c>
      <c r="B31" s="4" t="s">
        <v>27</v>
      </c>
      <c r="C31" s="3" t="s">
        <v>45</v>
      </c>
      <c r="D31" s="4" t="s">
        <v>21</v>
      </c>
      <c r="E31" s="3" t="s">
        <v>18</v>
      </c>
      <c r="F31" s="3" t="s">
        <v>19</v>
      </c>
      <c r="G31" s="4" t="n">
        <v>241</v>
      </c>
      <c r="H31" s="7" t="n">
        <v>-0.00462429071078713</v>
      </c>
      <c r="I31" s="7" t="n">
        <v>0.0227189496105866</v>
      </c>
      <c r="J31" s="6" t="n">
        <f aca="false">H31-1.96*I31</f>
        <v>-0.0491534319475368</v>
      </c>
      <c r="K31" s="6" t="n">
        <f aca="false">H31+1.96*I31</f>
        <v>0.0399048505259625</v>
      </c>
      <c r="L31" s="6" t="n">
        <f aca="false">2*(1-NORMSDIST(ABS(H31/I31)))</f>
        <v>0.838710380169431</v>
      </c>
      <c r="M31" s="8" t="n">
        <f aca="false">EXP(H31)-1</f>
        <v>-0.00461361514048442</v>
      </c>
      <c r="N31" s="8" t="n">
        <f aca="false">EXP(J31)-1</f>
        <v>-0.0479649540993852</v>
      </c>
      <c r="O31" s="8" t="n">
        <f aca="false">EXP(K31)-1</f>
        <v>0.0407117463059516</v>
      </c>
      <c r="P31" s="7" t="n">
        <v>0.0220400365660328</v>
      </c>
      <c r="Q31" s="6" t="n">
        <f aca="false">2*(1-NORMSDIST(ABS(H31/P31)))</f>
        <v>0.833813466337305</v>
      </c>
      <c r="R31" s="9" t="n">
        <v>0.83051073186618</v>
      </c>
      <c r="S31" s="9" t="n">
        <v>0.337018477130777</v>
      </c>
      <c r="T31" s="9" t="n">
        <v>-0.0328340627049736</v>
      </c>
      <c r="U31" s="9" t="n">
        <v>0.00336024532639314</v>
      </c>
    </row>
    <row r="32" customFormat="false" ht="17.15" hidden="false" customHeight="false" outlineLevel="0" collapsed="false">
      <c r="A32" s="3" t="s">
        <v>23</v>
      </c>
      <c r="B32" s="4" t="s">
        <v>27</v>
      </c>
      <c r="C32" s="3" t="s">
        <v>46</v>
      </c>
      <c r="D32" s="4" t="s">
        <v>17</v>
      </c>
      <c r="E32" s="3" t="s">
        <v>18</v>
      </c>
      <c r="F32" s="3" t="s">
        <v>19</v>
      </c>
      <c r="G32" s="4" t="n">
        <v>486</v>
      </c>
      <c r="H32" s="7" t="n">
        <v>-0.00794985228397962</v>
      </c>
      <c r="I32" s="7" t="n">
        <v>0.0100255458824358</v>
      </c>
      <c r="J32" s="6" t="n">
        <f aca="false">H32-1.96*I32</f>
        <v>-0.0275999222135537</v>
      </c>
      <c r="K32" s="6" t="n">
        <f aca="false">H32+1.96*I32</f>
        <v>0.0117002176455945</v>
      </c>
      <c r="L32" s="6" t="n">
        <f aca="false">2*(1-NORMSDIST(ABS(H32/I32)))</f>
        <v>0.427801394158911</v>
      </c>
      <c r="M32" s="8" t="n">
        <f aca="false">EXP(H32)-1</f>
        <v>-0.00791833578079249</v>
      </c>
      <c r="N32" s="8" t="n">
        <f aca="false">EXP(J32)-1</f>
        <v>-0.0272225243816902</v>
      </c>
      <c r="O32" s="8" t="n">
        <f aca="false">EXP(K32)-1</f>
        <v>0.0117689329251438</v>
      </c>
      <c r="P32" s="7" t="n">
        <v>0.0101187608917258</v>
      </c>
      <c r="Q32" s="6" t="n">
        <f aca="false">2*(1-NORMSDIST(ABS(H32/P32)))</f>
        <v>0.432069795636068</v>
      </c>
      <c r="R32" s="9" t="n">
        <v>0.869276046791985</v>
      </c>
      <c r="S32" s="9" t="n">
        <v>0.440381648387993</v>
      </c>
      <c r="T32" s="9" t="n">
        <v>-0.0138045402851099</v>
      </c>
      <c r="U32" s="9" t="n">
        <v>-0.0039919819798838</v>
      </c>
    </row>
    <row r="33" customFormat="false" ht="17.15" hidden="false" customHeight="false" outlineLevel="0" collapsed="false">
      <c r="A33" s="3" t="s">
        <v>23</v>
      </c>
      <c r="B33" s="4" t="s">
        <v>27</v>
      </c>
      <c r="C33" s="3" t="s">
        <v>46</v>
      </c>
      <c r="D33" s="4" t="s">
        <v>21</v>
      </c>
      <c r="E33" s="3" t="s">
        <v>18</v>
      </c>
      <c r="F33" s="3" t="s">
        <v>19</v>
      </c>
      <c r="G33" s="4" t="n">
        <v>486</v>
      </c>
      <c r="H33" s="7" t="n">
        <v>-0.00272212213453008</v>
      </c>
      <c r="I33" s="7" t="n">
        <v>0.0101204079324686</v>
      </c>
      <c r="J33" s="6" t="n">
        <f aca="false">H33-1.96*I33</f>
        <v>-0.0225581216821685</v>
      </c>
      <c r="K33" s="6" t="n">
        <f aca="false">H33+1.96*I33</f>
        <v>0.0171138774131083</v>
      </c>
      <c r="L33" s="6" t="n">
        <f aca="false">2*(1-NORMSDIST(ABS(H33/I33)))</f>
        <v>0.787950030378235</v>
      </c>
      <c r="M33" s="8" t="n">
        <f aca="false">EXP(H33)-1</f>
        <v>-0.00271842051958349</v>
      </c>
      <c r="N33" s="8" t="n">
        <f aca="false">EXP(J33)-1</f>
        <v>-0.0223055897018583</v>
      </c>
      <c r="O33" s="8" t="n">
        <f aca="false">EXP(K33)-1</f>
        <v>0.0172611587987561</v>
      </c>
      <c r="P33" s="7" t="n">
        <v>0.0100015539818611</v>
      </c>
      <c r="Q33" s="6" t="n">
        <f aca="false">2*(1-NORMSDIST(ABS(H33/P33)))</f>
        <v>0.785491370406866</v>
      </c>
      <c r="R33" s="9" t="n">
        <v>0.884193017409205</v>
      </c>
      <c r="S33" s="9" t="n">
        <v>0.469328337228119</v>
      </c>
      <c r="T33" s="9" t="n">
        <v>-0.0152176052786358</v>
      </c>
      <c r="U33" s="9" t="n">
        <v>0.00344404815506775</v>
      </c>
    </row>
    <row r="34" customFormat="false" ht="17.15" hidden="false" customHeight="false" outlineLevel="0" collapsed="false">
      <c r="A34" s="3" t="s">
        <v>28</v>
      </c>
      <c r="B34" s="4" t="s">
        <v>47</v>
      </c>
      <c r="C34" s="3" t="s">
        <v>48</v>
      </c>
      <c r="D34" s="4" t="s">
        <v>17</v>
      </c>
      <c r="E34" s="3" t="s">
        <v>18</v>
      </c>
      <c r="F34" s="3" t="s">
        <v>19</v>
      </c>
      <c r="G34" s="4" t="n">
        <v>725</v>
      </c>
      <c r="H34" s="7" t="n">
        <v>-0.00285620633433353</v>
      </c>
      <c r="I34" s="7" t="n">
        <v>0.00818000538538304</v>
      </c>
      <c r="J34" s="6" t="n">
        <f aca="false">H34-1.96*I34</f>
        <v>-0.0188890168896843</v>
      </c>
      <c r="K34" s="6" t="n">
        <f aca="false">H34+1.96*I34</f>
        <v>0.0131766042210172</v>
      </c>
      <c r="L34" s="6" t="n">
        <f aca="false">2*(1-NORMSDIST(ABS(H34/I34)))</f>
        <v>0.72696225107841</v>
      </c>
      <c r="M34" s="8" t="n">
        <f aca="false">EXP(H34)-1</f>
        <v>-0.0028521312576979</v>
      </c>
      <c r="N34" s="8" t="n">
        <f aca="false">EXP(J34)-1</f>
        <v>-0.0187117373768551</v>
      </c>
      <c r="O34" s="8" t="n">
        <f aca="false">EXP(K34)-1</f>
        <v>0.0132637982231414</v>
      </c>
      <c r="P34" s="7" t="n">
        <v>0.008155615062523</v>
      </c>
      <c r="Q34" s="6" t="n">
        <f aca="false">2*(1-NORMSDIST(ABS(H34/P34)))</f>
        <v>0.726178490855952</v>
      </c>
      <c r="R34" s="9" t="n">
        <v>0.844954156645285</v>
      </c>
      <c r="S34" s="9" t="n">
        <v>0.433702210707021</v>
      </c>
      <c r="T34" s="9" t="n">
        <v>-0.00591222469597284</v>
      </c>
      <c r="U34" s="9" t="n">
        <v>-0.000607848818648254</v>
      </c>
    </row>
    <row r="35" customFormat="false" ht="17.15" hidden="false" customHeight="false" outlineLevel="0" collapsed="false">
      <c r="A35" s="3" t="s">
        <v>28</v>
      </c>
      <c r="B35" s="4" t="s">
        <v>47</v>
      </c>
      <c r="C35" s="3" t="s">
        <v>48</v>
      </c>
      <c r="D35" s="4" t="s">
        <v>17</v>
      </c>
      <c r="E35" s="3" t="s">
        <v>29</v>
      </c>
      <c r="F35" s="3" t="s">
        <v>19</v>
      </c>
      <c r="G35" s="4" t="n">
        <v>725</v>
      </c>
      <c r="H35" s="7" t="n">
        <v>0.00038600950768952</v>
      </c>
      <c r="I35" s="7" t="n">
        <v>0.00737131401955445</v>
      </c>
      <c r="J35" s="6" t="n">
        <f aca="false">H35-1.96*I35</f>
        <v>-0.0140617659706372</v>
      </c>
      <c r="K35" s="6" t="n">
        <f aca="false">H35+1.96*I35</f>
        <v>0.0148337849860162</v>
      </c>
      <c r="L35" s="6" t="n">
        <f aca="false">2*(1-NORMSDIST(ABS(H35/I35)))</f>
        <v>0.958236710697238</v>
      </c>
      <c r="M35" s="8" t="n">
        <f aca="false">EXP(H35)-1</f>
        <v>0.000386084018946686</v>
      </c>
      <c r="N35" s="8" t="n">
        <f aca="false">EXP(J35)-1</f>
        <v>-0.0139633611281428</v>
      </c>
      <c r="O35" s="8" t="n">
        <f aca="false">EXP(K35)-1</f>
        <v>0.0149443516051948</v>
      </c>
      <c r="P35" s="7" t="n">
        <v>0.00780634337641861</v>
      </c>
      <c r="Q35" s="6" t="n">
        <f aca="false">2*(1-NORMSDIST(ABS(H35/P35)))</f>
        <v>0.960562129408167</v>
      </c>
      <c r="R35" s="9" t="n">
        <v>0.874221396164432</v>
      </c>
      <c r="S35" s="9" t="n">
        <v>0.430919674865659</v>
      </c>
      <c r="T35" s="9" t="n">
        <v>-0.00194454674327256</v>
      </c>
      <c r="U35" s="9" t="n">
        <v>0.00150708556986389</v>
      </c>
    </row>
    <row r="36" customFormat="false" ht="17.15" hidden="false" customHeight="false" outlineLevel="0" collapsed="false">
      <c r="A36" s="3" t="s">
        <v>28</v>
      </c>
      <c r="B36" s="4" t="s">
        <v>47</v>
      </c>
      <c r="C36" s="3" t="s">
        <v>48</v>
      </c>
      <c r="D36" s="4" t="s">
        <v>17</v>
      </c>
      <c r="E36" s="3" t="s">
        <v>20</v>
      </c>
      <c r="F36" s="3" t="s">
        <v>19</v>
      </c>
      <c r="G36" s="4" t="n">
        <v>725</v>
      </c>
      <c r="H36" s="7" t="n">
        <v>-0.00144029711861459</v>
      </c>
      <c r="I36" s="7" t="n">
        <v>0.00867327621834183</v>
      </c>
      <c r="J36" s="6" t="n">
        <f aca="false">H36-1.96*I36</f>
        <v>-0.0184399185065646</v>
      </c>
      <c r="K36" s="6" t="n">
        <f aca="false">H36+1.96*I36</f>
        <v>0.0155593242693354</v>
      </c>
      <c r="L36" s="6" t="n">
        <f aca="false">2*(1-NORMSDIST(ABS(H36/I36)))</f>
        <v>0.868108564681066</v>
      </c>
      <c r="M36" s="8" t="n">
        <f aca="false">EXP(H36)-1</f>
        <v>-0.0014392603885125</v>
      </c>
      <c r="N36" s="8" t="n">
        <f aca="false">EXP(J36)-1</f>
        <v>-0.0182709434322214</v>
      </c>
      <c r="O36" s="8" t="n">
        <f aca="false">EXP(K36)-1</f>
        <v>0.0156810008043187</v>
      </c>
      <c r="P36" s="7" t="n">
        <v>0.00903943356650697</v>
      </c>
      <c r="Q36" s="6" t="n">
        <f aca="false">2*(1-NORMSDIST(ABS(H36/P36)))</f>
        <v>0.873405036624409</v>
      </c>
      <c r="R36" s="9" t="n">
        <v>0.805874057741226</v>
      </c>
      <c r="S36" s="9" t="n">
        <v>0.403559361684404</v>
      </c>
      <c r="T36" s="9" t="n">
        <v>-0.00193311077089885</v>
      </c>
      <c r="U36" s="9" t="n">
        <v>0.00223251151385492</v>
      </c>
    </row>
    <row r="37" customFormat="false" ht="17.15" hidden="false" customHeight="false" outlineLevel="0" collapsed="false">
      <c r="A37" s="3" t="s">
        <v>28</v>
      </c>
      <c r="B37" s="4" t="s">
        <v>47</v>
      </c>
      <c r="C37" s="3" t="s">
        <v>48</v>
      </c>
      <c r="D37" s="4" t="s">
        <v>17</v>
      </c>
      <c r="E37" s="3" t="s">
        <v>49</v>
      </c>
      <c r="F37" s="3" t="s">
        <v>19</v>
      </c>
      <c r="G37" s="4" t="n">
        <v>725</v>
      </c>
      <c r="H37" s="7" t="n">
        <v>-0.000448315317708035</v>
      </c>
      <c r="I37" s="7" t="n">
        <v>0.00734233697286815</v>
      </c>
      <c r="J37" s="6" t="n">
        <f aca="false">H37-1.96*I37</f>
        <v>-0.0148392957845296</v>
      </c>
      <c r="K37" s="6" t="n">
        <f aca="false">H37+1.96*I37</f>
        <v>0.0139426651491135</v>
      </c>
      <c r="L37" s="6" t="n">
        <f aca="false">2*(1-NORMSDIST(ABS(H37/I37)))</f>
        <v>0.951312268693811</v>
      </c>
      <c r="M37" s="8" t="n">
        <f aca="false">EXP(H37)-1</f>
        <v>-0.00044821483941182</v>
      </c>
      <c r="N37" s="8" t="n">
        <f aca="false">EXP(J37)-1</f>
        <v>-0.0147297360341774</v>
      </c>
      <c r="O37" s="8" t="n">
        <f aca="false">EXP(K37)-1</f>
        <v>0.0140403174213484</v>
      </c>
      <c r="P37" s="7" t="n">
        <v>0.0078509999567278</v>
      </c>
      <c r="Q37" s="6" t="n">
        <f aca="false">2*(1-NORMSDIST(ABS(H37/P37)))</f>
        <v>0.954463180439425</v>
      </c>
      <c r="R37" s="9" t="n">
        <v>0.870058140938091</v>
      </c>
      <c r="S37" s="9" t="n">
        <v>0.404913335521489</v>
      </c>
      <c r="T37" s="9" t="n">
        <v>-0.00224500933364185</v>
      </c>
      <c r="U37" s="9" t="n">
        <v>0.000481860930619658</v>
      </c>
    </row>
    <row r="38" customFormat="false" ht="17.15" hidden="false" customHeight="false" outlineLevel="0" collapsed="false">
      <c r="A38" s="3" t="s">
        <v>28</v>
      </c>
      <c r="B38" s="4" t="s">
        <v>47</v>
      </c>
      <c r="C38" s="3" t="s">
        <v>48</v>
      </c>
      <c r="D38" s="4" t="s">
        <v>21</v>
      </c>
      <c r="E38" s="3" t="s">
        <v>18</v>
      </c>
      <c r="F38" s="3" t="s">
        <v>19</v>
      </c>
      <c r="G38" s="4" t="n">
        <v>725</v>
      </c>
      <c r="H38" s="7" t="n">
        <v>0.00355132017145154</v>
      </c>
      <c r="I38" s="7" t="n">
        <v>0.0077217207594815</v>
      </c>
      <c r="J38" s="6" t="n">
        <f aca="false">H38-1.96*I38</f>
        <v>-0.0115832525171322</v>
      </c>
      <c r="K38" s="6" t="n">
        <f aca="false">H38+1.96*I38</f>
        <v>0.0186858928600353</v>
      </c>
      <c r="L38" s="6" t="n">
        <f aca="false">2*(1-NORMSDIST(ABS(H38/I38)))</f>
        <v>0.645578630380367</v>
      </c>
      <c r="M38" s="8" t="n">
        <f aca="false">EXP(H38)-1</f>
        <v>0.00355763358036487</v>
      </c>
      <c r="N38" s="8" t="n">
        <f aca="false">EXP(J38)-1</f>
        <v>-0.0115164249235318</v>
      </c>
      <c r="O38" s="8" t="n">
        <f aca="false">EXP(K38)-1</f>
        <v>0.0188615666573024</v>
      </c>
      <c r="P38" s="7" t="n">
        <v>0.0082075131555287</v>
      </c>
      <c r="Q38" s="6" t="n">
        <f aca="false">2*(1-NORMSDIST(ABS(H38/P38)))</f>
        <v>0.665238994924374</v>
      </c>
      <c r="R38" s="9" t="n">
        <v>0.873593728328716</v>
      </c>
      <c r="S38" s="9" t="n">
        <v>0.478237242316733</v>
      </c>
      <c r="T38" s="9" t="n">
        <v>0.00267332913127475</v>
      </c>
      <c r="U38" s="9" t="n">
        <v>0.00999831405214738</v>
      </c>
    </row>
    <row r="39" customFormat="false" ht="17.15" hidden="false" customHeight="false" outlineLevel="0" collapsed="false">
      <c r="A39" s="3" t="s">
        <v>28</v>
      </c>
      <c r="B39" s="4" t="s">
        <v>47</v>
      </c>
      <c r="C39" s="3" t="s">
        <v>48</v>
      </c>
      <c r="D39" s="4" t="s">
        <v>21</v>
      </c>
      <c r="E39" s="3" t="s">
        <v>29</v>
      </c>
      <c r="F39" s="3" t="s">
        <v>19</v>
      </c>
      <c r="G39" s="4" t="n">
        <v>725</v>
      </c>
      <c r="H39" s="7" t="n">
        <v>0.00332439230986879</v>
      </c>
      <c r="I39" s="7" t="n">
        <v>0.00690605541327863</v>
      </c>
      <c r="J39" s="6" t="n">
        <f aca="false">H39-1.96*I39</f>
        <v>-0.0102114763001573</v>
      </c>
      <c r="K39" s="6" t="n">
        <f aca="false">H39+1.96*I39</f>
        <v>0.0168602609198949</v>
      </c>
      <c r="L39" s="6" t="n">
        <f aca="false">2*(1-NORMSDIST(ABS(H39/I39)))</f>
        <v>0.630251042209138</v>
      </c>
      <c r="M39" s="8" t="n">
        <f aca="false">EXP(H39)-1</f>
        <v>0.00332992423037637</v>
      </c>
      <c r="N39" s="8" t="n">
        <f aca="false">EXP(J39)-1</f>
        <v>-0.0101595161895891</v>
      </c>
      <c r="O39" s="8" t="n">
        <f aca="false">EXP(K39)-1</f>
        <v>0.017003197304007</v>
      </c>
      <c r="P39" s="7" t="n">
        <v>0.00718171103595901</v>
      </c>
      <c r="Q39" s="6" t="n">
        <f aca="false">2*(1-NORMSDIST(ABS(H39/P39)))</f>
        <v>0.643438216296667</v>
      </c>
      <c r="R39" s="9" t="n">
        <v>0.905901267245227</v>
      </c>
      <c r="S39" s="9" t="n">
        <v>0.456546533953889</v>
      </c>
      <c r="T39" s="9" t="n">
        <v>-0.00122920758390779</v>
      </c>
      <c r="U39" s="9" t="n">
        <v>0.0065161781796959</v>
      </c>
    </row>
    <row r="40" customFormat="false" ht="17.15" hidden="false" customHeight="false" outlineLevel="0" collapsed="false">
      <c r="A40" s="3" t="s">
        <v>28</v>
      </c>
      <c r="B40" s="4" t="s">
        <v>47</v>
      </c>
      <c r="C40" s="3" t="s">
        <v>48</v>
      </c>
      <c r="D40" s="4" t="s">
        <v>21</v>
      </c>
      <c r="E40" s="3" t="s">
        <v>20</v>
      </c>
      <c r="F40" s="3" t="s">
        <v>19</v>
      </c>
      <c r="G40" s="4" t="n">
        <v>725</v>
      </c>
      <c r="H40" s="7" t="n">
        <v>0.00136291099066388</v>
      </c>
      <c r="I40" s="7" t="n">
        <v>0.00951851349776336</v>
      </c>
      <c r="J40" s="6" t="n">
        <f aca="false">H40-1.96*I40</f>
        <v>-0.0172933754649523</v>
      </c>
      <c r="K40" s="6" t="n">
        <f aca="false">H40+1.96*I40</f>
        <v>0.0200191974462801</v>
      </c>
      <c r="L40" s="6" t="n">
        <f aca="false">2*(1-NORMSDIST(ABS(H40/I40)))</f>
        <v>0.886143857352743</v>
      </c>
      <c r="M40" s="8" t="n">
        <f aca="false">EXP(H40)-1</f>
        <v>0.00136384017593238</v>
      </c>
      <c r="N40" s="8" t="n">
        <f aca="false">EXP(J40)-1</f>
        <v>-0.017144703295645</v>
      </c>
      <c r="O40" s="8" t="n">
        <f aca="false">EXP(K40)-1</f>
        <v>0.0202209254751704</v>
      </c>
      <c r="P40" s="7" t="n">
        <v>0.0100921873749017</v>
      </c>
      <c r="Q40" s="6" t="n">
        <f aca="false">2*(1-NORMSDIST(ABS(H40/P40)))</f>
        <v>0.892575390745252</v>
      </c>
      <c r="R40" s="9" t="n">
        <v>0.820068766000325</v>
      </c>
      <c r="S40" s="9" t="n">
        <v>0.440457315708481</v>
      </c>
      <c r="T40" s="9" t="n">
        <v>-0.00525450821119702</v>
      </c>
      <c r="U40" s="9" t="n">
        <v>0.00343886260596544</v>
      </c>
    </row>
    <row r="41" customFormat="false" ht="17.15" hidden="false" customHeight="false" outlineLevel="0" collapsed="false">
      <c r="A41" s="3" t="s">
        <v>28</v>
      </c>
      <c r="B41" s="4" t="s">
        <v>47</v>
      </c>
      <c r="C41" s="3" t="s">
        <v>48</v>
      </c>
      <c r="D41" s="4" t="s">
        <v>21</v>
      </c>
      <c r="E41" s="3" t="s">
        <v>49</v>
      </c>
      <c r="F41" s="3" t="s">
        <v>19</v>
      </c>
      <c r="G41" s="4" t="n">
        <v>725</v>
      </c>
      <c r="H41" s="7" t="n">
        <v>0.00251049450589558</v>
      </c>
      <c r="I41" s="7" t="n">
        <v>0.00723468428481428</v>
      </c>
      <c r="J41" s="6" t="n">
        <f aca="false">H41-1.96*I41</f>
        <v>-0.0116694866923404</v>
      </c>
      <c r="K41" s="6" t="n">
        <f aca="false">H41+1.96*I41</f>
        <v>0.0166904757041316</v>
      </c>
      <c r="L41" s="6" t="n">
        <f aca="false">2*(1-NORMSDIST(ABS(H41/I41)))</f>
        <v>0.728585185955166</v>
      </c>
      <c r="M41" s="8" t="n">
        <f aca="false">EXP(H41)-1</f>
        <v>0.00251364843598334</v>
      </c>
      <c r="N41" s="8" t="n">
        <f aca="false">EXP(J41)-1</f>
        <v>-0.0116016623140944</v>
      </c>
      <c r="O41" s="8" t="n">
        <f aca="false">EXP(K41)-1</f>
        <v>0.0168305398544766</v>
      </c>
      <c r="P41" s="7" t="n">
        <v>0.00785023245421714</v>
      </c>
      <c r="Q41" s="6" t="n">
        <f aca="false">2*(1-NORMSDIST(ABS(H41/P41)))</f>
        <v>0.749120897199728</v>
      </c>
      <c r="R41" s="9" t="n">
        <v>0.901985533020641</v>
      </c>
      <c r="S41" s="9" t="n">
        <v>0.4194166608373</v>
      </c>
      <c r="T41" s="9" t="n">
        <v>-0.00470311272233924</v>
      </c>
      <c r="U41" s="9" t="n">
        <v>0.00524332125409217</v>
      </c>
    </row>
    <row r="42" customFormat="false" ht="17.15" hidden="false" customHeight="false" outlineLevel="0" collapsed="false">
      <c r="A42" s="3" t="s">
        <v>28</v>
      </c>
      <c r="B42" s="4" t="s">
        <v>16</v>
      </c>
      <c r="C42" s="3" t="s">
        <v>45</v>
      </c>
      <c r="D42" s="4" t="s">
        <v>17</v>
      </c>
      <c r="E42" s="3" t="s">
        <v>29</v>
      </c>
      <c r="F42" s="3" t="s">
        <v>19</v>
      </c>
      <c r="G42" s="4" t="n">
        <v>239</v>
      </c>
      <c r="H42" s="7" t="n">
        <v>-0.00891774858097649</v>
      </c>
      <c r="I42" s="7" t="n">
        <v>0.00873820211550701</v>
      </c>
      <c r="J42" s="6" t="n">
        <f aca="false">H42-1.96*I42</f>
        <v>-0.0260446247273702</v>
      </c>
      <c r="K42" s="6" t="n">
        <f aca="false">H42+1.96*I42</f>
        <v>0.00820912756541726</v>
      </c>
      <c r="L42" s="6" t="n">
        <f aca="false">2*(1-NORMSDIST(ABS(H42/I42)))</f>
        <v>0.307468968281823</v>
      </c>
      <c r="M42" s="8" t="n">
        <f aca="false">EXP(H42)-1</f>
        <v>-0.00887810339722006</v>
      </c>
      <c r="N42" s="8" t="n">
        <f aca="false">EXP(J42)-1</f>
        <v>-0.0257083888588772</v>
      </c>
      <c r="O42" s="8" t="n">
        <f aca="false">EXP(K42)-1</f>
        <v>0.00824291484452244</v>
      </c>
      <c r="P42" s="7" t="n">
        <v>0.00954862625765502</v>
      </c>
      <c r="Q42" s="6" t="n">
        <f aca="false">2*(1-NORMSDIST(ABS(H42/P42)))</f>
        <v>0.350339999337477</v>
      </c>
      <c r="R42" s="9" t="n">
        <v>0.778209512379303</v>
      </c>
      <c r="S42" s="9" t="n">
        <v>0.312337733580335</v>
      </c>
      <c r="T42" s="9" t="n">
        <v>-0.0133033629584032</v>
      </c>
      <c r="U42" s="9" t="n">
        <v>-0.00787844333294509</v>
      </c>
    </row>
    <row r="43" customFormat="false" ht="17.15" hidden="false" customHeight="false" outlineLevel="0" collapsed="false">
      <c r="A43" s="3" t="s">
        <v>28</v>
      </c>
      <c r="B43" s="4" t="s">
        <v>16</v>
      </c>
      <c r="C43" s="3" t="s">
        <v>45</v>
      </c>
      <c r="D43" s="4" t="s">
        <v>21</v>
      </c>
      <c r="E43" s="3" t="s">
        <v>29</v>
      </c>
      <c r="F43" s="3" t="s">
        <v>19</v>
      </c>
      <c r="G43" s="4" t="n">
        <v>239</v>
      </c>
      <c r="H43" s="7" t="n">
        <v>-0.0121145791891332</v>
      </c>
      <c r="I43" s="7" t="n">
        <v>0.00759950818635606</v>
      </c>
      <c r="J43" s="6" t="n">
        <f aca="false">H43-1.96*I43</f>
        <v>-0.0270096152343911</v>
      </c>
      <c r="K43" s="6" t="n">
        <f aca="false">H43+1.96*I43</f>
        <v>0.00278045685612463</v>
      </c>
      <c r="L43" s="6" t="n">
        <f aca="false">2*(1-NORMSDIST(ABS(H43/I43)))</f>
        <v>0.110907651491215</v>
      </c>
      <c r="M43" s="8" t="n">
        <f aca="false">EXP(H43)-1</f>
        <v>-0.0120414931080867</v>
      </c>
      <c r="N43" s="8" t="n">
        <f aca="false">EXP(J43)-1</f>
        <v>-0.0266481175271529</v>
      </c>
      <c r="O43" s="8" t="n">
        <f aca="false">EXP(K43)-1</f>
        <v>0.00278432591137179</v>
      </c>
      <c r="P43" s="7" t="n">
        <v>0.00776059389406871</v>
      </c>
      <c r="Q43" s="6" t="n">
        <f aca="false">2*(1-NORMSDIST(ABS(H43/P43)))</f>
        <v>0.118514869760899</v>
      </c>
      <c r="R43" s="9" t="n">
        <v>0.816083750416296</v>
      </c>
      <c r="S43" s="9" t="n">
        <v>0.30990144262079</v>
      </c>
      <c r="T43" s="9" t="n">
        <v>-0.0193123982277387</v>
      </c>
      <c r="U43" s="9" t="n">
        <v>-0.00904981399646432</v>
      </c>
    </row>
    <row r="44" customFormat="false" ht="17.15" hidden="false" customHeight="false" outlineLevel="0" collapsed="false">
      <c r="A44" s="3" t="s">
        <v>28</v>
      </c>
      <c r="B44" s="4" t="s">
        <v>16</v>
      </c>
      <c r="C44" s="3" t="s">
        <v>46</v>
      </c>
      <c r="D44" s="4" t="s">
        <v>17</v>
      </c>
      <c r="E44" s="3" t="s">
        <v>29</v>
      </c>
      <c r="F44" s="3" t="s">
        <v>19</v>
      </c>
      <c r="G44" s="4" t="n">
        <v>486</v>
      </c>
      <c r="H44" s="7" t="n">
        <v>-0.0114261932090678</v>
      </c>
      <c r="I44" s="7" t="n">
        <v>0.00258727779979215</v>
      </c>
      <c r="J44" s="6" t="n">
        <f aca="false">H44-1.96*I44</f>
        <v>-0.0164972576966604</v>
      </c>
      <c r="K44" s="6" t="n">
        <f aca="false">H44+1.96*I44</f>
        <v>-0.00635512872147518</v>
      </c>
      <c r="L44" s="6" t="n">
        <f aca="false">2*(1-NORMSDIST(ABS(H44/I44)))</f>
        <v>1.00405024461292E-005</v>
      </c>
      <c r="M44" s="8" t="n">
        <f aca="false">EXP(H44)-1</f>
        <v>-0.0113611621847872</v>
      </c>
      <c r="N44" s="8" t="n">
        <f aca="false">EXP(J44)-1</f>
        <v>-0.0163619231790432</v>
      </c>
      <c r="O44" s="8" t="n">
        <f aca="false">EXP(K44)-1</f>
        <v>-0.00633497760119395</v>
      </c>
      <c r="P44" s="7" t="n">
        <v>0.00263254582065704</v>
      </c>
      <c r="Q44" s="6" t="n">
        <f aca="false">2*(1-NORMSDIST(ABS(H44/P44)))</f>
        <v>1.42250303618585E-005</v>
      </c>
      <c r="R44" s="9" t="n">
        <v>0.842256820618542</v>
      </c>
      <c r="S44" s="9" t="n">
        <v>0.431495486766812</v>
      </c>
      <c r="T44" s="9" t="n">
        <v>-0.0119465323303215</v>
      </c>
      <c r="U44" s="9" t="n">
        <v>-0.0104447130893657</v>
      </c>
    </row>
    <row r="45" customFormat="false" ht="17.15" hidden="false" customHeight="false" outlineLevel="0" collapsed="false">
      <c r="A45" s="3" t="s">
        <v>28</v>
      </c>
      <c r="B45" s="4" t="s">
        <v>16</v>
      </c>
      <c r="C45" s="3" t="s">
        <v>46</v>
      </c>
      <c r="D45" s="4" t="s">
        <v>21</v>
      </c>
      <c r="E45" s="3" t="s">
        <v>29</v>
      </c>
      <c r="F45" s="3" t="s">
        <v>19</v>
      </c>
      <c r="G45" s="4" t="n">
        <v>486</v>
      </c>
      <c r="H45" s="7" t="n">
        <v>-0.01352669077634</v>
      </c>
      <c r="I45" s="7" t="n">
        <v>0.00245656120355827</v>
      </c>
      <c r="J45" s="6" t="n">
        <f aca="false">H45-1.96*I45</f>
        <v>-0.0183415507353142</v>
      </c>
      <c r="K45" s="6" t="n">
        <f aca="false">H45+1.96*I45</f>
        <v>-0.00871183081736579</v>
      </c>
      <c r="L45" s="6" t="n">
        <f aca="false">2*(1-NORMSDIST(ABS(H45/I45)))</f>
        <v>3.66345604962959E-008</v>
      </c>
      <c r="M45" s="8" t="n">
        <f aca="false">EXP(H45)-1</f>
        <v>-0.0134356162029965</v>
      </c>
      <c r="N45" s="8" t="n">
        <f aca="false">EXP(J45)-1</f>
        <v>-0.0181743681830868</v>
      </c>
      <c r="O45" s="8" t="n">
        <f aca="false">EXP(K45)-1</f>
        <v>-0.00867399277852621</v>
      </c>
      <c r="P45" s="7" t="n">
        <v>0.00242013839797302</v>
      </c>
      <c r="Q45" s="6" t="n">
        <f aca="false">2*(1-NORMSDIST(ABS(H45/P45)))</f>
        <v>2.28089203080373E-008</v>
      </c>
      <c r="R45" s="9" t="n">
        <v>0.865940367040628</v>
      </c>
      <c r="S45" s="9" t="n">
        <v>0.462836550492869</v>
      </c>
      <c r="T45" s="9" t="n">
        <v>-0.014226109819541</v>
      </c>
      <c r="U45" s="9" t="n">
        <v>-0.0112740759801641</v>
      </c>
    </row>
    <row r="46" customFormat="false" ht="17.15" hidden="false" customHeight="false" outlineLevel="0" collapsed="false">
      <c r="A46" s="3" t="s">
        <v>28</v>
      </c>
      <c r="B46" s="4" t="s">
        <v>22</v>
      </c>
      <c r="C46" s="3" t="s">
        <v>45</v>
      </c>
      <c r="D46" s="4" t="s">
        <v>17</v>
      </c>
      <c r="E46" s="3" t="s">
        <v>29</v>
      </c>
      <c r="F46" s="3" t="s">
        <v>19</v>
      </c>
      <c r="G46" s="4" t="n">
        <v>239</v>
      </c>
      <c r="H46" s="7" t="n">
        <v>-0.00568632417997217</v>
      </c>
      <c r="I46" s="7" t="n">
        <v>0.00554314294416401</v>
      </c>
      <c r="J46" s="6" t="n">
        <f aca="false">H46-1.96*I46</f>
        <v>-0.0165508843505336</v>
      </c>
      <c r="K46" s="6" t="n">
        <f aca="false">H46+1.96*I46</f>
        <v>0.00517823599058928</v>
      </c>
      <c r="L46" s="6" t="n">
        <f aca="false">2*(1-NORMSDIST(ABS(H46/I46)))</f>
        <v>0.304971564912671</v>
      </c>
      <c r="M46" s="8" t="n">
        <f aca="false">EXP(H46)-1</f>
        <v>-0.00567018763898797</v>
      </c>
      <c r="N46" s="8" t="n">
        <f aca="false">EXP(J46)-1</f>
        <v>-0.0164146709833686</v>
      </c>
      <c r="O46" s="8" t="n">
        <f aca="false">EXP(K46)-1</f>
        <v>0.00519166622621281</v>
      </c>
      <c r="P46" s="7" t="n">
        <v>0.00580590002759355</v>
      </c>
      <c r="Q46" s="6" t="n">
        <f aca="false">2*(1-NORMSDIST(ABS(H46/P46)))</f>
        <v>0.327380191417678</v>
      </c>
      <c r="R46" s="9" t="n">
        <v>0.652271624340591</v>
      </c>
      <c r="S46" s="9" t="n">
        <v>0.312337733580335</v>
      </c>
      <c r="T46" s="9" t="n">
        <v>-0.00797324223763067</v>
      </c>
      <c r="U46" s="9" t="n">
        <v>-0.00344787583963499</v>
      </c>
    </row>
    <row r="47" customFormat="false" ht="17.15" hidden="false" customHeight="false" outlineLevel="0" collapsed="false">
      <c r="A47" s="3" t="s">
        <v>28</v>
      </c>
      <c r="B47" s="4" t="s">
        <v>22</v>
      </c>
      <c r="C47" s="3" t="s">
        <v>45</v>
      </c>
      <c r="D47" s="4" t="s">
        <v>21</v>
      </c>
      <c r="E47" s="3" t="s">
        <v>29</v>
      </c>
      <c r="F47" s="3" t="s">
        <v>19</v>
      </c>
      <c r="G47" s="4" t="n">
        <v>239</v>
      </c>
      <c r="H47" s="7" t="n">
        <v>-0.00746773780645795</v>
      </c>
      <c r="I47" s="7" t="n">
        <v>0.00574692655376919</v>
      </c>
      <c r="J47" s="6" t="n">
        <f aca="false">H47-1.96*I47</f>
        <v>-0.0187317138518456</v>
      </c>
      <c r="K47" s="6" t="n">
        <f aca="false">H47+1.96*I47</f>
        <v>0.00379623823892966</v>
      </c>
      <c r="L47" s="6" t="n">
        <f aca="false">2*(1-NORMSDIST(ABS(H47/I47)))</f>
        <v>0.193795862541463</v>
      </c>
      <c r="M47" s="8" t="n">
        <f aca="false">EXP(H47)-1</f>
        <v>-0.00743992353211953</v>
      </c>
      <c r="N47" s="8" t="n">
        <f aca="false">EXP(J47)-1</f>
        <v>-0.0185573656108934</v>
      </c>
      <c r="O47" s="8" t="n">
        <f aca="false">EXP(K47)-1</f>
        <v>0.00380345307817365</v>
      </c>
      <c r="P47" s="7" t="n">
        <v>0.00610836919901607</v>
      </c>
      <c r="Q47" s="6" t="n">
        <f aca="false">2*(1-NORMSDIST(ABS(H47/P47)))</f>
        <v>0.221502736827718</v>
      </c>
      <c r="R47" s="9" t="n">
        <v>0.719745788712973</v>
      </c>
      <c r="S47" s="9" t="n">
        <v>0.30990144262079</v>
      </c>
      <c r="T47" s="9" t="n">
        <v>-0.0141509509784242</v>
      </c>
      <c r="U47" s="9" t="n">
        <v>-0.0049178956107142</v>
      </c>
    </row>
    <row r="48" customFormat="false" ht="17.15" hidden="false" customHeight="false" outlineLevel="0" collapsed="false">
      <c r="A48" s="3" t="s">
        <v>28</v>
      </c>
      <c r="B48" s="4" t="s">
        <v>22</v>
      </c>
      <c r="C48" s="3" t="s">
        <v>46</v>
      </c>
      <c r="D48" s="4" t="s">
        <v>17</v>
      </c>
      <c r="E48" s="3" t="s">
        <v>29</v>
      </c>
      <c r="F48" s="3" t="s">
        <v>19</v>
      </c>
      <c r="G48" s="4" t="n">
        <v>486</v>
      </c>
      <c r="H48" s="7" t="n">
        <v>-0.00525383636166297</v>
      </c>
      <c r="I48" s="7" t="n">
        <v>0.00429660349399801</v>
      </c>
      <c r="J48" s="6" t="n">
        <f aca="false">H48-1.96*I48</f>
        <v>-0.0136751792098991</v>
      </c>
      <c r="K48" s="6" t="n">
        <f aca="false">H48+1.96*I48</f>
        <v>0.00316750648657313</v>
      </c>
      <c r="L48" s="6" t="n">
        <f aca="false">2*(1-NORMSDIST(ABS(H48/I48)))</f>
        <v>0.221409676271332</v>
      </c>
      <c r="M48" s="8" t="n">
        <f aca="false">EXP(H48)-1</f>
        <v>-0.00524005910178826</v>
      </c>
      <c r="N48" s="8" t="n">
        <f aca="false">EXP(J48)-1</f>
        <v>-0.0135820987272022</v>
      </c>
      <c r="O48" s="8" t="n">
        <f aca="false">EXP(K48)-1</f>
        <v>0.0031725283360915</v>
      </c>
      <c r="P48" s="7" t="n">
        <v>0.00456853382616103</v>
      </c>
      <c r="Q48" s="6" t="n">
        <f aca="false">2*(1-NORMSDIST(ABS(H48/P48)))</f>
        <v>0.250141846274325</v>
      </c>
      <c r="R48" s="9" t="n">
        <v>0.410230544793262</v>
      </c>
      <c r="S48" s="9" t="n">
        <v>0.431495486766812</v>
      </c>
      <c r="T48" s="9" t="n">
        <v>-0.0075892691228649</v>
      </c>
      <c r="U48" s="9" t="n">
        <v>-0.00319329850340634</v>
      </c>
    </row>
    <row r="49" customFormat="false" ht="17.15" hidden="false" customHeight="false" outlineLevel="0" collapsed="false">
      <c r="A49" s="3" t="s">
        <v>28</v>
      </c>
      <c r="B49" s="4" t="s">
        <v>22</v>
      </c>
      <c r="C49" s="3" t="s">
        <v>46</v>
      </c>
      <c r="D49" s="4" t="s">
        <v>21</v>
      </c>
      <c r="E49" s="3" t="s">
        <v>29</v>
      </c>
      <c r="F49" s="3" t="s">
        <v>19</v>
      </c>
      <c r="G49" s="4" t="n">
        <v>486</v>
      </c>
      <c r="H49" s="7" t="n">
        <v>-0.00681405680560593</v>
      </c>
      <c r="I49" s="7" t="n">
        <v>0.00487460501984798</v>
      </c>
      <c r="J49" s="6" t="n">
        <f aca="false">H49-1.96*I49</f>
        <v>-0.016368282644508</v>
      </c>
      <c r="K49" s="6" t="n">
        <f aca="false">H49+1.96*I49</f>
        <v>0.00274016903329611</v>
      </c>
      <c r="L49" s="6" t="n">
        <f aca="false">2*(1-NORMSDIST(ABS(H49/I49)))</f>
        <v>0.162152559572489</v>
      </c>
      <c r="M49" s="8" t="n">
        <f aca="false">EXP(H49)-1</f>
        <v>-0.00679089376182418</v>
      </c>
      <c r="N49" s="8" t="n">
        <f aca="false">EXP(J49)-1</f>
        <v>-0.0162350502252391</v>
      </c>
      <c r="O49" s="8" t="n">
        <f aca="false">EXP(K49)-1</f>
        <v>0.00274392672791723</v>
      </c>
      <c r="P49" s="7" t="n">
        <v>0.00505583126103086</v>
      </c>
      <c r="Q49" s="6" t="n">
        <f aca="false">2*(1-NORMSDIST(ABS(H49/P49)))</f>
        <v>0.17773497200831</v>
      </c>
      <c r="R49" s="9" t="n">
        <v>0.411587185112107</v>
      </c>
      <c r="S49" s="9" t="n">
        <v>0.462836550492869</v>
      </c>
      <c r="T49" s="9" t="n">
        <v>-0.00975932116502498</v>
      </c>
      <c r="U49" s="9" t="n">
        <v>-0.00566330322662498</v>
      </c>
    </row>
    <row r="50" customFormat="false" ht="17.15" hidden="false" customHeight="false" outlineLevel="0" collapsed="false">
      <c r="A50" s="3" t="s">
        <v>30</v>
      </c>
      <c r="B50" s="4" t="s">
        <v>16</v>
      </c>
      <c r="C50" s="3" t="s">
        <v>45</v>
      </c>
      <c r="D50" s="4" t="s">
        <v>17</v>
      </c>
      <c r="E50" s="3" t="s">
        <v>18</v>
      </c>
      <c r="F50" s="3" t="s">
        <v>31</v>
      </c>
      <c r="G50" s="4" t="n">
        <v>241</v>
      </c>
      <c r="H50" s="7" t="n">
        <v>-0.0280638937549232</v>
      </c>
      <c r="I50" s="7" t="n">
        <v>0.0107795088182978</v>
      </c>
      <c r="J50" s="6" t="n">
        <f aca="false">H50-1.96*I50</f>
        <v>-0.0491917310387869</v>
      </c>
      <c r="K50" s="6" t="n">
        <f aca="false">H50+1.96*I50</f>
        <v>-0.00693605647105959</v>
      </c>
      <c r="L50" s="6" t="n">
        <f aca="false">2*(1-NORMSDIST(ABS(H50/I50)))</f>
        <v>0.00922911898717338</v>
      </c>
      <c r="M50" s="8" t="n">
        <f aca="false">EXP(H50)-1</f>
        <v>-0.027673760757949</v>
      </c>
      <c r="N50" s="8" t="n">
        <f aca="false">EXP(J50)-1</f>
        <v>-0.0480014154782581</v>
      </c>
      <c r="O50" s="8" t="n">
        <f aca="false">EXP(K50)-1</f>
        <v>-0.00691205754938973</v>
      </c>
      <c r="P50" s="7" t="n">
        <v>0.0138981473879786</v>
      </c>
      <c r="Q50" s="6" t="n">
        <f aca="false">2*(1-NORMSDIST(ABS(H50/P50)))</f>
        <v>0.043460796050935</v>
      </c>
      <c r="R50" s="9" t="n">
        <v>0.679113030380766</v>
      </c>
      <c r="S50" s="9" t="n">
        <v>0.202876820910923</v>
      </c>
      <c r="T50" s="9" t="n">
        <v>-0.0286196616356714</v>
      </c>
      <c r="U50" s="9" t="n">
        <v>-0.027455773138364</v>
      </c>
    </row>
    <row r="51" customFormat="false" ht="17.15" hidden="false" customHeight="false" outlineLevel="0" collapsed="false">
      <c r="A51" s="3" t="s">
        <v>30</v>
      </c>
      <c r="B51" s="4" t="s">
        <v>16</v>
      </c>
      <c r="C51" s="3" t="s">
        <v>45</v>
      </c>
      <c r="D51" s="4" t="s">
        <v>21</v>
      </c>
      <c r="E51" s="3" t="s">
        <v>18</v>
      </c>
      <c r="F51" s="3" t="s">
        <v>31</v>
      </c>
      <c r="G51" s="4" t="n">
        <v>241</v>
      </c>
      <c r="H51" s="7" t="n">
        <v>-0.000978355371938609</v>
      </c>
      <c r="I51" s="7" t="n">
        <v>0.00955641271778318</v>
      </c>
      <c r="J51" s="6" t="n">
        <f aca="false">H51-1.96*I51</f>
        <v>-0.0197089242987936</v>
      </c>
      <c r="K51" s="6" t="n">
        <f aca="false">H51+1.96*I51</f>
        <v>0.0177522135549164</v>
      </c>
      <c r="L51" s="6" t="n">
        <f aca="false">2*(1-NORMSDIST(ABS(H51/I51)))</f>
        <v>0.918457563068824</v>
      </c>
      <c r="M51" s="8" t="n">
        <f aca="false">EXP(H51)-1</f>
        <v>-0.000977876938360489</v>
      </c>
      <c r="N51" s="8" t="n">
        <f aca="false">EXP(J51)-1</f>
        <v>-0.0195159731493637</v>
      </c>
      <c r="O51" s="8" t="n">
        <f aca="false">EXP(K51)-1</f>
        <v>0.0179107206594245</v>
      </c>
      <c r="P51" s="7" t="n">
        <v>0.0117176278162485</v>
      </c>
      <c r="Q51" s="6" t="n">
        <f aca="false">2*(1-NORMSDIST(ABS(H51/P51)))</f>
        <v>0.933458493240421</v>
      </c>
      <c r="R51" s="9" t="n">
        <v>0.687839677945923</v>
      </c>
      <c r="S51" s="9" t="n">
        <v>0.184427183652483</v>
      </c>
      <c r="T51" s="9" t="n">
        <v>-0.00293413763956458</v>
      </c>
      <c r="U51" s="9" t="n">
        <v>0.00392639491679491</v>
      </c>
    </row>
    <row r="52" customFormat="false" ht="17.15" hidden="false" customHeight="false" outlineLevel="0" collapsed="false">
      <c r="A52" s="3" t="s">
        <v>30</v>
      </c>
      <c r="B52" s="4" t="s">
        <v>16</v>
      </c>
      <c r="C52" s="3" t="s">
        <v>46</v>
      </c>
      <c r="D52" s="4" t="s">
        <v>17</v>
      </c>
      <c r="E52" s="3" t="s">
        <v>18</v>
      </c>
      <c r="F52" s="3" t="s">
        <v>31</v>
      </c>
      <c r="G52" s="4" t="n">
        <v>486</v>
      </c>
      <c r="H52" s="7" t="n">
        <v>-0.0179968529214709</v>
      </c>
      <c r="I52" s="7" t="n">
        <v>0.00299308023691582</v>
      </c>
      <c r="J52" s="6" t="n">
        <f aca="false">H52-1.96*I52</f>
        <v>-0.0238632901858259</v>
      </c>
      <c r="K52" s="6" t="n">
        <f aca="false">H52+1.96*I52</f>
        <v>-0.0121304156571158</v>
      </c>
      <c r="L52" s="6" t="n">
        <f aca="false">2*(1-NORMSDIST(ABS(H52/I52)))</f>
        <v>1.823233786169E-009</v>
      </c>
      <c r="M52" s="8" t="n">
        <f aca="false">EXP(H52)-1</f>
        <v>-0.0178358766989385</v>
      </c>
      <c r="N52" s="8" t="n">
        <f aca="false">EXP(J52)-1</f>
        <v>-0.0235808132805314</v>
      </c>
      <c r="O52" s="8" t="n">
        <f aca="false">EXP(K52)-1</f>
        <v>-0.0120571387574629</v>
      </c>
      <c r="P52" s="7" t="n">
        <v>0.00332498996702962</v>
      </c>
      <c r="Q52" s="6" t="n">
        <f aca="false">2*(1-NORMSDIST(ABS(H52/P52)))</f>
        <v>6.21148683599415E-008</v>
      </c>
      <c r="R52" s="9" t="n">
        <v>0.707171412609341</v>
      </c>
      <c r="S52" s="9" t="n">
        <v>0.179910982093127</v>
      </c>
      <c r="T52" s="9" t="n">
        <v>-0.0181818901714785</v>
      </c>
      <c r="U52" s="9" t="n">
        <v>-0.0176934640260113</v>
      </c>
    </row>
    <row r="53" customFormat="false" ht="17.15" hidden="false" customHeight="false" outlineLevel="0" collapsed="false">
      <c r="A53" s="3" t="s">
        <v>30</v>
      </c>
      <c r="B53" s="4" t="s">
        <v>16</v>
      </c>
      <c r="C53" s="3" t="s">
        <v>46</v>
      </c>
      <c r="D53" s="4" t="s">
        <v>21</v>
      </c>
      <c r="E53" s="3" t="s">
        <v>18</v>
      </c>
      <c r="F53" s="3" t="s">
        <v>31</v>
      </c>
      <c r="G53" s="4" t="n">
        <v>486</v>
      </c>
      <c r="H53" s="7" t="n">
        <v>-0.0126631353168864</v>
      </c>
      <c r="I53" s="7" t="n">
        <v>0.00284551210821758</v>
      </c>
      <c r="J53" s="6" t="n">
        <f aca="false">H53-1.96*I53</f>
        <v>-0.0182403390489928</v>
      </c>
      <c r="K53" s="6" t="n">
        <f aca="false">H53+1.96*I53</f>
        <v>-0.00708593158477989</v>
      </c>
      <c r="L53" s="6" t="n">
        <f aca="false">2*(1-NORMSDIST(ABS(H53/I53)))</f>
        <v>8.57851167923585E-006</v>
      </c>
      <c r="M53" s="8" t="n">
        <f aca="false">EXP(H53)-1</f>
        <v>-0.0125832951829976</v>
      </c>
      <c r="N53" s="8" t="n">
        <f aca="false">EXP(J53)-1</f>
        <v>-0.0180749909262321</v>
      </c>
      <c r="O53" s="8" t="n">
        <f aca="false">EXP(K53)-1</f>
        <v>-0.00706088556461226</v>
      </c>
      <c r="P53" s="7" t="n">
        <v>0.00333666530367073</v>
      </c>
      <c r="Q53" s="6" t="n">
        <f aca="false">2*(1-NORMSDIST(ABS(H53/P53)))</f>
        <v>0.00014755600296712</v>
      </c>
      <c r="R53" s="9" t="n">
        <v>0.750345053713376</v>
      </c>
      <c r="S53" s="9" t="n">
        <v>0.166393849010821</v>
      </c>
      <c r="T53" s="9" t="n">
        <v>-0.0138424583296344</v>
      </c>
      <c r="U53" s="9" t="n">
        <v>-0.0122786922529758</v>
      </c>
    </row>
    <row r="54" customFormat="false" ht="17.15" hidden="false" customHeight="false" outlineLevel="0" collapsed="false">
      <c r="A54" s="3" t="s">
        <v>30</v>
      </c>
      <c r="B54" s="4" t="s">
        <v>22</v>
      </c>
      <c r="C54" s="3" t="s">
        <v>45</v>
      </c>
      <c r="D54" s="4" t="s">
        <v>17</v>
      </c>
      <c r="E54" s="3" t="s">
        <v>18</v>
      </c>
      <c r="F54" s="3" t="s">
        <v>31</v>
      </c>
      <c r="G54" s="4" t="n">
        <v>241</v>
      </c>
      <c r="H54" s="7" t="n">
        <v>-0.00294927849830921</v>
      </c>
      <c r="I54" s="7" t="n">
        <v>0.00627318164499855</v>
      </c>
      <c r="J54" s="6" t="n">
        <f aca="false">H54-1.96*I54</f>
        <v>-0.0152447145225064</v>
      </c>
      <c r="K54" s="6" t="n">
        <f aca="false">H54+1.96*I54</f>
        <v>0.00934615752588796</v>
      </c>
      <c r="L54" s="6" t="n">
        <f aca="false">2*(1-NORMSDIST(ABS(H54/I54)))</f>
        <v>0.638254442050895</v>
      </c>
      <c r="M54" s="8" t="n">
        <f aca="false">EXP(H54)-1</f>
        <v>-0.00294493364891879</v>
      </c>
      <c r="N54" s="8" t="n">
        <f aca="false">EXP(J54)-1</f>
        <v>-0.015129102100447</v>
      </c>
      <c r="O54" s="8" t="n">
        <f aca="false">EXP(K54)-1</f>
        <v>0.00938996924016045</v>
      </c>
      <c r="P54" s="7" t="n">
        <v>0.00775029730092339</v>
      </c>
      <c r="Q54" s="6" t="n">
        <f aca="false">2*(1-NORMSDIST(ABS(H54/P54)))</f>
        <v>0.703546490472404</v>
      </c>
      <c r="R54" s="9" t="n">
        <v>0.518678833276605</v>
      </c>
      <c r="S54" s="9" t="n">
        <v>0.202876820910923</v>
      </c>
      <c r="T54" s="9" t="n">
        <v>-0.00346685311149213</v>
      </c>
      <c r="U54" s="9" t="n">
        <v>-0.00275113278641945</v>
      </c>
    </row>
    <row r="55" customFormat="false" ht="17.15" hidden="false" customHeight="false" outlineLevel="0" collapsed="false">
      <c r="A55" s="3" t="s">
        <v>30</v>
      </c>
      <c r="B55" s="4" t="s">
        <v>22</v>
      </c>
      <c r="C55" s="3" t="s">
        <v>45</v>
      </c>
      <c r="D55" s="4" t="s">
        <v>21</v>
      </c>
      <c r="E55" s="3" t="s">
        <v>18</v>
      </c>
      <c r="F55" s="3" t="s">
        <v>31</v>
      </c>
      <c r="G55" s="4" t="n">
        <v>241</v>
      </c>
      <c r="H55" s="7" t="n">
        <v>0.00176661100892562</v>
      </c>
      <c r="I55" s="7" t="n">
        <v>0.00616922945582857</v>
      </c>
      <c r="J55" s="6" t="n">
        <f aca="false">H55-1.96*I55</f>
        <v>-0.0103250787244984</v>
      </c>
      <c r="K55" s="6" t="n">
        <f aca="false">H55+1.96*I55</f>
        <v>0.0138583007423496</v>
      </c>
      <c r="L55" s="6" t="n">
        <f aca="false">2*(1-NORMSDIST(ABS(H55/I55)))</f>
        <v>0.774603591835959</v>
      </c>
      <c r="M55" s="8" t="n">
        <f aca="false">EXP(H55)-1</f>
        <v>0.001768172385467</v>
      </c>
      <c r="N55" s="8" t="n">
        <f aca="false">EXP(J55)-1</f>
        <v>-0.0102719580813042</v>
      </c>
      <c r="O55" s="8" t="n">
        <f aca="false">EXP(K55)-1</f>
        <v>0.0139547721200746</v>
      </c>
      <c r="P55" s="7" t="n">
        <v>0.00729499104561603</v>
      </c>
      <c r="Q55" s="6" t="n">
        <f aca="false">2*(1-NORMSDIST(ABS(H55/P55)))</f>
        <v>0.808650242519671</v>
      </c>
      <c r="R55" s="9" t="n">
        <v>0.525660454479157</v>
      </c>
      <c r="S55" s="9" t="n">
        <v>0.184427183652483</v>
      </c>
      <c r="T55" s="9" t="n">
        <v>0.00125358938677371</v>
      </c>
      <c r="U55" s="9" t="n">
        <v>0.00307735308951017</v>
      </c>
    </row>
    <row r="56" customFormat="false" ht="17.15" hidden="false" customHeight="false" outlineLevel="0" collapsed="false">
      <c r="A56" s="3" t="s">
        <v>30</v>
      </c>
      <c r="B56" s="4" t="s">
        <v>22</v>
      </c>
      <c r="C56" s="3" t="s">
        <v>46</v>
      </c>
      <c r="D56" s="4" t="s">
        <v>17</v>
      </c>
      <c r="E56" s="3" t="s">
        <v>18</v>
      </c>
      <c r="F56" s="3" t="s">
        <v>31</v>
      </c>
      <c r="G56" s="4" t="n">
        <v>486</v>
      </c>
      <c r="H56" s="7" t="n">
        <v>0.00308981744919107</v>
      </c>
      <c r="I56" s="7" t="n">
        <v>0.00364713186848221</v>
      </c>
      <c r="J56" s="6" t="n">
        <f aca="false">H56-1.96*I56</f>
        <v>-0.00405856101303406</v>
      </c>
      <c r="K56" s="6" t="n">
        <f aca="false">H56+1.96*I56</f>
        <v>0.0102381959114162</v>
      </c>
      <c r="L56" s="6" t="n">
        <f aca="false">2*(1-NORMSDIST(ABS(H56/I56)))</f>
        <v>0.396888645589331</v>
      </c>
      <c r="M56" s="8" t="n">
        <f aca="false">EXP(H56)-1</f>
        <v>0.0030945958553259</v>
      </c>
      <c r="N56" s="8" t="n">
        <f aca="false">EXP(J56)-1</f>
        <v>-0.00405033618503681</v>
      </c>
      <c r="O56" s="8" t="n">
        <f aca="false">EXP(K56)-1</f>
        <v>0.0102907855603238</v>
      </c>
      <c r="P56" s="7" t="n">
        <v>0.00411634602143142</v>
      </c>
      <c r="Q56" s="6" t="n">
        <f aca="false">2*(1-NORMSDIST(ABS(H56/P56)))</f>
        <v>0.452880533153122</v>
      </c>
      <c r="R56" s="9" t="n">
        <v>0.326946731282465</v>
      </c>
      <c r="S56" s="9" t="n">
        <v>0.179910982093127</v>
      </c>
      <c r="T56" s="9" t="n">
        <v>0.00256471679643492</v>
      </c>
      <c r="U56" s="9" t="n">
        <v>0.00321881031930554</v>
      </c>
    </row>
    <row r="57" customFormat="false" ht="17.15" hidden="false" customHeight="false" outlineLevel="0" collapsed="false">
      <c r="A57" s="3" t="s">
        <v>30</v>
      </c>
      <c r="B57" s="4" t="s">
        <v>22</v>
      </c>
      <c r="C57" s="3" t="s">
        <v>46</v>
      </c>
      <c r="D57" s="4" t="s">
        <v>21</v>
      </c>
      <c r="E57" s="3" t="s">
        <v>18</v>
      </c>
      <c r="F57" s="3" t="s">
        <v>31</v>
      </c>
      <c r="G57" s="4" t="n">
        <v>486</v>
      </c>
      <c r="H57" s="7" t="n">
        <v>-0.00161554707957708</v>
      </c>
      <c r="I57" s="7" t="n">
        <v>0.00405152436209518</v>
      </c>
      <c r="J57" s="6" t="n">
        <f aca="false">H57-1.96*I57</f>
        <v>-0.00955653482928363</v>
      </c>
      <c r="K57" s="6" t="n">
        <f aca="false">H57+1.96*I57</f>
        <v>0.00632544067012947</v>
      </c>
      <c r="L57" s="6" t="n">
        <f aca="false">2*(1-NORMSDIST(ABS(H57/I57)))</f>
        <v>0.690077105584216</v>
      </c>
      <c r="M57" s="8" t="n">
        <f aca="false">EXP(H57)-1</f>
        <v>-0.00161424278587108</v>
      </c>
      <c r="N57" s="8" t="n">
        <f aca="false">EXP(J57)-1</f>
        <v>-0.00951101626562612</v>
      </c>
      <c r="O57" s="8" t="n">
        <f aca="false">EXP(K57)-1</f>
        <v>0.0063454885181653</v>
      </c>
      <c r="P57" s="7" t="n">
        <v>0.00462296968925332</v>
      </c>
      <c r="Q57" s="6" t="n">
        <f aca="false">2*(1-NORMSDIST(ABS(H57/P57)))</f>
        <v>0.726743331098109</v>
      </c>
      <c r="R57" s="9" t="n">
        <v>0.260193508498908</v>
      </c>
      <c r="S57" s="9" t="n">
        <v>0.166393849010821</v>
      </c>
      <c r="T57" s="9" t="n">
        <v>-0.00279211123229076</v>
      </c>
      <c r="U57" s="9" t="n">
        <v>-0.000836683768873722</v>
      </c>
    </row>
    <row r="58" customFormat="false" ht="17.15" hidden="false" customHeight="false" outlineLevel="0" collapsed="false">
      <c r="A58" s="3" t="s">
        <v>30</v>
      </c>
      <c r="B58" s="4" t="s">
        <v>47</v>
      </c>
      <c r="C58" s="3" t="s">
        <v>48</v>
      </c>
      <c r="D58" s="4" t="s">
        <v>17</v>
      </c>
      <c r="E58" s="3" t="s">
        <v>18</v>
      </c>
      <c r="F58" s="3" t="s">
        <v>31</v>
      </c>
      <c r="G58" s="4" t="n">
        <v>727</v>
      </c>
      <c r="H58" s="7" t="n">
        <v>-0.0141849107642587</v>
      </c>
      <c r="I58" s="7" t="n">
        <v>0.00837130179735864</v>
      </c>
      <c r="J58" s="6" t="n">
        <f aca="false">H58-1.96*I58</f>
        <v>-0.0305926622870816</v>
      </c>
      <c r="K58" s="6" t="n">
        <f aca="false">H58+1.96*I58</f>
        <v>0.00222284075856424</v>
      </c>
      <c r="L58" s="6" t="n">
        <f aca="false">2*(1-NORMSDIST(ABS(H58/I58)))</f>
        <v>0.0901762116681382</v>
      </c>
      <c r="M58" s="8" t="n">
        <f aca="false">EXP(H58)-1</f>
        <v>-0.0140847789304014</v>
      </c>
      <c r="N58" s="8" t="n">
        <f aca="false">EXP(J58)-1</f>
        <v>-0.0301294425207468</v>
      </c>
      <c r="O58" s="8" t="n">
        <f aca="false">EXP(K58)-1</f>
        <v>0.00222531310061802</v>
      </c>
      <c r="P58" s="7" t="n">
        <v>0.00779810280967009</v>
      </c>
      <c r="Q58" s="6" t="n">
        <f aca="false">2*(1-NORMSDIST(ABS(H58/P58)))</f>
        <v>0.0689082655560918</v>
      </c>
      <c r="R58" s="9" t="n">
        <v>0.801386985660852</v>
      </c>
      <c r="S58" s="9" t="n">
        <v>0.195191944578756</v>
      </c>
      <c r="T58" s="9" t="n">
        <v>-0.0150635404296155</v>
      </c>
      <c r="U58" s="9" t="n">
        <v>-0.0137662653480067</v>
      </c>
    </row>
    <row r="59" customFormat="false" ht="17.15" hidden="false" customHeight="false" outlineLevel="0" collapsed="false">
      <c r="A59" s="3" t="s">
        <v>30</v>
      </c>
      <c r="B59" s="4" t="s">
        <v>47</v>
      </c>
      <c r="C59" s="3" t="s">
        <v>48</v>
      </c>
      <c r="D59" s="4" t="s">
        <v>21</v>
      </c>
      <c r="E59" s="3" t="s">
        <v>18</v>
      </c>
      <c r="F59" s="3" t="s">
        <v>31</v>
      </c>
      <c r="G59" s="4" t="n">
        <v>727</v>
      </c>
      <c r="H59" s="7" t="n">
        <v>0.00473236061691451</v>
      </c>
      <c r="I59" s="7" t="n">
        <v>0.00717757252030556</v>
      </c>
      <c r="J59" s="6" t="n">
        <f aca="false">H59-1.96*I59</f>
        <v>-0.00933568152288439</v>
      </c>
      <c r="K59" s="6" t="n">
        <f aca="false">H59+1.96*I59</f>
        <v>0.0188004027567134</v>
      </c>
      <c r="L59" s="6" t="n">
        <f aca="false">2*(1-NORMSDIST(ABS(H59/I59)))</f>
        <v>0.509686410810343</v>
      </c>
      <c r="M59" s="8" t="n">
        <f aca="false">EXP(H59)-1</f>
        <v>0.00474357592005936</v>
      </c>
      <c r="N59" s="8" t="n">
        <f aca="false">EXP(J59)-1</f>
        <v>-0.009292239340702</v>
      </c>
      <c r="O59" s="8" t="n">
        <f aca="false">EXP(K59)-1</f>
        <v>0.0189782430702041</v>
      </c>
      <c r="P59" s="7" t="n">
        <v>0.00832656101813482</v>
      </c>
      <c r="Q59" s="6" t="n">
        <f aca="false">2*(1-NORMSDIST(ABS(H59/P59)))</f>
        <v>0.569800623088896</v>
      </c>
      <c r="R59" s="9" t="n">
        <v>0.837445301235001</v>
      </c>
      <c r="S59" s="9" t="n">
        <v>0.219927059456384</v>
      </c>
      <c r="T59" s="9" t="n">
        <v>0.00181075998159236</v>
      </c>
      <c r="U59" s="9" t="n">
        <v>0.00720574994660175</v>
      </c>
    </row>
    <row r="60" customFormat="false" ht="17.15" hidden="false" customHeight="false" outlineLevel="0" collapsed="false">
      <c r="A60" s="3" t="s">
        <v>50</v>
      </c>
      <c r="B60" s="4" t="s">
        <v>47</v>
      </c>
      <c r="C60" s="3" t="s">
        <v>48</v>
      </c>
      <c r="D60" s="4" t="s">
        <v>17</v>
      </c>
      <c r="E60" s="3" t="s">
        <v>18</v>
      </c>
      <c r="F60" s="3" t="s">
        <v>19</v>
      </c>
      <c r="G60" s="4" t="n">
        <v>727</v>
      </c>
      <c r="H60" s="7" t="n">
        <v>-0.00321694034262436</v>
      </c>
      <c r="I60" s="7" t="n">
        <v>0.00777835864063447</v>
      </c>
      <c r="J60" s="6" t="n">
        <f aca="false">H60-1.96*I60</f>
        <v>-0.0184625232782679</v>
      </c>
      <c r="K60" s="6" t="n">
        <f aca="false">H60+1.96*I60</f>
        <v>0.0120286425930192</v>
      </c>
      <c r="L60" s="6" t="n">
        <f aca="false">2*(1-NORMSDIST(ABS(H60/I60)))</f>
        <v>0.679184851519979</v>
      </c>
      <c r="M60" s="8" t="n">
        <f aca="false">EXP(H60)-1</f>
        <v>-0.00321177153410879</v>
      </c>
      <c r="N60" s="8" t="n">
        <f aca="false">EXP(J60)-1</f>
        <v>-0.0182931349426017</v>
      </c>
      <c r="O60" s="8" t="n">
        <f aca="false">EXP(K60)-1</f>
        <v>0.0121012776559088</v>
      </c>
      <c r="P60" s="7" t="n">
        <v>0.00792361744441681</v>
      </c>
      <c r="Q60" s="6" t="n">
        <f aca="false">2*(1-NORMSDIST(ABS(H60/P60)))</f>
        <v>0.684747082996496</v>
      </c>
      <c r="R60" s="9" t="n">
        <v>0.849668623678166</v>
      </c>
      <c r="S60" s="9" t="n">
        <v>0.432629634137386</v>
      </c>
      <c r="T60" s="9" t="n">
        <v>-0.00464269174907133</v>
      </c>
      <c r="U60" s="9" t="n">
        <v>-0.000681141332588486</v>
      </c>
    </row>
    <row r="61" customFormat="false" ht="17.15" hidden="false" customHeight="false" outlineLevel="0" collapsed="false">
      <c r="A61" s="3" t="s">
        <v>50</v>
      </c>
      <c r="B61" s="4" t="s">
        <v>47</v>
      </c>
      <c r="C61" s="3" t="s">
        <v>48</v>
      </c>
      <c r="D61" s="4" t="s">
        <v>21</v>
      </c>
      <c r="E61" s="3" t="s">
        <v>18</v>
      </c>
      <c r="F61" s="3" t="s">
        <v>19</v>
      </c>
      <c r="G61" s="4" t="n">
        <v>727</v>
      </c>
      <c r="H61" s="7" t="n">
        <v>0.00285436895705841</v>
      </c>
      <c r="I61" s="7" t="n">
        <v>0.0073867686351035</v>
      </c>
      <c r="J61" s="6" t="n">
        <f aca="false">H61-1.96*I61</f>
        <v>-0.0116236975677444</v>
      </c>
      <c r="K61" s="6" t="n">
        <f aca="false">H61+1.96*I61</f>
        <v>0.0173324354818613</v>
      </c>
      <c r="L61" s="6" t="n">
        <f aca="false">2*(1-NORMSDIST(ABS(H61/I61)))</f>
        <v>0.699188264688774</v>
      </c>
      <c r="M61" s="8" t="n">
        <f aca="false">EXP(H61)-1</f>
        <v>0.00285844654685552</v>
      </c>
      <c r="N61" s="8" t="n">
        <f aca="false">EXP(J61)-1</f>
        <v>-0.0115564033832842</v>
      </c>
      <c r="O61" s="8" t="n">
        <f aca="false">EXP(K61)-1</f>
        <v>0.0174835137308877</v>
      </c>
      <c r="P61" s="7" t="n">
        <v>0.00754061761150894</v>
      </c>
      <c r="Q61" s="6" t="n">
        <f aca="false">2*(1-NORMSDIST(ABS(H61/P61)))</f>
        <v>0.705035043266227</v>
      </c>
      <c r="R61" s="9" t="n">
        <v>0.869239212768932</v>
      </c>
      <c r="S61" s="9" t="n">
        <v>0.476432813317843</v>
      </c>
      <c r="T61" s="9" t="n">
        <v>-4.01647464849319E-005</v>
      </c>
      <c r="U61" s="9" t="n">
        <v>0.00481879830950898</v>
      </c>
    </row>
  </sheetData>
  <autoFilter ref="A1:U61"/>
  <conditionalFormatting sqref="A2:U61">
    <cfRule type="expression" priority="2" aboveAverage="0" equalAverage="0" bottom="0" percent="0" rank="0" text="" dxfId="4">
      <formula>$L2&lt;0.05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51</v>
      </c>
      <c r="B1" s="1" t="s">
        <v>52</v>
      </c>
    </row>
    <row r="2" customFormat="false" ht="17.15" hidden="false" customHeight="false" outlineLevel="0" collapsed="false">
      <c r="A2" s="10" t="s">
        <v>53</v>
      </c>
      <c r="B2" s="11" t="s">
        <v>54</v>
      </c>
    </row>
    <row r="3" customFormat="false" ht="17.15" hidden="false" customHeight="false" outlineLevel="0" collapsed="false">
      <c r="A3" s="10" t="s">
        <v>55</v>
      </c>
      <c r="B3" s="12" t="s">
        <v>56</v>
      </c>
    </row>
    <row r="4" customFormat="false" ht="32.8" hidden="false" customHeight="false" outlineLevel="0" collapsed="false">
      <c r="A4" s="10" t="s">
        <v>57</v>
      </c>
      <c r="B4" s="11" t="s">
        <v>58</v>
      </c>
    </row>
    <row r="5" customFormat="false" ht="32.8" hidden="false" customHeight="false" outlineLevel="0" collapsed="false">
      <c r="A5" s="10" t="s">
        <v>28</v>
      </c>
      <c r="B5" s="12" t="s">
        <v>59</v>
      </c>
    </row>
    <row r="6" customFormat="false" ht="17.15" hidden="false" customHeight="false" outlineLevel="0" collapsed="false">
      <c r="A6" s="10" t="s">
        <v>2</v>
      </c>
      <c r="B6" s="11" t="s">
        <v>60</v>
      </c>
    </row>
    <row r="7" customFormat="false" ht="17.15" hidden="false" customHeight="false" outlineLevel="0" collapsed="false">
      <c r="A7" s="10" t="s">
        <v>32</v>
      </c>
      <c r="B7" s="11" t="s">
        <v>61</v>
      </c>
    </row>
    <row r="8" customFormat="false" ht="32.8" hidden="false" customHeight="false" outlineLevel="0" collapsed="false">
      <c r="A8" s="13" t="s">
        <v>62</v>
      </c>
      <c r="B8" s="11" t="s">
        <v>63</v>
      </c>
    </row>
    <row r="9" customFormat="false" ht="17.15" hidden="false" customHeight="false" outlineLevel="0" collapsed="false">
      <c r="A9" s="13" t="s">
        <v>64</v>
      </c>
      <c r="B9" s="11" t="s">
        <v>65</v>
      </c>
    </row>
    <row r="10" customFormat="false" ht="17.15" hidden="false" customHeight="false" outlineLevel="0" collapsed="false">
      <c r="A10" s="13" t="s">
        <v>39</v>
      </c>
      <c r="B10" s="12" t="s">
        <v>66</v>
      </c>
    </row>
    <row r="11" customFormat="false" ht="17.15" hidden="false" customHeight="false" outlineLevel="0" collapsed="false">
      <c r="A11" s="10" t="s">
        <v>67</v>
      </c>
      <c r="B11" s="12" t="s">
        <v>68</v>
      </c>
    </row>
    <row r="12" customFormat="false" ht="17.15" hidden="false" customHeight="false" outlineLevel="0" collapsed="false">
      <c r="A12" s="10" t="s">
        <v>69</v>
      </c>
      <c r="B12" s="11" t="s">
        <v>70</v>
      </c>
    </row>
    <row r="13" customFormat="false" ht="17.15" hidden="false" customHeight="false" outlineLevel="0" collapsed="false">
      <c r="A13" s="10" t="s">
        <v>71</v>
      </c>
      <c r="B13" s="11" t="s">
        <v>72</v>
      </c>
    </row>
    <row r="14" customFormat="false" ht="17.15" hidden="false" customHeight="false" outlineLevel="0" collapsed="false">
      <c r="A14" s="10" t="s">
        <v>73</v>
      </c>
      <c r="B14" s="1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2026-10-10T18:23:06Z</dcterms:created>
  <dc:creator>openpyxl</dc:creator>
  <dc:description/>
  <dc:language>en-US</dc:language>
  <cp:lastModifiedBy/>
  <dcterms:modified xsi:type="dcterms:W3CDTF">2026-10-10T18:23:06Z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