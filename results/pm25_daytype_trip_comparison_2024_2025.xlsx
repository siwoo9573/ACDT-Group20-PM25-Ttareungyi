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a813836c0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8f89b7b714a4289"/>
    <x:sheet xmlns:r="http://schemas.openxmlformats.org/officeDocument/2006/relationships" name="Daily" sheetId="2" r:id="Rd59dba88ccb8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#,##0"/>
    <x:numFmt numFmtId="203" formatCode="#,##0.00"/>
    <x:numFmt numFmtId="204" formatCode="0.000"/>
  </x:numFmts>
  <x:fonts count="3">
    <x:font>
      <x:sz val="11"/>
      <x:name val="Carlito"/>
    </x:font>
    <x:font>
      <x:b/>
      <x:sz val="14"/>
      <x:color rgb="FF203B5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3B5D"/>
      </x:patternFill>
    </x:fill>
    <x:fill>
      <x:patternFill patternType="solid">
        <x:fgColor rgb="FFEAF1F7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2" fontId="0" fillId="0" borderId="0" xfId="0" applyNumberFormat="1" applyFont="1" applyFill="1" applyBorder="1"/>
    <x:xf numFmtId="202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2" fontId="0" fillId="3" borderId="0" xfId="0" applyNumberFormat="1" applyFont="1" applyFill="1" applyBorder="1"/>
    <x:xf numFmtId="202" fontId="0" fillId="4" borderId="0" xfId="0" applyNumberFormat="1" applyFont="1" applyFill="1" applyBorder="1"/>
    <x:xf numFmtId="204" fontId="0" fillId="3" borderId="0" xfId="0" applyNumberFormat="1" applyFont="1" applyFill="1" applyBorder="1"/>
    <x:xf numFmtId="204" fontId="0" fillId="4" borderId="0" xfId="0" applyNumberFormat="1" applyFont="1" applyFill="1" applyBorder="1"/>
    <x:xf numFmtId="204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b92e629cc4036" /><Relationship Type="http://schemas.openxmlformats.org/officeDocument/2006/relationships/theme" Target="/xl/theme/theme1.xml" Id="R91f1a9feb2ab4b3a" /><Relationship Type="http://schemas.openxmlformats.org/officeDocument/2006/relationships/sharedStrings" Target="/xl/sharedStrings.xml" Id="R67a15665baf44181" /><Relationship Type="http://schemas.openxmlformats.org/officeDocument/2006/relationships/worksheet" Target="/xl/worksheets/sheet1.xml" Id="Rc8f89b7b714a4289" /><Relationship Type="http://schemas.openxmlformats.org/officeDocument/2006/relationships/worksheet" Target="/xl/worksheets/sheet2.xml" Id="Rd59dba88ccb8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D"/>
  </x:sheetPr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23" hidden="0" customWidth="1"/>
    <x:col min="9" max="9" width="23" hidden="0" customWidth="1"/>
  </x:cols>
  <x:sheetData>
    <x:row r="2">
      <x:c r="A2" s="1" t="str">
        <x:v>Trip duration and distance by PM2.5 grade and day type</x:v>
      </x:c>
    </x:row>
    <x:row r="3">
      <x:c r="A3" t="str">
        <x:v>Dates included</x:v>
      </x:c>
      <x:c r="B3" t="n">
        <x:f>SUM(Daily!I6:I736)</x:f>
        <x:v>730</x:v>
      </x:c>
    </x:row>
    <x:row r="4">
      <x:c r="A4" t="str">
        <x:v>2025-02-28 excluded: flagged as possibly truncated in v3.</x:v>
      </x:c>
    </x:row>
    <x:row r="6" ht="30" customHeight="1">
      <x:c r="A6" s="3" t="str">
        <x:v>PM2.5 grade</x:v>
      </x:c>
      <x:c r="B6" s="3" t="str">
        <x:v>Workdays</x:v>
      </x:c>
      <x:c r="C6" s="3" t="str">
        <x:v>Rentals</x:v>
      </x:c>
      <x:c r="D6" s="3" t="str">
        <x:v>Minutes / rental</x:v>
      </x:c>
      <x:c r="E6" s="3" t="str">
        <x:v>Km / rental</x:v>
      </x:c>
      <x:c r="F6" s="3" t="str">
        <x:v>Days off</x:v>
      </x:c>
      <x:c r="G6" s="3" t="str">
        <x:v>Rentals</x:v>
      </x:c>
      <x:c r="H6" s="3" t="str">
        <x:v>Minutes / rental</x:v>
      </x:c>
      <x:c r="I6" s="3" t="str">
        <x:v>Km / rental</x:v>
      </x:c>
    </x:row>
    <x:row r="7">
      <x:c r="A7" t="str">
        <x:v>Good</x:v>
      </x:c>
      <x:c r="B7" t="n">
        <x:f>COUNTIFS(Daily!$B$6:$B$736,$A7,Daily!$C$6:$C$736,"Workday",Daily!$I$6:$I$736,1)</x:f>
        <x:v>226</x:v>
      </x:c>
      <x:c r="C7" s="12" t="n">
        <x:f>SUMIFS(Daily!$E$6:$E$736,Daily!$B$6:$B$736,$A7,Daily!$C$6:$C$736,"Workday",Daily!$I$6:$I$736,1)</x:f>
        <x:v>26529071</x:v>
      </x:c>
      <x:c r="D7" s="16" t="n">
        <x:f>IF(C7=0,"",SUMIFS(Daily!$F$6:$F$736,Daily!$B$6:$B$736,$A7,Daily!$C$6:$C$736,"Workday",Daily!$I$6:$I$736,1)/C7)</x:f>
        <x:v>19.473334516689256</x:v>
      </x:c>
      <x:c r="E7" s="16" t="n">
        <x:f>IF(C7=0,"",SUMIFS(Daily!$G$6:$G$736,Daily!$B$6:$B$736,$A7,Daily!$C$6:$C$736,"Workday",Daily!$I$6:$I$736,1)/1000/C7)</x:f>
        <x:v>2.1813773095850193</x:v>
      </x:c>
      <x:c r="F7" t="n">
        <x:f>COUNTIFS(Daily!$B$6:$B$736,$A7,Daily!$C$6:$C$736,"Day off",Daily!$I$6:$I$736,1)</x:f>
        <x:v>118</x:v>
      </x:c>
      <x:c r="G7" s="12" t="n">
        <x:f>SUMIFS(Daily!$E$6:$E$736,Daily!$B$6:$B$736,$A7,Daily!$C$6:$C$736,"Day off",Daily!$I$6:$I$736,1)</x:f>
        <x:v>10837406</x:v>
      </x:c>
      <x:c r="H7" s="16" t="n">
        <x:f>IF(G7=0,"",SUMIFS(Daily!$F$6:$F$736,Daily!$B$6:$B$736,$A7,Daily!$C$6:$C$736,"Day off",Daily!$I$6:$I$736,1)/G7)</x:f>
        <x:v>24.654025049905854</x:v>
      </x:c>
      <x:c r="I7" s="16" t="n">
        <x:f>IF(G7=0,"",SUMIFS(Daily!$G$6:$G$736,Daily!$B$6:$B$736,$A7,Daily!$C$6:$C$736,"Day off",Daily!$I$6:$I$736,1)/1000/G7)</x:f>
        <x:v>2.745657944888287</x:v>
      </x:c>
    </x:row>
    <x:row r="8">
      <x:c r="A8" t="str">
        <x:v>Moderate</x:v>
      </x:c>
      <x:c r="B8" t="n">
        <x:f>COUNTIFS(Daily!$B$6:$B$736,$A8,Daily!$C$6:$C$736,"Workday",Daily!$I$6:$I$736,1)</x:f>
        <x:v>222</x:v>
      </x:c>
      <x:c r="C8" s="12" t="n">
        <x:f>SUMIFS(Daily!$E$6:$E$736,Daily!$B$6:$B$736,$A8,Daily!$C$6:$C$736,"Workday",Daily!$I$6:$I$736,1)</x:f>
        <x:v>28428923</x:v>
      </x:c>
      <x:c r="D8" s="16" t="n">
        <x:f>IF(C8=0,"",SUMIFS(Daily!$F$6:$F$736,Daily!$B$6:$B$736,$A8,Daily!$C$6:$C$736,"Workday",Daily!$I$6:$I$736,1)/C8)</x:f>
        <x:v>19.587621346049584</x:v>
      </x:c>
      <x:c r="E8" s="16" t="n">
        <x:f>IF(C8=0,"",SUMIFS(Daily!$G$6:$G$736,Daily!$B$6:$B$736,$A8,Daily!$C$6:$C$736,"Workday",Daily!$I$6:$I$736,1)/1000/C8)</x:f>
        <x:v>2.2109874046301363</x:v>
      </x:c>
      <x:c r="F8" t="n">
        <x:f>COUNTIFS(Daily!$B$6:$B$736,$A8,Daily!$C$6:$C$736,"Day off",Daily!$I$6:$I$736,1)</x:f>
        <x:v>105</x:v>
      </x:c>
      <x:c r="G8" s="12" t="n">
        <x:f>SUMIFS(Daily!$E$6:$E$736,Daily!$B$6:$B$736,$A8,Daily!$C$6:$C$736,"Day off",Daily!$I$6:$I$736,1)</x:f>
        <x:v>9613764</x:v>
      </x:c>
      <x:c r="H8" s="16" t="n">
        <x:f>IF(G8=0,"",SUMIFS(Daily!$F$6:$F$736,Daily!$B$6:$B$736,$A8,Daily!$C$6:$C$736,"Day off",Daily!$I$6:$I$736,1)/G8)</x:f>
        <x:v>24.288529549924462</x:v>
      </x:c>
      <x:c r="I8" s="16" t="n">
        <x:f>IF(G8=0,"",SUMIFS(Daily!$G$6:$G$736,Daily!$B$6:$B$736,$A8,Daily!$C$6:$C$736,"Day off",Daily!$I$6:$I$736,1)/1000/G8)</x:f>
        <x:v>2.695658233020906</x:v>
      </x:c>
    </x:row>
    <x:row r="9">
      <x:c r="A9" s="4" t="str">
        <x:v>Bad</x:v>
      </x:c>
      <x:c r="B9" s="4" t="n">
        <x:f>COUNTIFS(Daily!$B$6:$B$736,$A9,Daily!$C$6:$C$736,"Workday",Daily!$I$6:$I$736,1)</x:f>
        <x:v>40</x:v>
      </x:c>
      <x:c r="C9" s="18" t="n">
        <x:f>SUMIFS(Daily!$E$6:$E$736,Daily!$B$6:$B$736,$A9,Daily!$C$6:$C$736,"Workday",Daily!$I$6:$I$736,1)</x:f>
        <x:v>4246313</x:v>
      </x:c>
      <x:c r="D9" s="20" t="n">
        <x:f>IF(C9=0,"",SUMIFS(Daily!$F$6:$F$736,Daily!$B$6:$B$736,$A9,Daily!$C$6:$C$736,"Workday",Daily!$I$6:$I$736,1)/C9)</x:f>
        <x:v>19.135138177520123</x:v>
      </x:c>
      <x:c r="E9" s="20" t="n">
        <x:f>IF(C9=0,"",SUMIFS(Daily!$G$6:$G$736,Daily!$B$6:$B$736,$A9,Daily!$C$6:$C$736,"Workday",Daily!$I$6:$I$736,1)/1000/C9)</x:f>
        <x:v>2.1307328913271335</x:v>
      </x:c>
      <x:c r="F9" s="4" t="n">
        <x:f>COUNTIFS(Daily!$B$6:$B$736,$A9,Daily!$C$6:$C$736,"Day off",Daily!$I$6:$I$736,1)</x:f>
        <x:v>18</x:v>
      </x:c>
      <x:c r="G9" s="18" t="n">
        <x:f>SUMIFS(Daily!$E$6:$E$736,Daily!$B$6:$B$736,$A9,Daily!$C$6:$C$736,"Day off",Daily!$I$6:$I$736,1)</x:f>
        <x:v>1392910</x:v>
      </x:c>
      <x:c r="H9" s="20" t="n">
        <x:f>IF(G9=0,"",SUMIFS(Daily!$F$6:$F$736,Daily!$B$6:$B$736,$A9,Daily!$C$6:$C$736,"Day off",Daily!$I$6:$I$736,1)/G9)</x:f>
        <x:v>24.302070485530294</x:v>
      </x:c>
      <x:c r="I9" s="20" t="n">
        <x:f>IF(G9=0,"",SUMIFS(Daily!$G$6:$G$736,Daily!$B$6:$B$736,$A9,Daily!$C$6:$C$736,"Day off",Daily!$I$6:$I$736,1)/1000/G9)</x:f>
        <x:v>2.6640392466419227</x:v>
      </x:c>
    </x:row>
    <x:row r="10">
      <x:c r="A10" s="5" t="str">
        <x:v>Very Bad</x:v>
      </x:c>
      <x:c r="B10" s="5" t="n">
        <x:f>COUNTIFS(Daily!$B$6:$B$736,$A10,Daily!$C$6:$C$736,"Workday",Daily!$I$6:$I$736,1)</x:f>
        <x:v>1</x:v>
      </x:c>
      <x:c r="C10" s="19" t="n">
        <x:f>SUMIFS(Daily!$E$6:$E$736,Daily!$B$6:$B$736,$A10,Daily!$C$6:$C$736,"Workday",Daily!$I$6:$I$736,1)</x:f>
        <x:v>76557</x:v>
      </x:c>
      <x:c r="D10" s="21" t="n">
        <x:f>IF(C10=0,"",SUMIFS(Daily!$F$6:$F$736,Daily!$B$6:$B$736,$A10,Daily!$C$6:$C$736,"Workday",Daily!$I$6:$I$736,1)/C10)</x:f>
        <x:v>17.113784500437582</x:v>
      </x:c>
      <x:c r="E10" s="21" t="n">
        <x:f>IF(C10=0,"",SUMIFS(Daily!$G$6:$G$736,Daily!$B$6:$B$736,$A10,Daily!$C$6:$C$736,"Workday",Daily!$I$6:$I$736,1)/1000/C10)</x:f>
        <x:v>1.7703180534764944</x:v>
      </x:c>
      <x:c r="F10" s="5" t="n">
        <x:f>COUNTIFS(Daily!$B$6:$B$736,$A10,Daily!$C$6:$C$736,"Day off",Daily!$I$6:$I$736,1)</x:f>
        <x:v>0</x:v>
      </x:c>
      <x:c r="G10" s="19" t="n">
        <x:f>SUMIFS(Daily!$E$6:$E$736,Daily!$B$6:$B$736,$A10,Daily!$C$6:$C$736,"Day off",Daily!$I$6:$I$736,1)</x:f>
        <x:v>0</x:v>
      </x:c>
      <x:c r="H10" s="21" t="str">
        <x:f>IF(G10=0,"",SUMIFS(Daily!$F$6:$F$736,Daily!$B$6:$B$736,$A10,Daily!$C$6:$C$736,"Day off",Daily!$I$6:$I$736,1)/G10)</x:f>
      </x:c>
      <x:c r="I10" s="21" t="str">
        <x:f>IF(G10=0,"",SUMIFS(Daily!$G$6:$G$736,Daily!$B$6:$B$736,$A10,Daily!$C$6:$C$736,"Day off",Daily!$I$6:$I$736,1)/1000/G10)</x:f>
      </x:c>
    </x:row>
    <x:row r="12">
      <x:c r="A12" t="str">
        <x:v>Very Bad has one workday and no day-off observations; treat its result as a single day.</x:v>
      </x:c>
    </x:row>
    <x:row r="14" ht="30" customHeight="1">
      <x:c r="A14" s="3" t="str">
        <x:v>Bad minus Good</x:v>
      </x:c>
      <x:c r="B14" s="3" t="str">
        <x:v>Minutes / rental</x:v>
      </x:c>
      <x:c r="C14" s="3" t="str">
        <x:v>Km / rental</x:v>
      </x:c>
      <x:c r="D14" s="3" t="str">
        <x:v>Car CO2 proxy (kg / rental)</x:v>
      </x:c>
    </x:row>
    <x:row r="15">
      <x:c r="A15" t="str">
        <x:v>Workday</x:v>
      </x:c>
      <x:c r="B15" s="16" t="n">
        <x:f>D9-D7</x:f>
        <x:v>-0.3381963391691336</x:v>
      </x:c>
      <x:c r="C15" s="16" t="n">
        <x:f>E9-E7</x:f>
        <x:v>-0.05064441825788579</x:v>
      </x:c>
      <x:c r="D15" s="16" t="n">
        <x:f>C15*$B$19</x:f>
        <x:v>-0.011749505035829505</x:v>
      </x:c>
    </x:row>
    <x:row r="16">
      <x:c r="A16" t="str">
        <x:v>Day off</x:v>
      </x:c>
      <x:c r="B16" s="16" t="n">
        <x:f>H9-H7</x:f>
        <x:v>-0.3519545643755606</x:v>
      </x:c>
      <x:c r="C16" s="16" t="n">
        <x:f>I9-I7</x:f>
        <x:v>-0.08161869824636447</x:v>
      </x:c>
      <x:c r="D16" s="16" t="n">
        <x:f>C16*$B$19</x:f>
        <x:v>-0.01893553799315656</x:v>
      </x:c>
    </x:row>
    <x:row r="19">
      <x:c r="A19" s="6" t="str">
        <x:v>Illustrative car CO2 factor (kg/km)</x:v>
      </x:c>
      <x:c r="B19" s="22" t="n">
        <x:v>0.232</x:v>
      </x:c>
    </x:row>
    <x:row r="21">
      <x:c r="A21" t="str">
        <x:v>A negative proxy difference reflects shorter observed bike trips; actual car substitution and emissions are unknown.</x:v>
      </x:c>
    </x:row>
    <x:row r="22">
      <x:c r="A22" t="str">
        <x:v>These are descriptive comparisons. Season, temperature and other factors may explain differences.</x:v>
      </x:c>
    </x:row>
    <x:row r="23">
      <x:c r="A23" t="str">
        <x:v>Day off = weekend or public holiday in v3. Group averages use total minutes or distance divided by rentals.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27" hidden="0" customWidth="1"/>
  </x:cols>
  <x:sheetData>
    <x:row r="2">
      <x:c r="A2" s="1" t="str">
        <x:v>Daily matched data</x:v>
      </x:c>
    </x:row>
    <x:row r="3">
      <x:c r="A3" t="str">
        <x:v>Sources: Sua station_2024_daily.csv, station_2025_daily.csv; Group20 integrated v3 PM2.5 and Day_Off.</x:v>
      </x:c>
    </x:row>
    <x:row r="4">
      <x:c r="A4" t="str">
        <x:v>Rows retain the flagged date; Included = 0 excludes it from the group results.</x:v>
      </x:c>
    </x:row>
    <x:row r="5" ht="30" customHeight="1">
      <x:c r="A5" s="3" t="str">
        <x:v>Date</x:v>
      </x:c>
      <x:c r="B5" s="3" t="str">
        <x:v>PM2.5 grade</x:v>
      </x:c>
      <x:c r="C5" s="3" t="str">
        <x:v>Day type</x:v>
      </x:c>
      <x:c r="D5" s="3" t="str">
        <x:v>PM2.5 (µg/m³)</x:v>
      </x:c>
      <x:c r="E5" s="3" t="str">
        <x:v>Rentals</x:v>
      </x:c>
      <x:c r="F5" s="3" t="str">
        <x:v>Total minutes</x:v>
      </x:c>
      <x:c r="G5" s="3" t="str">
        <x:v>Total distance (m)</x:v>
      </x:c>
      <x:c r="H5" s="3" t="str">
        <x:v>Truncated flag</x:v>
      </x:c>
      <x:c r="I5" s="3" t="str">
        <x:v>Included</x:v>
      </x:c>
      <x:c r="J5" s="3" t="str">
        <x:v>Minutes / rental</x:v>
      </x:c>
      <x:c r="K5" s="3" t="str">
        <x:v>Km / rental</x:v>
      </x:c>
      <x:c r="L5" s="3" t="str">
        <x:v>Review note</x:v>
      </x:c>
    </x:row>
    <x:row r="6">
      <x:c r="A6" s="8" t="d">
        <x:v>2024-01-01T00:00:00.000Z</x:v>
      </x:c>
      <x:c r="B6" t="str">
        <x:v>Moderate</x:v>
      </x:c>
      <x:c r="C6" t="str">
        <x:v>Day off</x:v>
      </x:c>
      <x:c r="D6" s="10" t="n">
        <x:v>19.44</x:v>
      </x:c>
      <x:c r="E6" s="12" t="n">
        <x:v>46628</x:v>
      </x:c>
      <x:c r="F6" s="12" t="n">
        <x:v>1017830</x:v>
      </x:c>
      <x:c r="G6" s="14" t="n">
        <x:v>109596159.07</x:v>
      </x:c>
      <x:c r="H6" t="n">
        <x:v>0</x:v>
      </x:c>
      <x:c r="I6" t="n">
        <x:f>IF(H6=0,1,0)</x:f>
        <x:v>1</x:v>
      </x:c>
      <x:c r="J6" s="16" t="n">
        <x:f>F6/E6</x:f>
        <x:v>21.8287295187441</x:v>
      </x:c>
      <x:c r="K6" s="16" t="n">
        <x:f>G6/1000/E6</x:f>
        <x:v>2.3504366275628374</x:v>
      </x:c>
    </x:row>
    <x:row r="7">
      <x:c r="A7" s="8" t="d">
        <x:v>2024-01-02T00:00:00.000Z</x:v>
      </x:c>
      <x:c r="B7" t="str">
        <x:v>Moderate</x:v>
      </x:c>
      <x:c r="C7" t="str">
        <x:v>Workday</x:v>
      </x:c>
      <x:c r="D7" s="10" t="n">
        <x:v>28.68</x:v>
      </x:c>
      <x:c r="E7" s="12" t="n">
        <x:v>86397</x:v>
      </x:c>
      <x:c r="F7" s="12" t="n">
        <x:v>1558983</x:v>
      </x:c>
      <x:c r="G7" s="14" t="n">
        <x:v>166856603.66</x:v>
      </x:c>
      <x:c r="H7" t="n">
        <x:v>0</x:v>
      </x:c>
      <x:c r="I7" t="n">
        <x:f>IF(H7=0,1,0)</x:f>
        <x:v>1</x:v>
      </x:c>
      <x:c r="J7" s="16" t="n">
        <x:f>F7/E7</x:f>
        <x:v>18.04441126428001</x:v>
      </x:c>
      <x:c r="K7" s="16" t="n">
        <x:f>G7/1000/E7</x:f>
        <x:v>1.9312777487644246</x:v>
      </x:c>
    </x:row>
    <x:row r="8">
      <x:c r="A8" s="8" t="d">
        <x:v>2024-01-03T00:00:00.000Z</x:v>
      </x:c>
      <x:c r="B8" t="str">
        <x:v>Moderate</x:v>
      </x:c>
      <x:c r="C8" t="str">
        <x:v>Workday</x:v>
      </x:c>
      <x:c r="D8" s="10" t="n">
        <x:v>29.48</x:v>
      </x:c>
      <x:c r="E8" s="12" t="n">
        <x:v>71805</x:v>
      </x:c>
      <x:c r="F8" s="12" t="n">
        <x:v>1236408</x:v>
      </x:c>
      <x:c r="G8" s="14" t="n">
        <x:v>133864784.03</x:v>
      </x:c>
      <x:c r="H8" t="n">
        <x:v>0</x:v>
      </x:c>
      <x:c r="I8" t="n">
        <x:f>IF(H8=0,1,0)</x:f>
        <x:v>1</x:v>
      </x:c>
      <x:c r="J8" s="16" t="n">
        <x:f>F8/E8</x:f>
        <x:v>17.218968038437435</x:v>
      </x:c>
      <x:c r="K8" s="16" t="n">
        <x:f>G8/1000/E8</x:f>
        <x:v>1.864282209177634</x:v>
      </x:c>
    </x:row>
    <x:row r="9">
      <x:c r="A9" s="8" t="d">
        <x:v>2024-01-04T00:00:00.000Z</x:v>
      </x:c>
      <x:c r="B9" t="str">
        <x:v>Bad</x:v>
      </x:c>
      <x:c r="C9" t="str">
        <x:v>Workday</x:v>
      </x:c>
      <x:c r="D9" s="10" t="n">
        <x:v>36.04</x:v>
      </x:c>
      <x:c r="E9" s="12" t="n">
        <x:v>90104</x:v>
      </x:c>
      <x:c r="F9" s="12" t="n">
        <x:v>1595028</x:v>
      </x:c>
      <x:c r="G9" s="14" t="n">
        <x:v>171962925.79</x:v>
      </x:c>
      <x:c r="H9" t="n">
        <x:v>0</x:v>
      </x:c>
      <x:c r="I9" t="n">
        <x:f>IF(H9=0,1,0)</x:f>
        <x:v>1</x:v>
      </x:c>
      <x:c r="J9" s="16" t="n">
        <x:f>F9/E9</x:f>
        <x:v>17.70207759921868</x:v>
      </x:c>
      <x:c r="K9" s="16" t="n">
        <x:f>G9/1000/E9</x:f>
        <x:v>1.9084938048255347</x:v>
      </x:c>
    </x:row>
    <x:row r="10">
      <x:c r="A10" s="8" t="d">
        <x:v>2024-01-05T00:00:00.000Z</x:v>
      </x:c>
      <x:c r="B10" t="str">
        <x:v>Bad</x:v>
      </x:c>
      <x:c r="C10" t="str">
        <x:v>Workday</x:v>
      </x:c>
      <x:c r="D10" s="10" t="n">
        <x:v>55.76</x:v>
      </x:c>
      <x:c r="E10" s="12" t="n">
        <x:v>94923</x:v>
      </x:c>
      <x:c r="F10" s="12" t="n">
        <x:v>1702203</x:v>
      </x:c>
      <x:c r="G10" s="14" t="n">
        <x:v>181491546.94</x:v>
      </x:c>
      <x:c r="H10" t="n">
        <x:v>0</x:v>
      </x:c>
      <x:c r="I10" t="n">
        <x:f>IF(H10=0,1,0)</x:f>
        <x:v>1</x:v>
      </x:c>
      <x:c r="J10" s="16" t="n">
        <x:f>F10/E10</x:f>
        <x:v>17.93246104737524</x:v>
      </x:c>
      <x:c r="K10" s="16" t="n">
        <x:f>G10/1000/E10</x:f>
        <x:v>1.9119870520316467</x:v>
      </x:c>
    </x:row>
    <x:row r="11">
      <x:c r="A11" s="8" t="d">
        <x:v>2024-01-06T00:00:00.000Z</x:v>
      </x:c>
      <x:c r="B11" t="str">
        <x:v>Good</x:v>
      </x:c>
      <x:c r="C11" t="str">
        <x:v>Day off</x:v>
      </x:c>
      <x:c r="D11" s="10" t="n">
        <x:v>13.08</x:v>
      </x:c>
      <x:c r="E11" s="12" t="n">
        <x:v>57176</x:v>
      </x:c>
      <x:c r="F11" s="12" t="n">
        <x:v>1123824</x:v>
      </x:c>
      <x:c r="G11" s="14" t="n">
        <x:v>118850136.05</x:v>
      </x:c>
      <x:c r="H11" t="n">
        <x:v>0</x:v>
      </x:c>
      <x:c r="I11" t="n">
        <x:f>IF(H11=0,1,0)</x:f>
        <x:v>1</x:v>
      </x:c>
      <x:c r="J11" s="16" t="n">
        <x:f>F11/E11</x:f>
        <x:v>19.65551979851686</x:v>
      </x:c>
      <x:c r="K11" s="16" t="n">
        <x:f>G11/1000/E11</x:f>
        <x:v>2.07867175125927</x:v>
      </x:c>
    </x:row>
    <x:row r="12">
      <x:c r="A12" s="8" t="d">
        <x:v>2024-01-07T00:00:00.000Z</x:v>
      </x:c>
      <x:c r="B12" t="str">
        <x:v>Good</x:v>
      </x:c>
      <x:c r="C12" t="str">
        <x:v>Day off</x:v>
      </x:c>
      <x:c r="D12" s="10" t="n">
        <x:v>13.8</x:v>
      </x:c>
      <x:c r="E12" s="12" t="n">
        <x:v>31450</x:v>
      </x:c>
      <x:c r="F12" s="12" t="n">
        <x:v>568680</x:v>
      </x:c>
      <x:c r="G12" s="14" t="n">
        <x:v>57333349.36</x:v>
      </x:c>
      <x:c r="H12" t="n">
        <x:v>0</x:v>
      </x:c>
      <x:c r="I12" t="n">
        <x:f>IF(H12=0,1,0)</x:f>
        <x:v>1</x:v>
      </x:c>
      <x:c r="J12" s="16" t="n">
        <x:f>F12/E12</x:f>
        <x:v>18.082034976152624</x:v>
      </x:c>
      <x:c r="K12" s="16" t="n">
        <x:f>G12/1000/E12</x:f>
        <x:v>1.8229999796502385</x:v>
      </x:c>
    </x:row>
    <x:row r="13">
      <x:c r="A13" s="8" t="d">
        <x:v>2024-01-08T00:00:00.000Z</x:v>
      </x:c>
      <x:c r="B13" t="str">
        <x:v>Good</x:v>
      </x:c>
      <x:c r="C13" t="str">
        <x:v>Workday</x:v>
      </x:c>
      <x:c r="D13" s="10" t="n">
        <x:v>12.96</x:v>
      </x:c>
      <x:c r="E13" s="12" t="n">
        <x:v>64949</x:v>
      </x:c>
      <x:c r="F13" s="12" t="n">
        <x:v>1111933</x:v>
      </x:c>
      <x:c r="G13" s="14" t="n">
        <x:v>114405402.54</x:v>
      </x:c>
      <x:c r="H13" t="n">
        <x:v>0</x:v>
      </x:c>
      <x:c r="I13" t="n">
        <x:f>IF(H13=0,1,0)</x:f>
        <x:v>1</x:v>
      </x:c>
      <x:c r="J13" s="16" t="n">
        <x:f>F13/E13</x:f>
        <x:v>17.12009422777872</x:v>
      </x:c>
      <x:c r="K13" s="16" t="n">
        <x:f>G13/1000/E13</x:f>
        <x:v>1.761465188686508</x:v>
      </x:c>
    </x:row>
    <x:row r="14">
      <x:c r="A14" s="8" t="d">
        <x:v>2024-01-09T00:00:00.000Z</x:v>
      </x:c>
      <x:c r="B14" t="str">
        <x:v>Moderate</x:v>
      </x:c>
      <x:c r="C14" t="str">
        <x:v>Workday</x:v>
      </x:c>
      <x:c r="D14" s="10" t="n">
        <x:v>25.52</x:v>
      </x:c>
      <x:c r="E14" s="12" t="n">
        <x:v>38224</x:v>
      </x:c>
      <x:c r="F14" s="12" t="n">
        <x:v>618264</x:v>
      </x:c>
      <x:c r="G14" s="14" t="n">
        <x:v>64737329.87</x:v>
      </x:c>
      <x:c r="H14" t="n">
        <x:v>0</x:v>
      </x:c>
      <x:c r="I14" t="n">
        <x:f>IF(H14=0,1,0)</x:f>
        <x:v>1</x:v>
      </x:c>
      <x:c r="J14" s="16" t="n">
        <x:f>F14/E14</x:f>
        <x:v>16.1747593135203</x:v>
      </x:c>
      <x:c r="K14" s="16" t="n">
        <x:f>G14/1000/E14</x:f>
        <x:v>1.6936304382063623</x:v>
      </x:c>
    </x:row>
    <x:row r="15">
      <x:c r="A15" s="8" t="d">
        <x:v>2024-01-10T00:00:00.000Z</x:v>
      </x:c>
      <x:c r="B15" t="str">
        <x:v>Bad</x:v>
      </x:c>
      <x:c r="C15" t="str">
        <x:v>Workday</x:v>
      </x:c>
      <x:c r="D15" s="10" t="n">
        <x:v>56.08</x:v>
      </x:c>
      <x:c r="E15" s="12" t="n">
        <x:v>68179</x:v>
      </x:c>
      <x:c r="F15" s="12" t="n">
        <x:v>1211645</x:v>
      </x:c>
      <x:c r="G15" s="14" t="n">
        <x:v>124251094.24</x:v>
      </x:c>
      <x:c r="H15" t="n">
        <x:v>0</x:v>
      </x:c>
      <x:c r="I15" t="n">
        <x:f>IF(H15=0,1,0)</x:f>
        <x:v>1</x:v>
      </x:c>
      <x:c r="J15" s="16" t="n">
        <x:f>F15/E15</x:f>
        <x:v>17.771527889819446</x:v>
      </x:c>
      <x:c r="K15" s="16" t="n">
        <x:f>G15/1000/E15</x:f>
        <x:v>1.8224247090746417</x:v>
      </x:c>
    </x:row>
    <x:row r="16">
      <x:c r="A16" s="8" t="d">
        <x:v>2024-01-11T00:00:00.000Z</x:v>
      </x:c>
      <x:c r="B16" t="str">
        <x:v>Bad</x:v>
      </x:c>
      <x:c r="C16" t="str">
        <x:v>Workday</x:v>
      </x:c>
      <x:c r="D16" s="10" t="n">
        <x:v>50.28</x:v>
      </x:c>
      <x:c r="E16" s="12" t="n">
        <x:v>81574</x:v>
      </x:c>
      <x:c r="F16" s="12" t="n">
        <x:v>1430125</x:v>
      </x:c>
      <x:c r="G16" s="14" t="n">
        <x:v>153198713.51</x:v>
      </x:c>
      <x:c r="H16" t="n">
        <x:v>0</x:v>
      </x:c>
      <x:c r="I16" t="n">
        <x:f>IF(H16=0,1,0)</x:f>
        <x:v>1</x:v>
      </x:c>
      <x:c r="J16" s="16" t="n">
        <x:f>F16/E16</x:f>
        <x:v>17.531627724520067</x:v>
      </x:c>
      <x:c r="K16" s="16" t="n">
        <x:f>G16/1000/E16</x:f>
        <x:v>1.8780336076445927</x:v>
      </x:c>
    </x:row>
    <x:row r="17">
      <x:c r="A17" s="8" t="d">
        <x:v>2024-01-12T00:00:00.000Z</x:v>
      </x:c>
      <x:c r="B17" t="str">
        <x:v>Moderate</x:v>
      </x:c>
      <x:c r="C17" t="str">
        <x:v>Workday</x:v>
      </x:c>
      <x:c r="D17" s="10" t="n">
        <x:v>33.88</x:v>
      </x:c>
      <x:c r="E17" s="12" t="n">
        <x:v>83976</x:v>
      </x:c>
      <x:c r="F17" s="12" t="n">
        <x:v>1499365</x:v>
      </x:c>
      <x:c r="G17" s="14" t="n">
        <x:v>159924214.41</x:v>
      </x:c>
      <x:c r="H17" t="n">
        <x:v>0</x:v>
      </x:c>
      <x:c r="I17" t="n">
        <x:f>IF(H17=0,1,0)</x:f>
        <x:v>1</x:v>
      </x:c>
      <x:c r="J17" s="16" t="n">
        <x:f>F17/E17</x:f>
        <x:v>17.854684671810993</x:v>
      </x:c>
      <x:c r="K17" s="16" t="n">
        <x:f>G17/1000/E17</x:f>
        <x:v>1.9044038107316374</x:v>
      </x:c>
    </x:row>
    <x:row r="18">
      <x:c r="A18" s="8" t="d">
        <x:v>2024-01-13T00:00:00.000Z</x:v>
      </x:c>
      <x:c r="B18" t="str">
        <x:v>Good</x:v>
      </x:c>
      <x:c r="C18" t="str">
        <x:v>Day off</x:v>
      </x:c>
      <x:c r="D18" s="10" t="n">
        <x:v>12.64</x:v>
      </x:c>
      <x:c r="E18" s="12" t="n">
        <x:v>64103</x:v>
      </x:c>
      <x:c r="F18" s="12" t="n">
        <x:v>1265645</x:v>
      </x:c>
      <x:c r="G18" s="14" t="n">
        <x:v>136095708.56</x:v>
      </x:c>
      <x:c r="H18" t="n">
        <x:v>0</x:v>
      </x:c>
      <x:c r="I18" t="n">
        <x:f>IF(H18=0,1,0)</x:f>
        <x:v>1</x:v>
      </x:c>
      <x:c r="J18" s="16" t="n">
        <x:f>F18/E18</x:f>
        <x:v>19.74392774129136</x:v>
      </x:c>
      <x:c r="K18" s="16" t="n">
        <x:f>G18/1000/E18</x:f>
        <x:v>2.1230786166014073</x:v>
      </x:c>
    </x:row>
    <x:row r="19">
      <x:c r="A19" s="8" t="d">
        <x:v>2024-01-14T00:00:00.000Z</x:v>
      </x:c>
      <x:c r="B19" t="str">
        <x:v>Moderate</x:v>
      </x:c>
      <x:c r="C19" t="str">
        <x:v>Day off</x:v>
      </x:c>
      <x:c r="D19" s="10" t="n">
        <x:v>23.08</x:v>
      </x:c>
      <x:c r="E19" s="12" t="n">
        <x:v>29011</x:v>
      </x:c>
      <x:c r="F19" s="12" t="n">
        <x:v>513484</x:v>
      </x:c>
      <x:c r="G19" s="14" t="n">
        <x:v>57294159.34</x:v>
      </x:c>
      <x:c r="H19" t="n">
        <x:v>0</x:v>
      </x:c>
      <x:c r="I19" t="n">
        <x:f>IF(H19=0,1,0)</x:f>
        <x:v>1</x:v>
      </x:c>
      <x:c r="J19" s="16" t="n">
        <x:f>F19/E19</x:f>
        <x:v>17.69963117438213</x:v>
      </x:c>
      <x:c r="K19" s="16" t="n">
        <x:f>G19/1000/E19</x:f>
        <x:v>1.974911562510772</x:v>
      </x:c>
    </x:row>
    <x:row r="20">
      <x:c r="A20" s="8" t="d">
        <x:v>2024-01-15T00:00:00.000Z</x:v>
      </x:c>
      <x:c r="B20" t="str">
        <x:v>Good</x:v>
      </x:c>
      <x:c r="C20" t="str">
        <x:v>Workday</x:v>
      </x:c>
      <x:c r="D20" s="10" t="n">
        <x:v>9.8</x:v>
      </x:c>
      <x:c r="E20" s="12" t="n">
        <x:v>69542</x:v>
      </x:c>
      <x:c r="F20" s="12" t="n">
        <x:v>1182784</x:v>
      </x:c>
      <x:c r="G20" s="14" t="n">
        <x:v>124026285.74</x:v>
      </x:c>
      <x:c r="H20" t="n">
        <x:v>0</x:v>
      </x:c>
      <x:c r="I20" t="n">
        <x:f>IF(H20=0,1,0)</x:f>
        <x:v>1</x:v>
      </x:c>
      <x:c r="J20" s="16" t="n">
        <x:f>F20/E20</x:f>
        <x:v>17.008196485577063</x:v>
      </x:c>
      <x:c r="K20" s="16" t="n">
        <x:f>G20/1000/E20</x:f>
        <x:v>1.7834730916568404</x:v>
      </x:c>
    </x:row>
    <x:row r="21">
      <x:c r="A21" s="8" t="d">
        <x:v>2024-01-16T00:00:00.000Z</x:v>
      </x:c>
      <x:c r="B21" t="str">
        <x:v>Moderate</x:v>
      </x:c>
      <x:c r="C21" t="str">
        <x:v>Workday</x:v>
      </x:c>
      <x:c r="D21" s="10" t="n">
        <x:v>17.6</x:v>
      </x:c>
      <x:c r="E21" s="12" t="n">
        <x:v>78770</x:v>
      </x:c>
      <x:c r="F21" s="12" t="n">
        <x:v>1367105</x:v>
      </x:c>
      <x:c r="G21" s="14" t="n">
        <x:v>147591749.69</x:v>
      </x:c>
      <x:c r="H21" t="n">
        <x:v>0</x:v>
      </x:c>
      <x:c r="I21" t="n">
        <x:f>IF(H21=0,1,0)</x:f>
        <x:v>1</x:v>
      </x:c>
      <x:c r="J21" s="16" t="n">
        <x:f>F21/E21</x:f>
        <x:v>17.35565570648724</x:v>
      </x:c>
      <x:c r="K21" s="16" t="n">
        <x:f>G21/1000/E21</x:f>
        <x:v>1.8737050868350895</x:v>
      </x:c>
    </x:row>
    <x:row r="22">
      <x:c r="A22" s="8" t="d">
        <x:v>2024-01-17T00:00:00.000Z</x:v>
      </x:c>
      <x:c r="B22" t="str">
        <x:v>Moderate</x:v>
      </x:c>
      <x:c r="C22" t="str">
        <x:v>Workday</x:v>
      </x:c>
      <x:c r="D22" s="10" t="n">
        <x:v>26.8</x:v>
      </x:c>
      <x:c r="E22" s="12" t="n">
        <x:v>36748</x:v>
      </x:c>
      <x:c r="F22" s="12" t="n">
        <x:v>564077</x:v>
      </x:c>
      <x:c r="G22" s="14" t="n">
        <x:v>62534141.54</x:v>
      </x:c>
      <x:c r="H22" t="n">
        <x:v>0</x:v>
      </x:c>
      <x:c r="I22" t="n">
        <x:f>IF(H22=0,1,0)</x:f>
        <x:v>1</x:v>
      </x:c>
      <x:c r="J22" s="16" t="n">
        <x:f>F22/E22</x:f>
        <x:v>15.349869380646565</x:v>
      </x:c>
      <x:c r="K22" s="16" t="n">
        <x:f>G22/1000/E22</x:f>
        <x:v>1.7017019032328289</x:v>
      </x:c>
    </x:row>
    <x:row r="23">
      <x:c r="A23" s="8" t="d">
        <x:v>2024-01-18T00:00:00.000Z</x:v>
      </x:c>
      <x:c r="B23" t="str">
        <x:v>Moderate</x:v>
      </x:c>
      <x:c r="C23" t="str">
        <x:v>Workday</x:v>
      </x:c>
      <x:c r="D23" s="10" t="n">
        <x:v>20.24</x:v>
      </x:c>
      <x:c r="E23" s="12" t="n">
        <x:v>75776</x:v>
      </x:c>
      <x:c r="F23" s="12" t="n">
        <x:v>1444748</x:v>
      </x:c>
      <x:c r="G23" s="14" t="n">
        <x:v>151518541.71</x:v>
      </x:c>
      <x:c r="H23" t="n">
        <x:v>0</x:v>
      </x:c>
      <x:c r="I23" t="n">
        <x:f>IF(H23=0,1,0)</x:f>
        <x:v>1</x:v>
      </x:c>
      <x:c r="J23" s="16" t="n">
        <x:f>F23/E23</x:f>
        <x:v>19.066036739864863</x:v>
      </x:c>
      <x:c r="K23" s="16" t="n">
        <x:f>G23/1000/E23</x:f>
        <x:v>1.9995584579550256</x:v>
      </x:c>
    </x:row>
    <x:row r="24">
      <x:c r="A24" s="8" t="d">
        <x:v>2024-01-19T00:00:00.000Z</x:v>
      </x:c>
      <x:c r="B24" t="str">
        <x:v>Good</x:v>
      </x:c>
      <x:c r="C24" t="str">
        <x:v>Workday</x:v>
      </x:c>
      <x:c r="D24" s="10" t="n">
        <x:v>8.48</x:v>
      </x:c>
      <x:c r="E24" s="12" t="n">
        <x:v>90529</x:v>
      </x:c>
      <x:c r="F24" s="12" t="n">
        <x:v>1662647</x:v>
      </x:c>
      <x:c r="G24" s="14" t="n">
        <x:v>178887317.54</x:v>
      </x:c>
      <x:c r="H24" t="n">
        <x:v>0</x:v>
      </x:c>
      <x:c r="I24" t="n">
        <x:f>IF(H24=0,1,0)</x:f>
        <x:v>1</x:v>
      </x:c>
      <x:c r="J24" s="16" t="n">
        <x:f>F24/E24</x:f>
        <x:v>18.3659048481702</x:v>
      </x:c>
      <x:c r="K24" s="16" t="n">
        <x:f>G24/1000/E24</x:f>
        <x:v>1.976022241933524</x:v>
      </x:c>
    </x:row>
    <x:row r="25">
      <x:c r="A25" s="8" t="d">
        <x:v>2024-01-20T00:00:00.000Z</x:v>
      </x:c>
      <x:c r="B25" t="str">
        <x:v>Good</x:v>
      </x:c>
      <x:c r="C25" t="str">
        <x:v>Day off</x:v>
      </x:c>
      <x:c r="D25" s="10" t="n">
        <x:v>1.72</x:v>
      </x:c>
      <x:c r="E25" s="12" t="n">
        <x:v>41782</x:v>
      </x:c>
      <x:c r="F25" s="12" t="n">
        <x:v>736771</x:v>
      </x:c>
      <x:c r="G25" s="14" t="n">
        <x:v>78930408.69</x:v>
      </x:c>
      <x:c r="H25" t="n">
        <x:v>0</x:v>
      </x:c>
      <x:c r="I25" t="n">
        <x:f>IF(H25=0,1,0)</x:f>
        <x:v>1</x:v>
      </x:c>
      <x:c r="J25" s="16" t="n">
        <x:f>F25/E25</x:f>
        <x:v>17.633693935187402</x:v>
      </x:c>
      <x:c r="K25" s="16" t="n">
        <x:f>G25/1000/E25</x:f>
        <x:v>1.889100777607582</x:v>
      </x:c>
    </x:row>
    <x:row r="26">
      <x:c r="A26" s="8" t="d">
        <x:v>2024-01-21T00:00:00.000Z</x:v>
      </x:c>
      <x:c r="B26" t="str">
        <x:v>Good</x:v>
      </x:c>
      <x:c r="C26" t="str">
        <x:v>Day off</x:v>
      </x:c>
      <x:c r="D26" s="10" t="n">
        <x:v>8.88</x:v>
      </x:c>
      <x:c r="E26" s="12" t="n">
        <x:v>36989</x:v>
      </x:c>
      <x:c r="F26" s="12" t="n">
        <x:v>695724</x:v>
      </x:c>
      <x:c r="G26" s="14" t="n">
        <x:v>75147505.52</x:v>
      </x:c>
      <x:c r="H26" t="n">
        <x:v>0</x:v>
      </x:c>
      <x:c r="I26" t="n">
        <x:f>IF(H26=0,1,0)</x:f>
        <x:v>1</x:v>
      </x:c>
      <x:c r="J26" s="16" t="n">
        <x:f>F26/E26</x:f>
        <x:v>18.80894319932953</x:v>
      </x:c>
      <x:c r="K26" s="16" t="n">
        <x:f>G26/1000/E26</x:f>
        <x:v>2.0316176571413123</x:v>
      </x:c>
    </x:row>
    <x:row r="27">
      <x:c r="A27" s="8" t="d">
        <x:v>2024-01-22T00:00:00.000Z</x:v>
      </x:c>
      <x:c r="B27" t="str">
        <x:v>Moderate</x:v>
      </x:c>
      <x:c r="C27" t="str">
        <x:v>Workday</x:v>
      </x:c>
      <x:c r="D27" s="10" t="n">
        <x:v>20</x:v>
      </x:c>
      <x:c r="E27" s="12" t="n">
        <x:v>48139</x:v>
      </x:c>
      <x:c r="F27" s="12" t="n">
        <x:v>759534</x:v>
      </x:c>
      <x:c r="G27" s="14" t="n">
        <x:v>77117099.79</x:v>
      </x:c>
      <x:c r="H27" t="n">
        <x:v>0</x:v>
      </x:c>
      <x:c r="I27" t="n">
        <x:f>IF(H27=0,1,0)</x:f>
        <x:v>1</x:v>
      </x:c>
      <x:c r="J27" s="16" t="n">
        <x:f>F27/E27</x:f>
        <x:v>15.777934730675751</x:v>
      </x:c>
      <x:c r="K27" s="16" t="n">
        <x:f>G27/1000/E27</x:f>
        <x:v>1.601967215563265</x:v>
      </x:c>
    </x:row>
    <x:row r="28">
      <x:c r="A28" s="8" t="d">
        <x:v>2024-01-23T00:00:00.000Z</x:v>
      </x:c>
      <x:c r="B28" t="str">
        <x:v>Good</x:v>
      </x:c>
      <x:c r="C28" t="str">
        <x:v>Workday</x:v>
      </x:c>
      <x:c r="D28" s="10" t="n">
        <x:v>11.88</x:v>
      </x:c>
      <x:c r="E28" s="12" t="n">
        <x:v>43595</x:v>
      </x:c>
      <x:c r="F28" s="12" t="n">
        <x:v>672352</x:v>
      </x:c>
      <x:c r="G28" s="14" t="n">
        <x:v>66541665.92</x:v>
      </x:c>
      <x:c r="H28" t="n">
        <x:v>0</x:v>
      </x:c>
      <x:c r="I28" t="n">
        <x:f>IF(H28=0,1,0)</x:f>
        <x:v>1</x:v>
      </x:c>
      <x:c r="J28" s="16" t="n">
        <x:f>F28/E28</x:f>
        <x:v>15.422686087854112</x:v>
      </x:c>
      <x:c r="K28" s="16" t="n">
        <x:f>G28/1000/E28</x:f>
        <x:v>1.5263600394540657</x:v>
      </x:c>
    </x:row>
    <x:row r="29">
      <x:c r="A29" s="8" t="d">
        <x:v>2024-01-24T00:00:00.000Z</x:v>
      </x:c>
      <x:c r="B29" t="str">
        <x:v>Good</x:v>
      </x:c>
      <x:c r="C29" t="str">
        <x:v>Workday</x:v>
      </x:c>
      <x:c r="D29" s="10" t="n">
        <x:v>11</x:v>
      </x:c>
      <x:c r="E29" s="12" t="n">
        <x:v>50771</x:v>
      </x:c>
      <x:c r="F29" s="12" t="n">
        <x:v>807944</x:v>
      </x:c>
      <x:c r="G29" s="14" t="n">
        <x:v>81590365.73</x:v>
      </x:c>
      <x:c r="H29" t="n">
        <x:v>0</x:v>
      </x:c>
      <x:c r="I29" t="n">
        <x:f>IF(H29=0,1,0)</x:f>
        <x:v>1</x:v>
      </x:c>
      <x:c r="J29" s="16" t="n">
        <x:f>F29/E29</x:f>
        <x:v>15.913493923696599</x:v>
      </x:c>
      <x:c r="K29" s="16" t="n">
        <x:f>G29/1000/E29</x:f>
        <x:v>1.6070269588938568</x:v>
      </x:c>
    </x:row>
    <x:row r="30">
      <x:c r="A30" s="8" t="d">
        <x:v>2024-01-25T00:00:00.000Z</x:v>
      </x:c>
      <x:c r="B30" t="str">
        <x:v>Good</x:v>
      </x:c>
      <x:c r="C30" t="str">
        <x:v>Workday</x:v>
      </x:c>
      <x:c r="D30" s="10" t="n">
        <x:v>12.52</x:v>
      </x:c>
      <x:c r="E30" s="12" t="n">
        <x:v>62371</x:v>
      </x:c>
      <x:c r="F30" s="12" t="n">
        <x:v>1033307</x:v>
      </x:c>
      <x:c r="G30" s="14" t="n">
        <x:v>107567157.49</x:v>
      </x:c>
      <x:c r="H30" t="n">
        <x:v>0</x:v>
      </x:c>
      <x:c r="I30" t="n">
        <x:f>IF(H30=0,1,0)</x:f>
        <x:v>1</x:v>
      </x:c>
      <x:c r="J30" s="16" t="n">
        <x:f>F30/E30</x:f>
        <x:v>16.567106507832165</x:v>
      </x:c>
      <x:c r="K30" s="16" t="n">
        <x:f>G30/1000/E30</x:f>
        <x:v>1.7246341647560566</x:v>
      </x:c>
    </x:row>
    <x:row r="31">
      <x:c r="A31" s="8" t="d">
        <x:v>2024-01-26T00:00:00.000Z</x:v>
      </x:c>
      <x:c r="B31" t="str">
        <x:v>Moderate</x:v>
      </x:c>
      <x:c r="C31" t="str">
        <x:v>Workday</x:v>
      </x:c>
      <x:c r="D31" s="10" t="n">
        <x:v>22.44</x:v>
      </x:c>
      <x:c r="E31" s="12" t="n">
        <x:v>75062</x:v>
      </x:c>
      <x:c r="F31" s="12" t="n">
        <x:v>1332579</x:v>
      </x:c>
      <x:c r="G31" s="14" t="n">
        <x:v>140792670.82</x:v>
      </x:c>
      <x:c r="H31" t="n">
        <x:v>0</x:v>
      </x:c>
      <x:c r="I31" t="n">
        <x:f>IF(H31=0,1,0)</x:f>
        <x:v>1</x:v>
      </x:c>
      <x:c r="J31" s="16" t="n">
        <x:f>F31/E31</x:f>
        <x:v>17.753044150169192</x:v>
      </x:c>
      <x:c r="K31" s="16" t="n">
        <x:f>G31/1000/E31</x:f>
        <x:v>1.8756850446297728</x:v>
      </x:c>
    </x:row>
    <x:row r="32">
      <x:c r="A32" s="8" t="d">
        <x:v>2024-01-27T00:00:00.000Z</x:v>
      </x:c>
      <x:c r="B32" t="str">
        <x:v>Bad</x:v>
      </x:c>
      <x:c r="C32" t="str">
        <x:v>Day off</x:v>
      </x:c>
      <x:c r="D32" s="10" t="n">
        <x:v>37.36</x:v>
      </x:c>
      <x:c r="E32" s="12" t="n">
        <x:v>57700</x:v>
      </x:c>
      <x:c r="F32" s="12" t="n">
        <x:v>1132463</x:v>
      </x:c>
      <x:c r="G32" s="14" t="n">
        <x:v>120198795.37</x:v>
      </x:c>
      <x:c r="H32" t="n">
        <x:v>0</x:v>
      </x:c>
      <x:c r="I32" t="n">
        <x:f>IF(H32=0,1,0)</x:f>
        <x:v>1</x:v>
      </x:c>
      <x:c r="J32" s="16" t="n">
        <x:f>F32/E32</x:f>
        <x:v>19.626741767764297</x:v>
      </x:c>
      <x:c r="K32" s="16" t="n">
        <x:f>G32/1000/E32</x:f>
        <x:v>2.08316803067591</x:v>
      </x:c>
    </x:row>
    <x:row r="33">
      <x:c r="A33" s="8" t="d">
        <x:v>2024-01-28T00:00:00.000Z</x:v>
      </x:c>
      <x:c r="B33" t="str">
        <x:v>Moderate</x:v>
      </x:c>
      <x:c r="C33" t="str">
        <x:v>Day off</x:v>
      </x:c>
      <x:c r="D33" s="10" t="n">
        <x:v>21.6</x:v>
      </x:c>
      <x:c r="E33" s="12" t="n">
        <x:v>48382</x:v>
      </x:c>
      <x:c r="F33" s="12" t="n">
        <x:v>973946</x:v>
      </x:c>
      <x:c r="G33" s="14" t="n">
        <x:v>107139826.01</x:v>
      </x:c>
      <x:c r="H33" t="n">
        <x:v>0</x:v>
      </x:c>
      <x:c r="I33" t="n">
        <x:f>IF(H33=0,1,0)</x:f>
        <x:v>1</x:v>
      </x:c>
      <x:c r="J33" s="16" t="n">
        <x:f>F33/E33</x:f>
        <x:v>20.130337728907445</x:v>
      </x:c>
      <x:c r="K33" s="16" t="n">
        <x:f>G33/1000/E33</x:f>
        <x:v>2.214456326939771</x:v>
      </x:c>
    </x:row>
    <x:row r="34">
      <x:c r="A34" s="8" t="d">
        <x:v>2024-01-29T00:00:00.000Z</x:v>
      </x:c>
      <x:c r="B34" t="str">
        <x:v>Moderate</x:v>
      </x:c>
      <x:c r="C34" t="str">
        <x:v>Workday</x:v>
      </x:c>
      <x:c r="D34" s="10" t="n">
        <x:v>31.64</x:v>
      </x:c>
      <x:c r="E34" s="12" t="n">
        <x:v>78801</x:v>
      </x:c>
      <x:c r="F34" s="12" t="n">
        <x:v>1418410</x:v>
      </x:c>
      <x:c r="G34" s="14" t="n">
        <x:v>153987966.43</x:v>
      </x:c>
      <x:c r="H34" t="n">
        <x:v>0</x:v>
      </x:c>
      <x:c r="I34" t="n">
        <x:f>IF(H34=0,1,0)</x:f>
        <x:v>1</x:v>
      </x:c>
      <x:c r="J34" s="16" t="n">
        <x:f>F34/E34</x:f>
        <x:v>17.999898478445704</x:v>
      </x:c>
      <x:c r="K34" s="16" t="n">
        <x:f>G34/1000/E34</x:f>
        <x:v>1.9541372118374132</x:v>
      </x:c>
    </x:row>
    <x:row r="35">
      <x:c r="A35" s="8" t="d">
        <x:v>2024-01-30T00:00:00.000Z</x:v>
      </x:c>
      <x:c r="B35" t="str">
        <x:v>Bad</x:v>
      </x:c>
      <x:c r="C35" t="str">
        <x:v>Workday</x:v>
      </x:c>
      <x:c r="D35" s="10" t="n">
        <x:v>41.48</x:v>
      </x:c>
      <x:c r="E35" s="12" t="n">
        <x:v>86595</x:v>
      </x:c>
      <x:c r="F35" s="12" t="n">
        <x:v>1564887</x:v>
      </x:c>
      <x:c r="G35" s="14" t="n">
        <x:v>172462386.42</x:v>
      </x:c>
      <x:c r="H35" t="n">
        <x:v>0</x:v>
      </x:c>
      <x:c r="I35" t="n">
        <x:f>IF(H35=0,1,0)</x:f>
        <x:v>1</x:v>
      </x:c>
      <x:c r="J35" s="16" t="n">
        <x:f>F35/E35</x:f>
        <x:v>18.07133206305214</x:v>
      </x:c>
      <x:c r="K35" s="16" t="n">
        <x:f>G35/1000/E35</x:f>
        <x:v>1.9915975104798198</x:v>
      </x:c>
    </x:row>
    <x:row r="36">
      <x:c r="A36" s="8" t="d">
        <x:v>2024-01-31T00:00:00.000Z</x:v>
      </x:c>
      <x:c r="B36" t="str">
        <x:v>Bad</x:v>
      </x:c>
      <x:c r="C36" t="str">
        <x:v>Workday</x:v>
      </x:c>
      <x:c r="D36" s="10" t="n">
        <x:v>41.08</x:v>
      </x:c>
      <x:c r="E36" s="12" t="n">
        <x:v>93212</x:v>
      </x:c>
      <x:c r="F36" s="12" t="n">
        <x:v>1689947</x:v>
      </x:c>
      <x:c r="G36" s="14" t="n">
        <x:v>187024589.67</x:v>
      </x:c>
      <x:c r="H36" t="n">
        <x:v>0</x:v>
      </x:c>
      <x:c r="I36" t="n">
        <x:f>IF(H36=0,1,0)</x:f>
        <x:v>1</x:v>
      </x:c>
      <x:c r="J36" s="16" t="n">
        <x:f>F36/E36</x:f>
        <x:v>18.130144187443676</x:v>
      </x:c>
      <x:c r="K36" s="16" t="n">
        <x:f>G36/1000/E36</x:f>
        <x:v>2.006443265566665</x:v>
      </x:c>
    </x:row>
    <x:row r="37">
      <x:c r="A37" s="8" t="d">
        <x:v>2024-02-01T00:00:00.000Z</x:v>
      </x:c>
      <x:c r="B37" t="str">
        <x:v>Bad</x:v>
      </x:c>
      <x:c r="C37" t="str">
        <x:v>Workday</x:v>
      </x:c>
      <x:c r="D37" s="10" t="n">
        <x:v>60.32</x:v>
      </x:c>
      <x:c r="E37" s="12" t="n">
        <x:v>91540</x:v>
      </x:c>
      <x:c r="F37" s="12" t="n">
        <x:v>1632397</x:v>
      </x:c>
      <x:c r="G37" s="14" t="n">
        <x:v>178821135.58</x:v>
      </x:c>
      <x:c r="H37" t="n">
        <x:v>0</x:v>
      </x:c>
      <x:c r="I37" t="n">
        <x:f>IF(H37=0,1,0)</x:f>
        <x:v>1</x:v>
      </x:c>
      <x:c r="J37" s="16" t="n">
        <x:f>F37/E37</x:f>
        <x:v>17.832608695652173</x:v>
      </x:c>
      <x:c r="K37" s="16" t="n">
        <x:f>G37/1000/E37</x:f>
        <x:v>1.953475372296264</x:v>
      </x:c>
    </x:row>
    <x:row r="38">
      <x:c r="A38" s="8" t="d">
        <x:v>2024-02-02T00:00:00.000Z</x:v>
      </x:c>
      <x:c r="B38" t="str">
        <x:v>Moderate</x:v>
      </x:c>
      <x:c r="C38" t="str">
        <x:v>Workday</x:v>
      </x:c>
      <x:c r="D38" s="10" t="n">
        <x:v>32.72</x:v>
      </x:c>
      <x:c r="E38" s="12" t="n">
        <x:v>94969</x:v>
      </x:c>
      <x:c r="F38" s="12" t="n">
        <x:v>1730034</x:v>
      </x:c>
      <x:c r="G38" s="14" t="n">
        <x:v>188615371.2</x:v>
      </x:c>
      <x:c r="H38" t="n">
        <x:v>0</x:v>
      </x:c>
      <x:c r="I38" t="n">
        <x:f>IF(H38=0,1,0)</x:f>
        <x:v>1</x:v>
      </x:c>
      <x:c r="J38" s="16" t="n">
        <x:f>F38/E38</x:f>
        <x:v>18.216828649348734</x:v>
      </x:c>
      <x:c r="K38" s="16" t="n">
        <x:f>G38/1000/E38</x:f>
        <x:v>1.9860730469942822</x:v>
      </x:c>
    </x:row>
    <x:row r="39">
      <x:c r="A39" s="8" t="d">
        <x:v>2024-02-03T00:00:00.000Z</x:v>
      </x:c>
      <x:c r="B39" t="str">
        <x:v>Moderate</x:v>
      </x:c>
      <x:c r="C39" t="str">
        <x:v>Day off</x:v>
      </x:c>
      <x:c r="D39" s="10" t="n">
        <x:v>26</x:v>
      </x:c>
      <x:c r="E39" s="12" t="n">
        <x:v>67693</x:v>
      </x:c>
      <x:c r="F39" s="12" t="n">
        <x:v>1350312</x:v>
      </x:c>
      <x:c r="G39" s="14" t="n">
        <x:v>147736224.36</x:v>
      </x:c>
      <x:c r="H39" t="n">
        <x:v>0</x:v>
      </x:c>
      <x:c r="I39" t="n">
        <x:f>IF(H39=0,1,0)</x:f>
        <x:v>1</x:v>
      </x:c>
      <x:c r="J39" s="16" t="n">
        <x:f>F39/E39</x:f>
        <x:v>19.947586899679436</x:v>
      </x:c>
      <x:c r="K39" s="16" t="n">
        <x:f>G39/1000/E39</x:f>
        <x:v>2.182444630316281</x:v>
      </x:c>
    </x:row>
    <x:row r="40">
      <x:c r="A40" s="8" t="d">
        <x:v>2024-02-04T00:00:00.000Z</x:v>
      </x:c>
      <x:c r="B40" t="str">
        <x:v>Moderate</x:v>
      </x:c>
      <x:c r="C40" t="str">
        <x:v>Day off</x:v>
      </x:c>
      <x:c r="D40" s="10" t="n">
        <x:v>16.64</x:v>
      </x:c>
      <x:c r="E40" s="12" t="n">
        <x:v>72950</x:v>
      </x:c>
      <x:c r="F40" s="12" t="n">
        <x:v>1697629</x:v>
      </x:c>
      <x:c r="G40" s="14" t="n">
        <x:v>193085562.01</x:v>
      </x:c>
      <x:c r="H40" t="n">
        <x:v>0</x:v>
      </x:c>
      <x:c r="I40" t="n">
        <x:f>IF(H40=0,1,0)</x:f>
        <x:v>1</x:v>
      </x:c>
      <x:c r="J40" s="16" t="n">
        <x:f>F40/E40</x:f>
        <x:v>23.271130911583278</x:v>
      </x:c>
      <x:c r="K40" s="16" t="n">
        <x:f>G40/1000/E40</x:f>
        <x:v>2.6468205895819055</x:v>
      </x:c>
    </x:row>
    <x:row r="41">
      <x:c r="A41" s="8" t="d">
        <x:v>2024-02-05T00:00:00.000Z</x:v>
      </x:c>
      <x:c r="B41" t="str">
        <x:v>Good</x:v>
      </x:c>
      <x:c r="C41" t="str">
        <x:v>Workday</x:v>
      </x:c>
      <x:c r="D41" s="10" t="n">
        <x:v>2.96</x:v>
      </x:c>
      <x:c r="E41" s="12" t="n">
        <x:v>28209</x:v>
      </x:c>
      <x:c r="F41" s="12" t="n">
        <x:v>488204</x:v>
      </x:c>
      <x:c r="G41" s="14" t="n">
        <x:v>48611098.21</x:v>
      </x:c>
      <x:c r="H41" t="n">
        <x:v>0</x:v>
      </x:c>
      <x:c r="I41" t="n">
        <x:f>IF(H41=0,1,0)</x:f>
        <x:v>1</x:v>
      </x:c>
      <x:c r="J41" s="16" t="n">
        <x:f>F41/E41</x:f>
        <x:v>17.30667517458967</x:v>
      </x:c>
      <x:c r="K41" s="16" t="n">
        <x:f>G41/1000/E41</x:f>
        <x:v>1.723247836151583</x:v>
      </x:c>
    </x:row>
    <x:row r="42">
      <x:c r="A42" s="8" t="d">
        <x:v>2024-02-06T00:00:00.000Z</x:v>
      </x:c>
      <x:c r="B42" t="str">
        <x:v>Good</x:v>
      </x:c>
      <x:c r="C42" t="str">
        <x:v>Workday</x:v>
      </x:c>
      <x:c r="D42" s="10" t="n">
        <x:v>9.56</x:v>
      </x:c>
      <x:c r="E42" s="12" t="n">
        <x:v>75264</x:v>
      </x:c>
      <x:c r="F42" s="12" t="n">
        <x:v>1348209</x:v>
      </x:c>
      <x:c r="G42" s="14" t="n">
        <x:v>140370307.57</x:v>
      </x:c>
      <x:c r="H42" t="n">
        <x:v>0</x:v>
      </x:c>
      <x:c r="I42" t="n">
        <x:f>IF(H42=0,1,0)</x:f>
        <x:v>1</x:v>
      </x:c>
      <x:c r="J42" s="16" t="n">
        <x:f>F42/E42</x:f>
        <x:v>17.91306600765306</x:v>
      </x:c>
      <x:c r="K42" s="16" t="n">
        <x:f>G42/1000/E42</x:f>
        <x:v>1.8650391630792942</x:v>
      </x:c>
    </x:row>
    <x:row r="43">
      <x:c r="A43" s="8" t="d">
        <x:v>2024-02-07T00:00:00.000Z</x:v>
      </x:c>
      <x:c r="B43" t="str">
        <x:v>Moderate</x:v>
      </x:c>
      <x:c r="C43" t="str">
        <x:v>Workday</x:v>
      </x:c>
      <x:c r="D43" s="10" t="n">
        <x:v>26.28</x:v>
      </x:c>
      <x:c r="E43" s="12" t="n">
        <x:v>83368</x:v>
      </x:c>
      <x:c r="F43" s="12" t="n">
        <x:v>1464315</x:v>
      </x:c>
      <x:c r="G43" s="14" t="n">
        <x:v>156539725.32</x:v>
      </x:c>
      <x:c r="H43" t="n">
        <x:v>0</x:v>
      </x:c>
      <x:c r="I43" t="n">
        <x:f>IF(H43=0,1,0)</x:f>
        <x:v>1</x:v>
      </x:c>
      <x:c r="J43" s="16" t="n">
        <x:f>F43/E43</x:f>
        <x:v>17.56447317915747</x:v>
      </x:c>
      <x:c r="K43" s="16" t="n">
        <x:f>G43/1000/E43</x:f>
        <x:v>1.8776955824776893</x:v>
      </x:c>
    </x:row>
    <x:row r="44">
      <x:c r="A44" s="8" t="d">
        <x:v>2024-02-08T00:00:00.000Z</x:v>
      </x:c>
      <x:c r="B44" t="str">
        <x:v>Moderate</x:v>
      </x:c>
      <x:c r="C44" t="str">
        <x:v>Workday</x:v>
      </x:c>
      <x:c r="D44" s="10" t="n">
        <x:v>30.96</x:v>
      </x:c>
      <x:c r="E44" s="12" t="n">
        <x:v>87764</x:v>
      </x:c>
      <x:c r="F44" s="12" t="n">
        <x:v>1640266</x:v>
      </x:c>
      <x:c r="G44" s="14" t="n">
        <x:v>173686120.23</x:v>
      </x:c>
      <x:c r="H44" t="n">
        <x:v>0</x:v>
      </x:c>
      <x:c r="I44" t="n">
        <x:f>IF(H44=0,1,0)</x:f>
        <x:v>1</x:v>
      </x:c>
      <x:c r="J44" s="16" t="n">
        <x:f>F44/E44</x:f>
        <x:v>18.68950822660772</x:v>
      </x:c>
      <x:c r="K44" s="16" t="n">
        <x:f>G44/1000/E44</x:f>
        <x:v>1.9790132654619206</x:v>
      </x:c>
    </x:row>
    <x:row r="45">
      <x:c r="A45" s="8" t="d">
        <x:v>2024-02-09T00:00:00.000Z</x:v>
      </x:c>
      <x:c r="B45" t="str">
        <x:v>Moderate</x:v>
      </x:c>
      <x:c r="C45" t="str">
        <x:v>Day off</x:v>
      </x:c>
      <x:c r="D45" s="10" t="n">
        <x:v>25.84</x:v>
      </x:c>
      <x:c r="E45" s="12" t="n">
        <x:v>46880</x:v>
      </x:c>
      <x:c r="F45" s="12" t="n">
        <x:v>991547</x:v>
      </x:c>
      <x:c r="G45" s="14" t="n">
        <x:v>110302308.38</x:v>
      </x:c>
      <x:c r="H45" t="n">
        <x:v>0</x:v>
      </x:c>
      <x:c r="I45" t="n">
        <x:f>IF(H45=0,1,0)</x:f>
        <x:v>1</x:v>
      </x:c>
      <x:c r="J45" s="16" t="n">
        <x:f>F45/E45</x:f>
        <x:v>21.150746587030717</x:v>
      </x:c>
      <x:c r="K45" s="16" t="n">
        <x:f>G45/1000/E45</x:f>
        <x:v>2.3528649398464165</x:v>
      </x:c>
    </x:row>
    <x:row r="46">
      <x:c r="A46" s="8" t="d">
        <x:v>2024-02-10T00:00:00.000Z</x:v>
      </x:c>
      <x:c r="B46" t="str">
        <x:v>Bad</x:v>
      </x:c>
      <x:c r="C46" t="str">
        <x:v>Day off</x:v>
      </x:c>
      <x:c r="D46" s="10" t="n">
        <x:v>36.72</x:v>
      </x:c>
      <x:c r="E46" s="12" t="n">
        <x:v>34184</x:v>
      </x:c>
      <x:c r="F46" s="12" t="n">
        <x:v>762373</x:v>
      </x:c>
      <x:c r="G46" s="14" t="n">
        <x:v>88829183.44</x:v>
      </x:c>
      <x:c r="H46" t="n">
        <x:v>0</x:v>
      </x:c>
      <x:c r="I46" t="n">
        <x:f>IF(H46=0,1,0)</x:f>
        <x:v>1</x:v>
      </x:c>
      <x:c r="J46" s="16" t="n">
        <x:f>F46/E46</x:f>
        <x:v>22.30204189094313</x:v>
      </x:c>
      <x:c r="K46" s="16" t="n">
        <x:f>G46/1000/E46</x:f>
        <x:v>2.598560245728996</x:v>
      </x:c>
    </x:row>
    <x:row r="47">
      <x:c r="A47" s="8" t="d">
        <x:v>2024-02-11T00:00:00.000Z</x:v>
      </x:c>
      <x:c r="B47" t="str">
        <x:v>Bad</x:v>
      </x:c>
      <x:c r="C47" t="str">
        <x:v>Day off</x:v>
      </x:c>
      <x:c r="D47" s="10" t="n">
        <x:v>49.8</x:v>
      </x:c>
      <x:c r="E47" s="12" t="n">
        <x:v>42842</x:v>
      </x:c>
      <x:c r="F47" s="12" t="n">
        <x:v>900210</x:v>
      </x:c>
      <x:c r="G47" s="14" t="n">
        <x:v>104077983.07</x:v>
      </x:c>
      <x:c r="H47" t="n">
        <x:v>0</x:v>
      </x:c>
      <x:c r="I47" t="n">
        <x:f>IF(H47=0,1,0)</x:f>
        <x:v>1</x:v>
      </x:c>
      <x:c r="J47" s="16" t="n">
        <x:f>F47/E47</x:f>
        <x:v>21.012324354605294</x:v>
      </x:c>
      <x:c r="K47" s="16" t="n">
        <x:f>G47/1000/E47</x:f>
        <x:v>2.4293446400728254</x:v>
      </x:c>
    </x:row>
    <x:row r="48">
      <x:c r="A48" s="8" t="d">
        <x:v>2024-02-12T00:00:00.000Z</x:v>
      </x:c>
      <x:c r="B48" t="str">
        <x:v>Bad</x:v>
      </x:c>
      <x:c r="C48" t="str">
        <x:v>Day off</x:v>
      </x:c>
      <x:c r="D48" s="10" t="n">
        <x:v>47.36</x:v>
      </x:c>
      <x:c r="E48" s="12" t="n">
        <x:v>65446</x:v>
      </x:c>
      <x:c r="F48" s="12" t="n">
        <x:v>1517822</x:v>
      </x:c>
      <x:c r="G48" s="14" t="n">
        <x:v>173067372.98</x:v>
      </x:c>
      <x:c r="H48" t="n">
        <x:v>0</x:v>
      </x:c>
      <x:c r="I48" t="n">
        <x:f>IF(H48=0,1,0)</x:f>
        <x:v>1</x:v>
      </x:c>
      <x:c r="J48" s="16" t="n">
        <x:f>F48/E48</x:f>
        <x:v>23.191975063411057</x:v>
      </x:c>
      <x:c r="K48" s="16" t="n">
        <x:f>G48/1000/E48</x:f>
        <x:v>2.644430110014363</x:v>
      </x:c>
    </x:row>
    <x:row r="49">
      <x:c r="A49" s="8" t="d">
        <x:v>2024-02-13T00:00:00.000Z</x:v>
      </x:c>
      <x:c r="B49" t="str">
        <x:v>Bad</x:v>
      </x:c>
      <x:c r="C49" t="str">
        <x:v>Workday</x:v>
      </x:c>
      <x:c r="D49" s="10" t="n">
        <x:v>43.84</x:v>
      </x:c>
      <x:c r="E49" s="12" t="n">
        <x:v>105495</x:v>
      </x:c>
      <x:c r="F49" s="12" t="n">
        <x:v>2118649</x:v>
      </x:c>
      <x:c r="G49" s="14" t="n">
        <x:v>237556867.42</x:v>
      </x:c>
      <x:c r="H49" t="n">
        <x:v>0</x:v>
      </x:c>
      <x:c r="I49" t="n">
        <x:f>IF(H49=0,1,0)</x:f>
        <x:v>1</x:v>
      </x:c>
      <x:c r="J49" s="16" t="n">
        <x:f>F49/E49</x:f>
        <x:v>20.082932840418977</x:v>
      </x:c>
      <x:c r="K49" s="16" t="n">
        <x:f>G49/1000/E49</x:f>
        <x:v>2.251830583629556</x:v>
      </x:c>
    </x:row>
    <x:row r="50">
      <x:c r="A50" s="8" t="d">
        <x:v>2024-02-14T00:00:00.000Z</x:v>
      </x:c>
      <x:c r="B50" t="str">
        <x:v>Moderate</x:v>
      </x:c>
      <x:c r="C50" t="str">
        <x:v>Workday</x:v>
      </x:c>
      <x:c r="D50" s="10" t="n">
        <x:v>27.84</x:v>
      </x:c>
      <x:c r="E50" s="12" t="n">
        <x:v>123154</x:v>
      </x:c>
      <x:c r="F50" s="12" t="n">
        <x:v>2537694</x:v>
      </x:c>
      <x:c r="G50" s="14" t="n">
        <x:v>288921518.03</x:v>
      </x:c>
      <x:c r="H50" t="n">
        <x:v>0</x:v>
      </x:c>
      <x:c r="I50" t="n">
        <x:f>IF(H50=0,1,0)</x:f>
        <x:v>1</x:v>
      </x:c>
      <x:c r="J50" s="16" t="n">
        <x:f>F50/E50</x:f>
        <x:v>20.605859330594214</x:v>
      </x:c>
      <x:c r="K50" s="16" t="n">
        <x:f>G50/1000/E50</x:f>
        <x:v>2.3460181401334914</x:v>
      </x:c>
    </x:row>
    <x:row r="51">
      <x:c r="A51" s="8" t="d">
        <x:v>2024-02-15T00:00:00.000Z</x:v>
      </x:c>
      <x:c r="B51" t="str">
        <x:v>Moderate</x:v>
      </x:c>
      <x:c r="C51" t="str">
        <x:v>Workday</x:v>
      </x:c>
      <x:c r="D51" s="10" t="n">
        <x:v>15.28</x:v>
      </x:c>
      <x:c r="E51" s="12" t="n">
        <x:v>56304</x:v>
      </x:c>
      <x:c r="F51" s="12" t="n">
        <x:v>942126</x:v>
      </x:c>
      <x:c r="G51" s="14" t="n">
        <x:v>108321011.03</x:v>
      </x:c>
      <x:c r="H51" t="n">
        <x:v>0</x:v>
      </x:c>
      <x:c r="I51" t="n">
        <x:f>IF(H51=0,1,0)</x:f>
        <x:v>1</x:v>
      </x:c>
      <x:c r="J51" s="16" t="n">
        <x:f>F51/E51</x:f>
        <x:v>16.732843137254903</x:v>
      </x:c>
      <x:c r="K51" s="16" t="n">
        <x:f>G51/1000/E51</x:f>
        <x:v>1.9238599571966466</x:v>
      </x:c>
    </x:row>
    <x:row r="52">
      <x:c r="A52" s="8" t="d">
        <x:v>2024-02-16T00:00:00.000Z</x:v>
      </x:c>
      <x:c r="B52" t="str">
        <x:v>Moderate</x:v>
      </x:c>
      <x:c r="C52" t="str">
        <x:v>Workday</x:v>
      </x:c>
      <x:c r="D52" s="10" t="n">
        <x:v>17.08</x:v>
      </x:c>
      <x:c r="E52" s="12" t="n">
        <x:v>99952</x:v>
      </x:c>
      <x:c r="F52" s="12" t="n">
        <x:v>1906207</x:v>
      </x:c>
      <x:c r="G52" s="14" t="n">
        <x:v>210034428.19</x:v>
      </x:c>
      <x:c r="H52" t="n">
        <x:v>0</x:v>
      </x:c>
      <x:c r="I52" t="n">
        <x:f>IF(H52=0,1,0)</x:f>
        <x:v>1</x:v>
      </x:c>
      <x:c r="J52" s="16" t="n">
        <x:f>F52/E52</x:f>
        <x:v>19.071224187610053</x:v>
      </x:c>
      <x:c r="K52" s="16" t="n">
        <x:f>G52/1000/E52</x:f>
        <x:v>2.1013529313070274</x:v>
      </x:c>
    </x:row>
    <x:row r="53">
      <x:c r="A53" s="8" t="d">
        <x:v>2024-02-17T00:00:00.000Z</x:v>
      </x:c>
      <x:c r="B53" t="str">
        <x:v>Moderate</x:v>
      </x:c>
      <x:c r="C53" t="str">
        <x:v>Day off</x:v>
      </x:c>
      <x:c r="D53" s="10" t="n">
        <x:v>31.04</x:v>
      </x:c>
      <x:c r="E53" s="12" t="n">
        <x:v>89416</x:v>
      </x:c>
      <x:c r="F53" s="12" t="n">
        <x:v>2073646</x:v>
      </x:c>
      <x:c r="G53" s="14" t="n">
        <x:v>227727524.18</x:v>
      </x:c>
      <x:c r="H53" t="n">
        <x:v>0</x:v>
      </x:c>
      <x:c r="I53" t="n">
        <x:f>IF(H53=0,1,0)</x:f>
        <x:v>1</x:v>
      </x:c>
      <x:c r="J53" s="16" t="n">
        <x:f>F53/E53</x:f>
        <x:v>23.190994900241567</x:v>
      </x:c>
      <x:c r="K53" s="16" t="n">
        <x:f>G53/1000/E53</x:f>
        <x:v>2.5468319336584058</x:v>
      </x:c>
    </x:row>
    <x:row r="54">
      <x:c r="A54" s="8" t="d">
        <x:v>2024-02-18T00:00:00.000Z</x:v>
      </x:c>
      <x:c r="B54" t="str">
        <x:v>Moderate</x:v>
      </x:c>
      <x:c r="C54" t="str">
        <x:v>Day off</x:v>
      </x:c>
      <x:c r="D54" s="10" t="n">
        <x:v>25.24</x:v>
      </x:c>
      <x:c r="E54" s="12" t="n">
        <x:v>39094</x:v>
      </x:c>
      <x:c r="F54" s="12" t="n">
        <x:v>809341</x:v>
      </x:c>
      <x:c r="G54" s="14" t="n">
        <x:v>91068176.35</x:v>
      </x:c>
      <x:c r="H54" t="n">
        <x:v>0</x:v>
      </x:c>
      <x:c r="I54" t="n">
        <x:f>IF(H54=0,1,0)</x:f>
        <x:v>1</x:v>
      </x:c>
      <x:c r="J54" s="16" t="n">
        <x:f>F54/E54</x:f>
        <x:v>20.70243515628997</x:v>
      </x:c>
      <x:c r="K54" s="16" t="n">
        <x:f>G54/1000/E54</x:f>
        <x:v>2.3294668325062666</x:v>
      </x:c>
    </x:row>
    <x:row r="55">
      <x:c r="A55" s="8" t="d">
        <x:v>2024-02-19T00:00:00.000Z</x:v>
      </x:c>
      <x:c r="B55" t="str">
        <x:v>Good</x:v>
      </x:c>
      <x:c r="C55" t="str">
        <x:v>Workday</x:v>
      </x:c>
      <x:c r="D55" s="10" t="n">
        <x:v>8.36</x:v>
      </x:c>
      <x:c r="E55" s="12" t="n">
        <x:v>39917</x:v>
      </x:c>
      <x:c r="F55" s="12" t="n">
        <x:v>722177</x:v>
      </x:c>
      <x:c r="G55" s="14" t="n">
        <x:v>74941814.89</x:v>
      </x:c>
      <x:c r="H55" t="n">
        <x:v>0</x:v>
      </x:c>
      <x:c r="I55" t="n">
        <x:f>IF(H55=0,1,0)</x:f>
        <x:v>1</x:v>
      </x:c>
      <x:c r="J55" s="16" t="n">
        <x:f>F55/E55</x:f>
        <x:v>18.091965829095372</x:v>
      </x:c>
      <x:c r="K55" s="16" t="n">
        <x:f>G55/1000/E55</x:f>
        <x:v>1.8774410624545932</x:v>
      </x:c>
    </x:row>
    <x:row r="56">
      <x:c r="A56" s="8" t="d">
        <x:v>2024-02-20T00:00:00.000Z</x:v>
      </x:c>
      <x:c r="B56" t="str">
        <x:v>Moderate</x:v>
      </x:c>
      <x:c r="C56" t="str">
        <x:v>Workday</x:v>
      </x:c>
      <x:c r="D56" s="10" t="n">
        <x:v>15.4</x:v>
      </x:c>
      <x:c r="E56" s="12" t="n">
        <x:v>54433</x:v>
      </x:c>
      <x:c r="F56" s="12" t="n">
        <x:v>920234</x:v>
      </x:c>
      <x:c r="G56" s="14" t="n">
        <x:v>98629010.4</x:v>
      </x:c>
      <x:c r="H56" t="n">
        <x:v>0</x:v>
      </x:c>
      <x:c r="I56" t="n">
        <x:f>IF(H56=0,1,0)</x:f>
        <x:v>1</x:v>
      </x:c>
      <x:c r="J56" s="16" t="n">
        <x:f>F56/E56</x:f>
        <x:v>16.905810813293407</x:v>
      </x:c>
      <x:c r="K56" s="16" t="n">
        <x:f>G56/1000/E56</x:f>
        <x:v>1.8119341281942938</x:v>
      </x:c>
    </x:row>
    <x:row r="57">
      <x:c r="A57" s="8" t="d">
        <x:v>2024-02-21T00:00:00.000Z</x:v>
      </x:c>
      <x:c r="B57" t="str">
        <x:v>Good</x:v>
      </x:c>
      <x:c r="C57" t="str">
        <x:v>Workday</x:v>
      </x:c>
      <x:c r="D57" s="10" t="n">
        <x:v>1.36</x:v>
      </x:c>
      <x:c r="E57" s="12" t="n">
        <x:v>9618</x:v>
      </x:c>
      <x:c r="F57" s="12" t="n">
        <x:v>172394</x:v>
      </x:c>
      <x:c r="G57" s="14" t="n">
        <x:v>16881166.4</x:v>
      </x:c>
      <x:c r="H57" t="n">
        <x:v>0</x:v>
      </x:c>
      <x:c r="I57" t="n">
        <x:f>IF(H57=0,1,0)</x:f>
        <x:v>1</x:v>
      </x:c>
      <x:c r="J57" s="16" t="n">
        <x:f>F57/E57</x:f>
        <x:v>17.924100644624662</x:v>
      </x:c>
      <x:c r="K57" s="16" t="n">
        <x:f>G57/1000/E57</x:f>
        <x:v>1.7551639010189226</x:v>
      </x:c>
    </x:row>
    <x:row r="58">
      <x:c r="A58" s="8" t="d">
        <x:v>2024-02-22T00:00:00.000Z</x:v>
      </x:c>
      <x:c r="B58" t="str">
        <x:v>Good</x:v>
      </x:c>
      <x:c r="C58" t="str">
        <x:v>Workday</x:v>
      </x:c>
      <x:c r="D58" s="10" t="n">
        <x:v>2.48</x:v>
      </x:c>
      <x:c r="E58" s="12" t="n">
        <x:v>29137</x:v>
      </x:c>
      <x:c r="F58" s="12" t="n">
        <x:v>556318</x:v>
      </x:c>
      <x:c r="G58" s="14" t="n">
        <x:v>50916808.79</x:v>
      </x:c>
      <x:c r="H58" t="n">
        <x:v>0</x:v>
      </x:c>
      <x:c r="I58" t="n">
        <x:f>IF(H58=0,1,0)</x:f>
        <x:v>1</x:v>
      </x:c>
      <x:c r="J58" s="16" t="n">
        <x:f>F58/E58</x:f>
        <x:v>19.09318049215774</x:v>
      </x:c>
      <x:c r="K58" s="16" t="n">
        <x:f>G58/1000/E58</x:f>
        <x:v>1.7474966122112776</x:v>
      </x:c>
    </x:row>
    <x:row r="59">
      <x:c r="A59" s="8" t="d">
        <x:v>2024-02-23T00:00:00.000Z</x:v>
      </x:c>
      <x:c r="B59" t="str">
        <x:v>Good</x:v>
      </x:c>
      <x:c r="C59" t="str">
        <x:v>Workday</x:v>
      </x:c>
      <x:c r="D59" s="10" t="n">
        <x:v>4.48</x:v>
      </x:c>
      <x:c r="E59" s="12" t="n">
        <x:v>75742</x:v>
      </x:c>
      <x:c r="F59" s="12" t="n">
        <x:v>1433530</x:v>
      </x:c>
      <x:c r="G59" s="14" t="n">
        <x:v>147299123.05</x:v>
      </x:c>
      <x:c r="H59" t="n">
        <x:v>0</x:v>
      </x:c>
      <x:c r="I59" t="n">
        <x:f>IF(H59=0,1,0)</x:f>
        <x:v>1</x:v>
      </x:c>
      <x:c r="J59" s="16" t="n">
        <x:f>F59/E59</x:f>
        <x:v>18.926487285785957</x:v>
      </x:c>
      <x:c r="K59" s="16" t="n">
        <x:f>G59/1000/E59</x:f>
        <x:v>1.9447482645031822</x:v>
      </x:c>
    </x:row>
    <x:row r="60">
      <x:c r="A60" s="8" t="d">
        <x:v>2024-02-24T00:00:00.000Z</x:v>
      </x:c>
      <x:c r="B60" t="str">
        <x:v>Good</x:v>
      </x:c>
      <x:c r="C60" t="str">
        <x:v>Day off</x:v>
      </x:c>
      <x:c r="D60" s="10" t="n">
        <x:v>7.16</x:v>
      </x:c>
      <x:c r="E60" s="12" t="n">
        <x:v>55704</x:v>
      </x:c>
      <x:c r="F60" s="12" t="n">
        <x:v>1125229</x:v>
      </x:c>
      <x:c r="G60" s="14" t="n">
        <x:v>118924993.2</x:v>
      </x:c>
      <x:c r="H60" t="n">
        <x:v>0</x:v>
      </x:c>
      <x:c r="I60" t="n">
        <x:f>IF(H60=0,1,0)</x:f>
        <x:v>1</x:v>
      </x:c>
      <x:c r="J60" s="16" t="n">
        <x:f>F60/E60</x:f>
        <x:v>20.200147206663793</x:v>
      </x:c>
      <x:c r="K60" s="16" t="n">
        <x:f>G60/1000/E60</x:f>
        <x:v>2.1349453037483843</x:v>
      </x:c>
    </x:row>
    <x:row r="61">
      <x:c r="A61" s="8" t="d">
        <x:v>2024-02-25T00:00:00.000Z</x:v>
      </x:c>
      <x:c r="B61" t="str">
        <x:v>Good</x:v>
      </x:c>
      <x:c r="C61" t="str">
        <x:v>Day off</x:v>
      </x:c>
      <x:c r="D61" s="10" t="n">
        <x:v>10.56</x:v>
      </x:c>
      <x:c r="E61" s="12" t="n">
        <x:v>49385</x:v>
      </x:c>
      <x:c r="F61" s="12" t="n">
        <x:v>1087970</x:v>
      </x:c>
      <x:c r="G61" s="14" t="n">
        <x:v>118775325.52</x:v>
      </x:c>
      <x:c r="H61" t="n">
        <x:v>0</x:v>
      </x:c>
      <x:c r="I61" t="n">
        <x:f>IF(H61=0,1,0)</x:f>
        <x:v>1</x:v>
      </x:c>
      <x:c r="J61" s="16" t="n">
        <x:f>F61/E61</x:f>
        <x:v>22.03037359522122</x:v>
      </x:c>
      <x:c r="K61" s="16" t="n">
        <x:f>G61/1000/E61</x:f>
        <x:v>2.4050891064088287</x:v>
      </x:c>
    </x:row>
    <x:row r="62">
      <x:c r="A62" s="8" t="d">
        <x:v>2024-02-26T00:00:00.000Z</x:v>
      </x:c>
      <x:c r="B62" t="str">
        <x:v>Moderate</x:v>
      </x:c>
      <x:c r="C62" t="str">
        <x:v>Workday</x:v>
      </x:c>
      <x:c r="D62" s="10" t="n">
        <x:v>18.48</x:v>
      </x:c>
      <x:c r="E62" s="12" t="n">
        <x:v>98018</x:v>
      </x:c>
      <x:c r="F62" s="12" t="n">
        <x:v>1917730</x:v>
      </x:c>
      <x:c r="G62" s="14" t="n">
        <x:v>212899802.55</x:v>
      </x:c>
      <x:c r="H62" t="n">
        <x:v>0</x:v>
      </x:c>
      <x:c r="I62" t="n">
        <x:f>IF(H62=0,1,0)</x:f>
        <x:v>1</x:v>
      </x:c>
      <x:c r="J62" s="16" t="n">
        <x:f>F62/E62</x:f>
        <x:v>19.565079883286742</x:v>
      </x:c>
      <x:c r="K62" s="16" t="n">
        <x:f>G62/1000/E62</x:f>
        <x:v>2.1720480172009227</x:v>
      </x:c>
    </x:row>
    <x:row r="63">
      <x:c r="A63" s="8" t="d">
        <x:v>2024-02-27T00:00:00.000Z</x:v>
      </x:c>
      <x:c r="B63" t="str">
        <x:v>Good</x:v>
      </x:c>
      <x:c r="C63" t="str">
        <x:v>Workday</x:v>
      </x:c>
      <x:c r="D63" s="10" t="n">
        <x:v>8.96</x:v>
      </x:c>
      <x:c r="E63" s="12" t="n">
        <x:v>104188</x:v>
      </x:c>
      <x:c r="F63" s="12" t="n">
        <x:v>1992495</x:v>
      </x:c>
      <x:c r="G63" s="14" t="n">
        <x:v>225194408.33</x:v>
      </x:c>
      <x:c r="H63" t="n">
        <x:v>0</x:v>
      </x:c>
      <x:c r="I63" t="n">
        <x:f>IF(H63=0,1,0)</x:f>
        <x:v>1</x:v>
      </x:c>
      <x:c r="J63" s="16" t="n">
        <x:f>F63/E63</x:f>
        <x:v>19.124035397550582</x:v>
      </x:c>
      <x:c r="K63" s="16" t="n">
        <x:f>G63/1000/E63</x:f>
        <x:v>2.16142366040235</x:v>
      </x:c>
    </x:row>
    <x:row r="64">
      <x:c r="A64" s="8" t="d">
        <x:v>2024-02-28T00:00:00.000Z</x:v>
      </x:c>
      <x:c r="B64" t="str">
        <x:v>Moderate</x:v>
      </x:c>
      <x:c r="C64" t="str">
        <x:v>Workday</x:v>
      </x:c>
      <x:c r="D64" s="10" t="n">
        <x:v>16.72</x:v>
      </x:c>
      <x:c r="E64" s="12" t="n">
        <x:v>108932</x:v>
      </x:c>
      <x:c r="F64" s="12" t="n">
        <x:v>2078652</x:v>
      </x:c>
      <x:c r="G64" s="14" t="n">
        <x:v>233968632.69</x:v>
      </x:c>
      <x:c r="H64" t="n">
        <x:v>0</x:v>
      </x:c>
      <x:c r="I64" t="n">
        <x:f>IF(H64=0,1,0)</x:f>
        <x:v>1</x:v>
      </x:c>
      <x:c r="J64" s="16" t="n">
        <x:f>F64/E64</x:f>
        <x:v>19.082106268130577</x:v>
      </x:c>
      <x:c r="K64" s="16" t="n">
        <x:f>G64/1000/E64</x:f>
        <x:v>2.147841154940697</x:v>
      </x:c>
    </x:row>
    <x:row r="65">
      <x:c r="A65" s="8" t="d">
        <x:v>2024-02-29T00:00:00.000Z</x:v>
      </x:c>
      <x:c r="B65" t="str">
        <x:v>Bad</x:v>
      </x:c>
      <x:c r="C65" t="str">
        <x:v>Workday</x:v>
      </x:c>
      <x:c r="D65" s="10" t="n">
        <x:v>35.12</x:v>
      </x:c>
      <x:c r="E65" s="12" t="n">
        <x:v>102009</x:v>
      </x:c>
      <x:c r="F65" s="12" t="n">
        <x:v>1897943</x:v>
      </x:c>
      <x:c r="G65" s="14" t="n">
        <x:v>209938395.82</x:v>
      </x:c>
      <x:c r="H65" t="n">
        <x:v>0</x:v>
      </x:c>
      <x:c r="I65" t="n">
        <x:f>IF(H65=0,1,0)</x:f>
        <x:v>1</x:v>
      </x:c>
      <x:c r="J65" s="16" t="n">
        <x:f>F65/E65</x:f>
        <x:v>18.605642639374956</x:v>
      </x:c>
      <x:c r="K65" s="16" t="n">
        <x:f>G65/1000/E65</x:f>
        <x:v>2.0580379752766915</x:v>
      </x:c>
    </x:row>
    <x:row r="66">
      <x:c r="A66" s="8" t="d">
        <x:v>2024-03-01T00:00:00.000Z</x:v>
      </x:c>
      <x:c r="B66" t="str">
        <x:v>Good</x:v>
      </x:c>
      <x:c r="C66" t="str">
        <x:v>Day off</x:v>
      </x:c>
      <x:c r="D66" s="10" t="n">
        <x:v>11.12</x:v>
      </x:c>
      <x:c r="E66" s="12" t="n">
        <x:v>45201</x:v>
      </x:c>
      <x:c r="F66" s="12" t="n">
        <x:v>823878</x:v>
      </x:c>
      <x:c r="G66" s="14" t="n">
        <x:v>90080978.4</x:v>
      </x:c>
      <x:c r="H66" t="n">
        <x:v>0</x:v>
      </x:c>
      <x:c r="I66" t="n">
        <x:f>IF(H66=0,1,0)</x:f>
        <x:v>1</x:v>
      </x:c>
      <x:c r="J66" s="16" t="n">
        <x:f>F66/E66</x:f>
        <x:v>18.226986128625473</x:v>
      </x:c>
      <x:c r="K66" s="16" t="n">
        <x:f>G66/1000/E66</x:f>
        <x:v>1.992897909338289</x:v>
      </x:c>
    </x:row>
    <x:row r="67">
      <x:c r="A67" s="8" t="d">
        <x:v>2024-03-02T00:00:00.000Z</x:v>
      </x:c>
      <x:c r="B67" t="str">
        <x:v>Good</x:v>
      </x:c>
      <x:c r="C67" t="str">
        <x:v>Day off</x:v>
      </x:c>
      <x:c r="D67" s="10" t="n">
        <x:v>13.76</x:v>
      </x:c>
      <x:c r="E67" s="12" t="n">
        <x:v>54612</x:v>
      </x:c>
      <x:c r="F67" s="12" t="n">
        <x:v>1043042</x:v>
      </x:c>
      <x:c r="G67" s="14" t="n">
        <x:v>112036464.32</x:v>
      </x:c>
      <x:c r="H67" t="n">
        <x:v>0</x:v>
      </x:c>
      <x:c r="I67" t="n">
        <x:f>IF(H67=0,1,0)</x:f>
        <x:v>1</x:v>
      </x:c>
      <x:c r="J67" s="16" t="n">
        <x:f>F67/E67</x:f>
        <x:v>19.09913572108694</x:v>
      </x:c>
      <x:c r="K67" s="16" t="n">
        <x:f>G67/1000/E67</x:f>
        <x:v>2.0514990170658463</x:v>
      </x:c>
    </x:row>
    <x:row r="68">
      <x:c r="A68" s="8" t="d">
        <x:v>2024-03-03T00:00:00.000Z</x:v>
      </x:c>
      <x:c r="B68" t="str">
        <x:v>Bad</x:v>
      </x:c>
      <x:c r="C68" t="str">
        <x:v>Day off</x:v>
      </x:c>
      <x:c r="D68" s="10" t="n">
        <x:v>64</x:v>
      </x:c>
      <x:c r="E68" s="12" t="n">
        <x:v>65370</x:v>
      </x:c>
      <x:c r="F68" s="12" t="n">
        <x:v>1396219</x:v>
      </x:c>
      <x:c r="G68" s="14" t="n">
        <x:v>156317500.12</x:v>
      </x:c>
      <x:c r="H68" t="n">
        <x:v>0</x:v>
      </x:c>
      <x:c r="I68" t="n">
        <x:f>IF(H68=0,1,0)</x:f>
        <x:v>1</x:v>
      </x:c>
      <x:c r="J68" s="16" t="n">
        <x:f>F68/E68</x:f>
        <x:v>21.358711947376474</x:v>
      </x:c>
      <x:c r="K68" s="16" t="n">
        <x:f>G68/1000/E68</x:f>
        <x:v>2.391272756922136</x:v>
      </x:c>
    </x:row>
    <x:row r="69">
      <x:c r="A69" s="8" t="d">
        <x:v>2024-03-04T00:00:00.000Z</x:v>
      </x:c>
      <x:c r="B69" t="str">
        <x:v>Bad</x:v>
      </x:c>
      <x:c r="C69" t="str">
        <x:v>Workday</x:v>
      </x:c>
      <x:c r="D69" s="10" t="n">
        <x:v>37.04</x:v>
      </x:c>
      <x:c r="E69" s="12" t="n">
        <x:v>108117</x:v>
      </x:c>
      <x:c r="F69" s="12" t="n">
        <x:v>2076449</x:v>
      </x:c>
      <x:c r="G69" s="14" t="n">
        <x:v>235479602</x:v>
      </x:c>
      <x:c r="H69" t="n">
        <x:v>0</x:v>
      </x:c>
      <x:c r="I69" t="n">
        <x:f>IF(H69=0,1,0)</x:f>
        <x:v>1</x:v>
      </x:c>
      <x:c r="J69" s="16" t="n">
        <x:f>F69/E69</x:f>
        <x:v>19.205573591572094</x:v>
      </x:c>
      <x:c r="K69" s="16" t="n">
        <x:f>G69/1000/E69</x:f>
        <x:v>2.178007177409658</x:v>
      </x:c>
    </x:row>
    <x:row r="70">
      <x:c r="A70" s="8" t="d">
        <x:v>2024-03-05T00:00:00.000Z</x:v>
      </x:c>
      <x:c r="B70" t="str">
        <x:v>Moderate</x:v>
      </x:c>
      <x:c r="C70" t="str">
        <x:v>Workday</x:v>
      </x:c>
      <x:c r="D70" s="10" t="n">
        <x:v>22.24</x:v>
      </x:c>
      <x:c r="E70" s="12" t="n">
        <x:v>110776</x:v>
      </x:c>
      <x:c r="F70" s="12" t="n">
        <x:v>1992732</x:v>
      </x:c>
      <x:c r="G70" s="14" t="n">
        <x:v>228167156.91</x:v>
      </x:c>
      <x:c r="H70" t="n">
        <x:v>0</x:v>
      </x:c>
      <x:c r="I70" t="n">
        <x:f>IF(H70=0,1,0)</x:f>
        <x:v>1</x:v>
      </x:c>
      <x:c r="J70" s="16" t="n">
        <x:f>F70/E70</x:f>
        <x:v>17.988842348523146</x:v>
      </x:c>
      <x:c r="K70" s="16" t="n">
        <x:f>G70/1000/E70</x:f>
        <x:v>2.059716517205893</x:v>
      </x:c>
    </x:row>
    <x:row r="71">
      <x:c r="A71" s="8" t="d">
        <x:v>2024-03-06T00:00:00.000Z</x:v>
      </x:c>
      <x:c r="B71" t="str">
        <x:v>Good</x:v>
      </x:c>
      <x:c r="C71" t="str">
        <x:v>Workday</x:v>
      </x:c>
      <x:c r="D71" s="10" t="n">
        <x:v>7.2</x:v>
      </x:c>
      <x:c r="E71" s="12" t="n">
        <x:v>116835</x:v>
      </x:c>
      <x:c r="F71" s="12" t="n">
        <x:v>2158798</x:v>
      </x:c>
      <x:c r="G71" s="14" t="n">
        <x:v>250954689.87</x:v>
      </x:c>
      <x:c r="H71" t="n">
        <x:v>0</x:v>
      </x:c>
      <x:c r="I71" t="n">
        <x:f>IF(H71=0,1,0)</x:f>
        <x:v>1</x:v>
      </x:c>
      <x:c r="J71" s="16" t="n">
        <x:f>F71/E71</x:f>
        <x:v>18.47732272007532</x:v>
      </x:c>
      <x:c r="K71" s="16" t="n">
        <x:f>G71/1000/E71</x:f>
        <x:v>2.147941026832713</x:v>
      </x:c>
    </x:row>
    <x:row r="72">
      <x:c r="A72" s="8" t="d">
        <x:v>2024-03-07T00:00:00.000Z</x:v>
      </x:c>
      <x:c r="B72" t="str">
        <x:v>Moderate</x:v>
      </x:c>
      <x:c r="C72" t="str">
        <x:v>Workday</x:v>
      </x:c>
      <x:c r="D72" s="10" t="n">
        <x:v>17.68</x:v>
      </x:c>
      <x:c r="E72" s="12" t="n">
        <x:v>98080</x:v>
      </x:c>
      <x:c r="F72" s="12" t="n">
        <x:v>1662313</x:v>
      </x:c>
      <x:c r="G72" s="14" t="n">
        <x:v>191805505.95</x:v>
      </x:c>
      <x:c r="H72" t="n">
        <x:v>0</x:v>
      </x:c>
      <x:c r="I72" t="n">
        <x:f>IF(H72=0,1,0)</x:f>
        <x:v>1</x:v>
      </x:c>
      <x:c r="J72" s="16" t="n">
        <x:f>F72/E72</x:f>
        <x:v>16.948542006525287</x:v>
      </x:c>
      <x:c r="K72" s="16" t="n">
        <x:f>G72/1000/E72</x:f>
        <x:v>1.9556026299959217</x:v>
      </x:c>
    </x:row>
    <x:row r="73">
      <x:c r="A73" s="8" t="d">
        <x:v>2024-03-08T00:00:00.000Z</x:v>
      </x:c>
      <x:c r="B73" t="str">
        <x:v>Moderate</x:v>
      </x:c>
      <x:c r="C73" t="str">
        <x:v>Workday</x:v>
      </x:c>
      <x:c r="D73" s="10" t="n">
        <x:v>22.36</x:v>
      </x:c>
      <x:c r="E73" s="12" t="n">
        <x:v>99704</x:v>
      </x:c>
      <x:c r="F73" s="12" t="n">
        <x:v>1763798</x:v>
      </x:c>
      <x:c r="G73" s="14" t="n">
        <x:v>197673529.52</x:v>
      </x:c>
      <x:c r="H73" t="n">
        <x:v>0</x:v>
      </x:c>
      <x:c r="I73" t="n">
        <x:f>IF(H73=0,1,0)</x:f>
        <x:v>1</x:v>
      </x:c>
      <x:c r="J73" s="16" t="n">
        <x:f>F73/E73</x:f>
        <x:v>17.690343416512878</x:v>
      </x:c>
      <x:c r="K73" s="16" t="n">
        <x:f>G73/1000/E73</x:f>
        <x:v>1.9826038024552677</x:v>
      </x:c>
    </x:row>
    <x:row r="74">
      <x:c r="A74" s="8" t="d">
        <x:v>2024-03-09T00:00:00.000Z</x:v>
      </x:c>
      <x:c r="B74" t="str">
        <x:v>Moderate</x:v>
      </x:c>
      <x:c r="C74" t="str">
        <x:v>Day off</x:v>
      </x:c>
      <x:c r="D74" s="10" t="n">
        <x:v>17.68</x:v>
      </x:c>
      <x:c r="E74" s="12" t="n">
        <x:v>78185</x:v>
      </x:c>
      <x:c r="F74" s="12" t="n">
        <x:v>1650947</x:v>
      </x:c>
      <x:c r="G74" s="14" t="n">
        <x:v>180552297.52</x:v>
      </x:c>
      <x:c r="H74" t="n">
        <x:v>0</x:v>
      </x:c>
      <x:c r="I74" t="n">
        <x:f>IF(H74=0,1,0)</x:f>
        <x:v>1</x:v>
      </x:c>
      <x:c r="J74" s="16" t="n">
        <x:f>F74/E74</x:f>
        <x:v>21.115904585278507</x:v>
      </x:c>
      <x:c r="K74" s="16" t="n">
        <x:f>G74/1000/E74</x:f>
        <x:v>2.3092958690285865</x:v>
      </x:c>
    </x:row>
    <x:row r="75">
      <x:c r="A75" s="8" t="d">
        <x:v>2024-03-10T00:00:00.000Z</x:v>
      </x:c>
      <x:c r="B75" t="str">
        <x:v>Moderate</x:v>
      </x:c>
      <x:c r="C75" t="str">
        <x:v>Day off</x:v>
      </x:c>
      <x:c r="D75" s="10" t="n">
        <x:v>17.04</x:v>
      </x:c>
      <x:c r="E75" s="12" t="n">
        <x:v>81204</x:v>
      </x:c>
      <x:c r="F75" s="12" t="n">
        <x:v>1956292</x:v>
      </x:c>
      <x:c r="G75" s="14" t="n">
        <x:v>224308824.93</x:v>
      </x:c>
      <x:c r="H75" t="n">
        <x:v>0</x:v>
      </x:c>
      <x:c r="I75" t="n">
        <x:f>IF(H75=0,1,0)</x:f>
        <x:v>1</x:v>
      </x:c>
      <x:c r="J75" s="16" t="n">
        <x:f>F75/E75</x:f>
        <x:v>24.091079257179448</x:v>
      </x:c>
      <x:c r="K75" s="16" t="n">
        <x:f>G75/1000/E75</x:f>
        <x:v>2.7622878790453673</x:v>
      </x:c>
    </x:row>
    <x:row r="76">
      <x:c r="A76" s="8" t="d">
        <x:v>2024-03-11T00:00:00.000Z</x:v>
      </x:c>
      <x:c r="B76" t="str">
        <x:v>Moderate</x:v>
      </x:c>
      <x:c r="C76" t="str">
        <x:v>Workday</x:v>
      </x:c>
      <x:c r="D76" s="10" t="n">
        <x:v>18.52</x:v>
      </x:c>
      <x:c r="E76" s="12" t="n">
        <x:v>114631</x:v>
      </x:c>
      <x:c r="F76" s="12" t="n">
        <x:v>2138138</x:v>
      </x:c>
      <x:c r="G76" s="14" t="n">
        <x:v>248519569.8</x:v>
      </x:c>
      <x:c r="H76" t="n">
        <x:v>0</x:v>
      </x:c>
      <x:c r="I76" t="n">
        <x:f>IF(H76=0,1,0)</x:f>
        <x:v>1</x:v>
      </x:c>
      <x:c r="J76" s="16" t="n">
        <x:f>F76/E76</x:f>
        <x:v>18.65235407525015</x:v>
      </x:c>
      <x:c r="K76" s="16" t="n">
        <x:f>G76/1000/E76</x:f>
        <x:v>2.1679961772993344</x:v>
      </x:c>
    </x:row>
    <x:row r="77">
      <x:c r="A77" s="8" t="d">
        <x:v>2024-03-12T00:00:00.000Z</x:v>
      </x:c>
      <x:c r="B77" t="str">
        <x:v>Moderate</x:v>
      </x:c>
      <x:c r="C77" t="str">
        <x:v>Workday</x:v>
      </x:c>
      <x:c r="D77" s="10" t="n">
        <x:v>20.88</x:v>
      </x:c>
      <x:c r="E77" s="12" t="n">
        <x:v>79695</x:v>
      </x:c>
      <x:c r="F77" s="12" t="n">
        <x:v>1433350</x:v>
      </x:c>
      <x:c r="G77" s="14" t="n">
        <x:v>158332803.09</x:v>
      </x:c>
      <x:c r="H77" t="n">
        <x:v>0</x:v>
      </x:c>
      <x:c r="I77" t="n">
        <x:f>IF(H77=0,1,0)</x:f>
        <x:v>1</x:v>
      </x:c>
      <x:c r="J77" s="16" t="n">
        <x:f>F77/E77</x:f>
        <x:v>17.985444507183637</x:v>
      </x:c>
      <x:c r="K77" s="16" t="n">
        <x:f>G77/1000/E77</x:f>
        <x:v>1.986734463768116</x:v>
      </x:c>
    </x:row>
    <x:row r="78">
      <x:c r="A78" s="8" t="d">
        <x:v>2024-03-13T00:00:00.000Z</x:v>
      </x:c>
      <x:c r="B78" t="str">
        <x:v>Moderate</x:v>
      </x:c>
      <x:c r="C78" t="str">
        <x:v>Workday</x:v>
      </x:c>
      <x:c r="D78" s="10" t="n">
        <x:v>26.36</x:v>
      </x:c>
      <x:c r="E78" s="12" t="n">
        <x:v>120866</x:v>
      </x:c>
      <x:c r="F78" s="12" t="n">
        <x:v>2265001</x:v>
      </x:c>
      <x:c r="G78" s="14" t="n">
        <x:v>262229799.39</x:v>
      </x:c>
      <x:c r="H78" t="n">
        <x:v>0</x:v>
      </x:c>
      <x:c r="I78" t="n">
        <x:f>IF(H78=0,1,0)</x:f>
        <x:v>1</x:v>
      </x:c>
      <x:c r="J78" s="16" t="n">
        <x:f>F78/E78</x:f>
        <x:v>18.739769662270614</x:v>
      </x:c>
      <x:c r="K78" s="16" t="n">
        <x:f>G78/1000/E78</x:f>
        <x:v>2.1695911123889267</x:v>
      </x:c>
    </x:row>
    <x:row r="79">
      <x:c r="A79" s="8" t="d">
        <x:v>2024-03-14T00:00:00.000Z</x:v>
      </x:c>
      <x:c r="B79" t="str">
        <x:v>Bad</x:v>
      </x:c>
      <x:c r="C79" t="str">
        <x:v>Workday</x:v>
      </x:c>
      <x:c r="D79" s="10" t="n">
        <x:v>36.28</x:v>
      </x:c>
      <x:c r="E79" s="12" t="n">
        <x:v>126955</x:v>
      </x:c>
      <x:c r="F79" s="12" t="n">
        <x:v>2436256</x:v>
      </x:c>
      <x:c r="G79" s="14" t="n">
        <x:v>283195271.28</x:v>
      </x:c>
      <x:c r="H79" t="n">
        <x:v>0</x:v>
      </x:c>
      <x:c r="I79" t="n">
        <x:f>IF(H79=0,1,0)</x:f>
        <x:v>1</x:v>
      </x:c>
      <x:c r="J79" s="16" t="n">
        <x:f>F79/E79</x:f>
        <x:v>19.18991768736954</x:v>
      </x:c>
      <x:c r="K79" s="16" t="n">
        <x:f>G79/1000/E79</x:f>
        <x:v>2.230674422275609</x:v>
      </x:c>
    </x:row>
    <x:row r="80">
      <x:c r="A80" s="8" t="d">
        <x:v>2024-03-15T00:00:00.000Z</x:v>
      </x:c>
      <x:c r="B80" t="str">
        <x:v>Moderate</x:v>
      </x:c>
      <x:c r="C80" t="str">
        <x:v>Workday</x:v>
      </x:c>
      <x:c r="D80" s="10" t="n">
        <x:v>31.44</x:v>
      </x:c>
      <x:c r="E80" s="12" t="n">
        <x:v>130981</x:v>
      </x:c>
      <x:c r="F80" s="12" t="n">
        <x:v>2604856</x:v>
      </x:c>
      <x:c r="G80" s="14" t="n">
        <x:v>300325084.96</x:v>
      </x:c>
      <x:c r="H80" t="n">
        <x:v>0</x:v>
      </x:c>
      <x:c r="I80" t="n">
        <x:f>IF(H80=0,1,0)</x:f>
        <x:v>1</x:v>
      </x:c>
      <x:c r="J80" s="16" t="n">
        <x:f>F80/E80</x:f>
        <x:v>19.887281361418832</x:v>
      </x:c>
      <x:c r="K80" s="16" t="n">
        <x:f>G80/1000/E80</x:f>
        <x:v>2.292890457089196</x:v>
      </x:c>
    </x:row>
    <x:row r="81">
      <x:c r="A81" s="8" t="d">
        <x:v>2024-03-16T00:00:00.000Z</x:v>
      </x:c>
      <x:c r="B81" t="str">
        <x:v>Moderate</x:v>
      </x:c>
      <x:c r="C81" t="str">
        <x:v>Day off</x:v>
      </x:c>
      <x:c r="D81" s="10" t="n">
        <x:v>31.32</x:v>
      </x:c>
      <x:c r="E81" s="12" t="n">
        <x:v>118333</x:v>
      </x:c>
      <x:c r="F81" s="12" t="n">
        <x:v>3097317</x:v>
      </x:c>
      <x:c r="G81" s="14" t="n">
        <x:v>349196630.78</x:v>
      </x:c>
      <x:c r="H81" t="n">
        <x:v>0</x:v>
      </x:c>
      <x:c r="I81" t="n">
        <x:f>IF(H81=0,1,0)</x:f>
        <x:v>1</x:v>
      </x:c>
      <x:c r="J81" s="16" t="n">
        <x:f>F81/E81</x:f>
        <x:v>26.17458359037631</x:v>
      </x:c>
      <x:c r="K81" s="16" t="n">
        <x:f>G81/1000/E81</x:f>
        <x:v>2.950965755790861</x:v>
      </x:c>
    </x:row>
    <x:row r="82">
      <x:c r="A82" s="8" t="d">
        <x:v>2024-03-17T00:00:00.000Z</x:v>
      </x:c>
      <x:c r="B82" t="str">
        <x:v>Moderate</x:v>
      </x:c>
      <x:c r="C82" t="str">
        <x:v>Day off</x:v>
      </x:c>
      <x:c r="D82" s="10" t="n">
        <x:v>19.208333</x:v>
      </x:c>
      <x:c r="E82" s="12" t="n">
        <x:v>87951</x:v>
      </x:c>
      <x:c r="F82" s="12" t="n">
        <x:v>2086744</x:v>
      </x:c>
      <x:c r="G82" s="14" t="n">
        <x:v>237571173.18</x:v>
      </x:c>
      <x:c r="H82" t="n">
        <x:v>0</x:v>
      </x:c>
      <x:c r="I82" t="n">
        <x:f>IF(H82=0,1,0)</x:f>
        <x:v>1</x:v>
      </x:c>
      <x:c r="J82" s="16" t="n">
        <x:f>F82/E82</x:f>
        <x:v>23.726211185773895</x:v>
      </x:c>
      <x:c r="K82" s="16" t="n">
        <x:f>G82/1000/E82</x:f>
        <x:v>2.7011764866800836</x:v>
      </x:c>
    </x:row>
    <x:row r="83">
      <x:c r="A83" s="8" t="d">
        <x:v>2024-03-18T00:00:00.000Z</x:v>
      </x:c>
      <x:c r="B83" t="str">
        <x:v>Good</x:v>
      </x:c>
      <x:c r="C83" t="str">
        <x:v>Workday</x:v>
      </x:c>
      <x:c r="D83" s="10" t="n">
        <x:v>7.4</x:v>
      </x:c>
      <x:c r="E83" s="12" t="n">
        <x:v>123579</x:v>
      </x:c>
      <x:c r="F83" s="12" t="n">
        <x:v>2379578</x:v>
      </x:c>
      <x:c r="G83" s="14" t="n">
        <x:v>280386081.78</x:v>
      </x:c>
      <x:c r="H83" t="n">
        <x:v>0</x:v>
      </x:c>
      <x:c r="I83" t="n">
        <x:f>IF(H83=0,1,0)</x:f>
        <x:v>1</x:v>
      </x:c>
      <x:c r="J83" s="16" t="n">
        <x:f>F83/E83</x:f>
        <x:v>19.255520759999676</x:v>
      </x:c>
      <x:c r="K83" s="16" t="n">
        <x:f>G83/1000/E83</x:f>
        <x:v>2.268881296822275</x:v>
      </x:c>
    </x:row>
    <x:row r="84">
      <x:c r="A84" s="8" t="d">
        <x:v>2024-03-19T00:00:00.000Z</x:v>
      </x:c>
      <x:c r="B84" t="str">
        <x:v>Moderate</x:v>
      </x:c>
      <x:c r="C84" t="str">
        <x:v>Workday</x:v>
      </x:c>
      <x:c r="D84" s="10" t="n">
        <x:v>26.24</x:v>
      </x:c>
      <x:c r="E84" s="12" t="n">
        <x:v>102640</x:v>
      </x:c>
      <x:c r="F84" s="12" t="n">
        <x:v>1726711</x:v>
      </x:c>
      <x:c r="G84" s="14" t="n">
        <x:v>201090432.8</x:v>
      </x:c>
      <x:c r="H84" t="n">
        <x:v>0</x:v>
      </x:c>
      <x:c r="I84" t="n">
        <x:f>IF(H84=0,1,0)</x:f>
        <x:v>1</x:v>
      </x:c>
      <x:c r="J84" s="16" t="n">
        <x:f>F84/E84</x:f>
        <x:v>16.822983242400625</x:v>
      </x:c>
      <x:c r="K84" s="16" t="n">
        <x:f>G84/1000/E84</x:f>
        <x:v>1.9591819251753704</x:v>
      </x:c>
    </x:row>
    <x:row r="85">
      <x:c r="A85" s="8" t="d">
        <x:v>2024-03-20T00:00:00.000Z</x:v>
      </x:c>
      <x:c r="B85" t="str">
        <x:v>Moderate</x:v>
      </x:c>
      <x:c r="C85" t="str">
        <x:v>Workday</x:v>
      </x:c>
      <x:c r="D85" s="10" t="n">
        <x:v>23.16</x:v>
      </x:c>
      <x:c r="E85" s="12" t="n">
        <x:v>112266</x:v>
      </x:c>
      <x:c r="F85" s="12" t="n">
        <x:v>1993081</x:v>
      </x:c>
      <x:c r="G85" s="14" t="n">
        <x:v>229280435.2</x:v>
      </x:c>
      <x:c r="H85" t="n">
        <x:v>0</x:v>
      </x:c>
      <x:c r="I85" t="n">
        <x:f>IF(H85=0,1,0)</x:f>
        <x:v>1</x:v>
      </x:c>
      <x:c r="J85" s="16" t="n">
        <x:f>F85/E85</x:f>
        <x:v>17.753202216165178</x:v>
      </x:c>
      <x:c r="K85" s="16" t="n">
        <x:f>G85/1000/E85</x:f>
        <x:v>2.042296289170363</x:v>
      </x:c>
    </x:row>
    <x:row r="86">
      <x:c r="A86" s="8" t="d">
        <x:v>2024-03-21T00:00:00.000Z</x:v>
      </x:c>
      <x:c r="B86" t="str">
        <x:v>Moderate</x:v>
      </x:c>
      <x:c r="C86" t="str">
        <x:v>Workday</x:v>
      </x:c>
      <x:c r="D86" s="10" t="n">
        <x:v>20.44</x:v>
      </x:c>
      <x:c r="E86" s="12" t="n">
        <x:v>122101</x:v>
      </x:c>
      <x:c r="F86" s="12" t="n">
        <x:v>2267848</x:v>
      </x:c>
      <x:c r="G86" s="14" t="n">
        <x:v>264444691.79</x:v>
      </x:c>
      <x:c r="H86" t="n">
        <x:v>0</x:v>
      </x:c>
      <x:c r="I86" t="n">
        <x:f>IF(H86=0,1,0)</x:f>
        <x:v>1</x:v>
      </x:c>
      <x:c r="J86" s="16" t="n">
        <x:f>F86/E86</x:f>
        <x:v>18.573541576236067</x:v>
      </x:c>
      <x:c r="K86" s="16" t="n">
        <x:f>G86/1000/E86</x:f>
        <x:v>2.1657864537554974</x:v>
      </x:c>
    </x:row>
    <x:row r="87">
      <x:c r="A87" s="8" t="d">
        <x:v>2024-03-22T00:00:00.000Z</x:v>
      </x:c>
      <x:c r="B87" t="str">
        <x:v>Moderate</x:v>
      </x:c>
      <x:c r="C87" t="str">
        <x:v>Workday</x:v>
      </x:c>
      <x:c r="D87" s="10" t="n">
        <x:v>18.16</x:v>
      </x:c>
      <x:c r="E87" s="12" t="n">
        <x:v>81651</x:v>
      </x:c>
      <x:c r="F87" s="12" t="n">
        <x:v>1412766</x:v>
      </x:c>
      <x:c r="G87" s="14" t="n">
        <x:v>160727444.85</x:v>
      </x:c>
      <x:c r="H87" t="n">
        <x:v>0</x:v>
      </x:c>
      <x:c r="I87" t="n">
        <x:f>IF(H87=0,1,0)</x:f>
        <x:v>1</x:v>
      </x:c>
      <x:c r="J87" s="16" t="n">
        <x:f>F87/E87</x:f>
        <x:v>17.302494764301724</x:v>
      </x:c>
      <x:c r="K87" s="16" t="n">
        <x:f>G87/1000/E87</x:f>
        <x:v>1.9684687860528347</x:v>
      </x:c>
    </x:row>
    <x:row r="88">
      <x:c r="A88" s="8" t="d">
        <x:v>2024-03-23T00:00:00.000Z</x:v>
      </x:c>
      <x:c r="B88" t="str">
        <x:v>Moderate</x:v>
      </x:c>
      <x:c r="C88" t="str">
        <x:v>Day off</x:v>
      </x:c>
      <x:c r="D88" s="10" t="n">
        <x:v>24.52</x:v>
      </x:c>
      <x:c r="E88" s="12" t="n">
        <x:v>123500</x:v>
      </x:c>
      <x:c r="F88" s="12" t="n">
        <x:v>3430835</x:v>
      </x:c>
      <x:c r="G88" s="14" t="n">
        <x:v>385038545.5</x:v>
      </x:c>
      <x:c r="H88" t="n">
        <x:v>0</x:v>
      </x:c>
      <x:c r="I88" t="n">
        <x:f>IF(H88=0,1,0)</x:f>
        <x:v>1</x:v>
      </x:c>
      <x:c r="J88" s="16" t="n">
        <x:f>F88/E88</x:f>
        <x:v>27.78004048582996</x:v>
      </x:c>
      <x:c r="K88" s="16" t="n">
        <x:f>G88/1000/E88</x:f>
        <x:v>3.117721016194332</x:v>
      </x:c>
    </x:row>
    <x:row r="89">
      <x:c r="A89" s="8" t="d">
        <x:v>2024-03-24T00:00:00.000Z</x:v>
      </x:c>
      <x:c r="B89" t="str">
        <x:v>Moderate</x:v>
      </x:c>
      <x:c r="C89" t="str">
        <x:v>Day off</x:v>
      </x:c>
      <x:c r="D89" s="10" t="n">
        <x:v>15.84</x:v>
      </x:c>
      <x:c r="E89" s="12" t="n">
        <x:v>142055</x:v>
      </x:c>
      <x:c r="F89" s="12" t="n">
        <x:v>4499448</x:v>
      </x:c>
      <x:c r="G89" s="14" t="n">
        <x:v>514658624.11</x:v>
      </x:c>
      <x:c r="H89" t="n">
        <x:v>0</x:v>
      </x:c>
      <x:c r="I89" t="n">
        <x:f>IF(H89=0,1,0)</x:f>
        <x:v>1</x:v>
      </x:c>
      <x:c r="J89" s="16" t="n">
        <x:f>F89/E89</x:f>
        <x:v>31.673985428179225</x:v>
      </x:c>
      <x:c r="K89" s="16" t="n">
        <x:f>G89/1000/E89</x:f>
        <x:v>3.6229532512759146</x:v>
      </x:c>
    </x:row>
    <x:row r="90">
      <x:c r="A90" s="8" t="d">
        <x:v>2024-03-25T00:00:00.000Z</x:v>
      </x:c>
      <x:c r="B90" t="str">
        <x:v>Good</x:v>
      </x:c>
      <x:c r="C90" t="str">
        <x:v>Workday</x:v>
      </x:c>
      <x:c r="D90" s="10" t="n">
        <x:v>7.24</x:v>
      </x:c>
      <x:c r="E90" s="12" t="n">
        <x:v>58723</x:v>
      </x:c>
      <x:c r="F90" s="12" t="n">
        <x:v>968402</x:v>
      </x:c>
      <x:c r="G90" s="14" t="n">
        <x:v>113738965.97</x:v>
      </x:c>
      <x:c r="H90" t="n">
        <x:v>0</x:v>
      </x:c>
      <x:c r="I90" t="n">
        <x:f>IF(H90=0,1,0)</x:f>
        <x:v>1</x:v>
      </x:c>
      <x:c r="J90" s="16" t="n">
        <x:f>F90/E90</x:f>
        <x:v>16.491017148306454</x:v>
      </x:c>
      <x:c r="K90" s="16" t="n">
        <x:f>G90/1000/E90</x:f>
        <x:v>1.9368725366551438</x:v>
      </x:c>
    </x:row>
    <x:row r="91">
      <x:c r="A91" s="8" t="d">
        <x:v>2024-03-26T00:00:00.000Z</x:v>
      </x:c>
      <x:c r="B91" t="str">
        <x:v>Good</x:v>
      </x:c>
      <x:c r="C91" t="str">
        <x:v>Workday</x:v>
      </x:c>
      <x:c r="D91" s="10" t="n">
        <x:v>3.04</x:v>
      </x:c>
      <x:c r="E91" s="12" t="n">
        <x:v>87487</x:v>
      </x:c>
      <x:c r="F91" s="12" t="n">
        <x:v>1865480</x:v>
      </x:c>
      <x:c r="G91" s="14" t="n">
        <x:v>206080572</x:v>
      </x:c>
      <x:c r="H91" t="n">
        <x:v>0</x:v>
      </x:c>
      <x:c r="I91" t="n">
        <x:f>IF(H91=0,1,0)</x:f>
        <x:v>1</x:v>
      </x:c>
      <x:c r="J91" s="16" t="n">
        <x:f>F91/E91</x:f>
        <x:v>21.322939408140638</x:v>
      </x:c>
      <x:c r="K91" s="16" t="n">
        <x:f>G91/1000/E91</x:f>
        <x:v>2.3555565055379657</x:v>
      </x:c>
    </x:row>
    <x:row r="92">
      <x:c r="A92" s="8" t="d">
        <x:v>2024-03-27T00:00:00.000Z</x:v>
      </x:c>
      <x:c r="B92" t="str">
        <x:v>Moderate</x:v>
      </x:c>
      <x:c r="C92" t="str">
        <x:v>Workday</x:v>
      </x:c>
      <x:c r="D92" s="10" t="n">
        <x:v>15.2</x:v>
      </x:c>
      <x:c r="E92" s="12" t="n">
        <x:v>141391</x:v>
      </x:c>
      <x:c r="F92" s="12" t="n">
        <x:v>2833025</x:v>
      </x:c>
      <x:c r="G92" s="14" t="n">
        <x:v>332948450.82</x:v>
      </x:c>
      <x:c r="H92" t="n">
        <x:v>0</x:v>
      </x:c>
      <x:c r="I92" t="n">
        <x:f>IF(H92=0,1,0)</x:f>
        <x:v>1</x:v>
      </x:c>
      <x:c r="J92" s="16" t="n">
        <x:f>F92/E92</x:f>
        <x:v>20.036812809867673</x:v>
      </x:c>
      <x:c r="K92" s="16" t="n">
        <x:f>G92/1000/E92</x:f>
        <x:v>2.354806535210869</x:v>
      </x:c>
    </x:row>
    <x:row r="93">
      <x:c r="A93" s="8" t="d">
        <x:v>2024-03-28T00:00:00.000Z</x:v>
      </x:c>
      <x:c r="B93" t="str">
        <x:v>Moderate</x:v>
      </x:c>
      <x:c r="C93" t="str">
        <x:v>Workday</x:v>
      </x:c>
      <x:c r="D93" s="10" t="n">
        <x:v>15.56</x:v>
      </x:c>
      <x:c r="E93" s="12" t="n">
        <x:v>88255</x:v>
      </x:c>
      <x:c r="F93" s="12" t="n">
        <x:v>1617331</x:v>
      </x:c>
      <x:c r="G93" s="14" t="n">
        <x:v>182382151.17</x:v>
      </x:c>
      <x:c r="H93" t="n">
        <x:v>0</x:v>
      </x:c>
      <x:c r="I93" t="n">
        <x:f>IF(H93=0,1,0)</x:f>
        <x:v>1</x:v>
      </x:c>
      <x:c r="J93" s="16" t="n">
        <x:f>F93/E93</x:f>
        <x:v>18.325658602912018</x:v>
      </x:c>
      <x:c r="K93" s="16" t="n">
        <x:f>G93/1000/E93</x:f>
        <x:v>2.066536186844938</x:v>
      </x:c>
    </x:row>
    <x:row r="94">
      <x:c r="A94" s="8" t="d">
        <x:v>2024-03-29T00:00:00.000Z</x:v>
      </x:c>
      <x:c r="B94" t="str">
        <x:v>Bad</x:v>
      </x:c>
      <x:c r="C94" t="str">
        <x:v>Workday</x:v>
      </x:c>
      <x:c r="D94" s="10" t="n">
        <x:v>40.72</x:v>
      </x:c>
      <x:c r="E94" s="12" t="n">
        <x:v>91980</x:v>
      </x:c>
      <x:c r="F94" s="12" t="n">
        <x:v>1667003</x:v>
      </x:c>
      <x:c r="G94" s="14" t="n">
        <x:v>188513342.6</x:v>
      </x:c>
      <x:c r="H94" t="n">
        <x:v>0</x:v>
      </x:c>
      <x:c r="I94" t="n">
        <x:f>IF(H94=0,1,0)</x:f>
        <x:v>1</x:v>
      </x:c>
      <x:c r="J94" s="16" t="n">
        <x:f>F94/E94</x:f>
        <x:v>18.12353772559252</x:v>
      </x:c>
      <x:c r="K94" s="16" t="n">
        <x:f>G94/1000/E94</x:f>
        <x:v>2.049503616003479</x:v>
      </x:c>
    </x:row>
    <x:row r="95">
      <x:c r="A95" s="8" t="d">
        <x:v>2024-03-30T00:00:00.000Z</x:v>
      </x:c>
      <x:c r="B95" t="str">
        <x:v>Moderate</x:v>
      </x:c>
      <x:c r="C95" t="str">
        <x:v>Day off</x:v>
      </x:c>
      <x:c r="D95" s="10" t="n">
        <x:v>22.28</x:v>
      </x:c>
      <x:c r="E95" s="12" t="n">
        <x:v>111703</x:v>
      </x:c>
      <x:c r="F95" s="12" t="n">
        <x:v>2732337</x:v>
      </x:c>
      <x:c r="G95" s="14" t="n">
        <x:v>299842277.94</x:v>
      </x:c>
      <x:c r="H95" t="n">
        <x:v>0</x:v>
      </x:c>
      <x:c r="I95" t="n">
        <x:f>IF(H95=0,1,0)</x:f>
        <x:v>1</x:v>
      </x:c>
      <x:c r="J95" s="16" t="n">
        <x:f>F95/E95</x:f>
        <x:v>24.46073068762701</x:v>
      </x:c>
      <x:c r="K95" s="16" t="n">
        <x:f>G95/1000/E95</x:f>
        <x:v>2.684281334789576</x:v>
      </x:c>
    </x:row>
    <x:row r="96">
      <x:c r="A96" s="8" t="d">
        <x:v>2024-03-31T00:00:00.000Z</x:v>
      </x:c>
      <x:c r="B96" t="str">
        <x:v>Good</x:v>
      </x:c>
      <x:c r="C96" t="str">
        <x:v>Day off</x:v>
      </x:c>
      <x:c r="D96" s="10" t="n">
        <x:v>11.36</x:v>
      </x:c>
      <x:c r="E96" s="12" t="n">
        <x:v>126238</x:v>
      </x:c>
      <x:c r="F96" s="12" t="n">
        <x:v>3678883</x:v>
      </x:c>
      <x:c r="G96" s="14" t="n">
        <x:v>414862206.95</x:v>
      </x:c>
      <x:c r="H96" t="n">
        <x:v>0</x:v>
      </x:c>
      <x:c r="I96" t="n">
        <x:f>IF(H96=0,1,0)</x:f>
        <x:v>1</x:v>
      </x:c>
      <x:c r="J96" s="16" t="n">
        <x:f>F96/E96</x:f>
        <x:v>29.14243730097118</x:v>
      </x:c>
      <x:c r="K96" s="16" t="n">
        <x:f>G96/1000/E96</x:f>
        <x:v>3.286349648679478</x:v>
      </x:c>
    </x:row>
    <x:row r="97">
      <x:c r="A97" s="8" t="d">
        <x:v>2024-04-01T00:00:00.000Z</x:v>
      </x:c>
      <x:c r="B97" t="str">
        <x:v>Good</x:v>
      </x:c>
      <x:c r="C97" t="str">
        <x:v>Workday</x:v>
      </x:c>
      <x:c r="D97" s="10" t="n">
        <x:v>13.96</x:v>
      </x:c>
      <x:c r="E97" s="12" t="n">
        <x:v>149994</x:v>
      </x:c>
      <x:c r="F97" s="12" t="n">
        <x:v>3204013</x:v>
      </x:c>
      <x:c r="G97" s="14" t="n">
        <x:v>383451443.1</x:v>
      </x:c>
      <x:c r="H97" t="n">
        <x:v>0</x:v>
      </x:c>
      <x:c r="I97" t="n">
        <x:f>IF(H97=0,1,0)</x:f>
        <x:v>1</x:v>
      </x:c>
      <x:c r="J97" s="16" t="n">
        <x:f>F97/E97</x:f>
        <x:v>21.36094110431084</x:v>
      </x:c>
      <x:c r="K97" s="16" t="n">
        <x:f>G97/1000/E97</x:f>
        <x:v>2.5564452118084726</x:v>
      </x:c>
    </x:row>
    <x:row r="98">
      <x:c r="A98" s="8" t="d">
        <x:v>2024-04-02T00:00:00.000Z</x:v>
      </x:c>
      <x:c r="B98" t="str">
        <x:v>Moderate</x:v>
      </x:c>
      <x:c r="C98" t="str">
        <x:v>Workday</x:v>
      </x:c>
      <x:c r="D98" s="10" t="n">
        <x:v>22.32</x:v>
      </x:c>
      <x:c r="E98" s="12" t="n">
        <x:v>167897</x:v>
      </x:c>
      <x:c r="F98" s="12" t="n">
        <x:v>3694597</x:v>
      </x:c>
      <x:c r="G98" s="14" t="n">
        <x:v>442038454.83</x:v>
      </x:c>
      <x:c r="H98" t="n">
        <x:v>0</x:v>
      </x:c>
      <x:c r="I98" t="n">
        <x:f>IF(H98=0,1,0)</x:f>
        <x:v>1</x:v>
      </x:c>
      <x:c r="J98" s="16" t="n">
        <x:f>F98/E98</x:f>
        <x:v>22.005140056105827</x:v>
      </x:c>
      <x:c r="K98" s="16" t="n">
        <x:f>G98/1000/E98</x:f>
        <x:v>2.632795433092908</x:v>
      </x:c>
    </x:row>
    <x:row r="99">
      <x:c r="A99" s="8" t="d">
        <x:v>2024-04-03T00:00:00.000Z</x:v>
      </x:c>
      <x:c r="B99" t="str">
        <x:v>Moderate</x:v>
      </x:c>
      <x:c r="C99" t="str">
        <x:v>Workday</x:v>
      </x:c>
      <x:c r="D99" s="10" t="n">
        <x:v>21.12</x:v>
      </x:c>
      <x:c r="E99" s="12" t="n">
        <x:v>152455</x:v>
      </x:c>
      <x:c r="F99" s="12" t="n">
        <x:v>3104254</x:v>
      </x:c>
      <x:c r="G99" s="14" t="n">
        <x:v>371971688.63</x:v>
      </x:c>
      <x:c r="H99" t="n">
        <x:v>0</x:v>
      </x:c>
      <x:c r="I99" t="n">
        <x:f>IF(H99=0,1,0)</x:f>
        <x:v>1</x:v>
      </x:c>
      <x:c r="J99" s="16" t="n">
        <x:f>F99/E99</x:f>
        <x:v>20.36177232626021</x:v>
      </x:c>
      <x:c r="K99" s="16" t="n">
        <x:f>G99/1000/E99</x:f>
        <x:v>2.439878578137811</x:v>
      </x:c>
    </x:row>
    <x:row r="100">
      <x:c r="A100" s="8" t="d">
        <x:v>2024-04-04T00:00:00.000Z</x:v>
      </x:c>
      <x:c r="B100" t="str">
        <x:v>Good</x:v>
      </x:c>
      <x:c r="C100" t="str">
        <x:v>Workday</x:v>
      </x:c>
      <x:c r="D100" s="10" t="n">
        <x:v>14.76</x:v>
      </x:c>
      <x:c r="E100" s="12" t="n">
        <x:v>169109</x:v>
      </x:c>
      <x:c r="F100" s="12" t="n">
        <x:v>3651037</x:v>
      </x:c>
      <x:c r="G100" s="14" t="n">
        <x:v>433552563.75</x:v>
      </x:c>
      <x:c r="H100" t="n">
        <x:v>0</x:v>
      </x:c>
      <x:c r="I100" t="n">
        <x:f>IF(H100=0,1,0)</x:f>
        <x:v>1</x:v>
      </x:c>
      <x:c r="J100" s="16" t="n">
        <x:f>F100/E100</x:f>
        <x:v>21.589844419871206</x:v>
      </x:c>
      <x:c r="K100" s="16" t="n">
        <x:f>G100/1000/E100</x:f>
        <x:v>2.563746245025398</x:v>
      </x:c>
    </x:row>
    <x:row r="101">
      <x:c r="A101" s="8" t="d">
        <x:v>2024-04-05T00:00:00.000Z</x:v>
      </x:c>
      <x:c r="B101" t="str">
        <x:v>Moderate</x:v>
      </x:c>
      <x:c r="C101" t="str">
        <x:v>Workday</x:v>
      </x:c>
      <x:c r="D101" s="10" t="n">
        <x:v>20.52</x:v>
      </x:c>
      <x:c r="E101" s="12" t="n">
        <x:v>175766</x:v>
      </x:c>
      <x:c r="F101" s="12" t="n">
        <x:v>3952368</x:v>
      </x:c>
      <x:c r="G101" s="14" t="n">
        <x:v>451840635.08</x:v>
      </x:c>
      <x:c r="H101" t="n">
        <x:v>0</x:v>
      </x:c>
      <x:c r="I101" t="n">
        <x:f>IF(H101=0,1,0)</x:f>
        <x:v>1</x:v>
      </x:c>
      <x:c r="J101" s="16" t="n">
        <x:f>F101/E101</x:f>
        <x:v>22.486533231683033</x:v>
      </x:c>
      <x:c r="K101" s="16" t="n">
        <x:f>G101/1000/E101</x:f>
        <x:v>2.5706941904577674</x:v>
      </x:c>
    </x:row>
    <x:row r="102">
      <x:c r="A102" s="8" t="d">
        <x:v>2024-04-06T00:00:00.000Z</x:v>
      </x:c>
      <x:c r="B102" t="str">
        <x:v>Bad</x:v>
      </x:c>
      <x:c r="C102" t="str">
        <x:v>Day off</x:v>
      </x:c>
      <x:c r="D102" s="10" t="n">
        <x:v>38.88</x:v>
      </x:c>
      <x:c r="E102" s="12" t="n">
        <x:v>160688</x:v>
      </x:c>
      <x:c r="F102" s="12" t="n">
        <x:v>4586596</x:v>
      </x:c>
      <x:c r="G102" s="14" t="n">
        <x:v>487630744.85</x:v>
      </x:c>
      <x:c r="H102" t="n">
        <x:v>0</x:v>
      </x:c>
      <x:c r="I102" t="n">
        <x:f>IF(H102=0,1,0)</x:f>
        <x:v>1</x:v>
      </x:c>
      <x:c r="J102" s="16" t="n">
        <x:f>F102/E102</x:f>
        <x:v>28.54348800159315</x:v>
      </x:c>
      <x:c r="K102" s="16" t="n">
        <x:f>G102/1000/E102</x:f>
        <x:v>3.034643189597232</x:v>
      </x:c>
    </x:row>
    <x:row r="103">
      <x:c r="A103" s="8" t="d">
        <x:v>2024-04-07T00:00:00.000Z</x:v>
      </x:c>
      <x:c r="B103" t="str">
        <x:v>Moderate</x:v>
      </x:c>
      <x:c r="C103" t="str">
        <x:v>Day off</x:v>
      </x:c>
      <x:c r="D103" s="10" t="n">
        <x:v>32.2</x:v>
      </x:c>
      <x:c r="E103" s="12" t="n">
        <x:v>155131</x:v>
      </x:c>
      <x:c r="F103" s="12" t="n">
        <x:v>4772124</x:v>
      </x:c>
      <x:c r="G103" s="14" t="n">
        <x:v>523993361.23</x:v>
      </x:c>
      <x:c r="H103" t="n">
        <x:v>0</x:v>
      </x:c>
      <x:c r="I103" t="n">
        <x:f>IF(H103=0,1,0)</x:f>
        <x:v>1</x:v>
      </x:c>
      <x:c r="J103" s="16" t="n">
        <x:f>F103/E103</x:f>
        <x:v>30.761898008779678</x:v>
      </x:c>
      <x:c r="K103" s="16" t="n">
        <x:f>G103/1000/E103</x:f>
        <x:v>3.3777475890054216</x:v>
      </x:c>
    </x:row>
    <x:row r="104">
      <x:c r="A104" s="8" t="d">
        <x:v>2024-04-08T00:00:00.000Z</x:v>
      </x:c>
      <x:c r="B104" t="str">
        <x:v>Moderate</x:v>
      </x:c>
      <x:c r="C104" t="str">
        <x:v>Workday</x:v>
      </x:c>
      <x:c r="D104" s="10" t="n">
        <x:v>28</x:v>
      </x:c>
      <x:c r="E104" s="12" t="n">
        <x:v>165751</x:v>
      </x:c>
      <x:c r="F104" s="12" t="n">
        <x:v>3570057</x:v>
      </x:c>
      <x:c r="G104" s="14" t="n">
        <x:v>428657506.98</x:v>
      </x:c>
      <x:c r="H104" t="n">
        <x:v>0</x:v>
      </x:c>
      <x:c r="I104" t="n">
        <x:f>IF(H104=0,1,0)</x:f>
        <x:v>1</x:v>
      </x:c>
      <x:c r="J104" s="16" t="n">
        <x:f>F104/E104</x:f>
        <x:v>21.538675483104175</x:v>
      </x:c>
      <x:c r="K104" s="16" t="n">
        <x:f>G104/1000/E104</x:f>
        <x:v>2.586153368486465</x:v>
      </x:c>
    </x:row>
    <x:row r="105">
      <x:c r="A105" s="8" t="d">
        <x:v>2024-04-09T00:00:00.000Z</x:v>
      </x:c>
      <x:c r="B105" t="str">
        <x:v>Moderate</x:v>
      </x:c>
      <x:c r="C105" t="str">
        <x:v>Workday</x:v>
      </x:c>
      <x:c r="D105" s="10" t="n">
        <x:v>18.28</x:v>
      </x:c>
      <x:c r="E105" s="12" t="n">
        <x:v>175191</x:v>
      </x:c>
      <x:c r="F105" s="12" t="n">
        <x:v>3833161</x:v>
      </x:c>
      <x:c r="G105" s="14" t="n">
        <x:v>456705128.48</x:v>
      </x:c>
      <x:c r="H105" t="n">
        <x:v>0</x:v>
      </x:c>
      <x:c r="I105" t="n">
        <x:f>IF(H105=0,1,0)</x:f>
        <x:v>1</x:v>
      </x:c>
      <x:c r="J105" s="16" t="n">
        <x:f>F105/E105</x:f>
        <x:v>21.879896798351513</x:v>
      </x:c>
      <x:c r="K105" s="16" t="n">
        <x:f>G105/1000/E105</x:f>
        <x:v>2.6068983479744965</x:v>
      </x:c>
    </x:row>
    <x:row r="106">
      <x:c r="A106" s="8" t="d">
        <x:v>2024-04-10T00:00:00.000Z</x:v>
      </x:c>
      <x:c r="B106" t="str">
        <x:v>Moderate</x:v>
      </x:c>
      <x:c r="C106" t="str">
        <x:v>Day off</x:v>
      </x:c>
      <x:c r="D106" s="10" t="n">
        <x:v>17.92</x:v>
      </x:c>
      <x:c r="E106" s="12" t="n">
        <x:v>153280</x:v>
      </x:c>
      <x:c r="F106" s="12" t="n">
        <x:v>4230671</x:v>
      </x:c>
      <x:c r="G106" s="14" t="n">
        <x:v>478757800.08</x:v>
      </x:c>
      <x:c r="H106" t="n">
        <x:v>0</x:v>
      </x:c>
      <x:c r="I106" t="n">
        <x:f>IF(H106=0,1,0)</x:f>
        <x:v>1</x:v>
      </x:c>
      <x:c r="J106" s="16" t="n">
        <x:f>F106/E106</x:f>
        <x:v>27.600932933194155</x:v>
      </x:c>
      <x:c r="K106" s="16" t="n">
        <x:f>G106/1000/E106</x:f>
        <x:v>3.1234198856993736</x:v>
      </x:c>
    </x:row>
    <x:row r="107">
      <x:c r="A107" s="8" t="d">
        <x:v>2024-04-11T00:00:00.000Z</x:v>
      </x:c>
      <x:c r="B107" t="str">
        <x:v>Moderate</x:v>
      </x:c>
      <x:c r="C107" t="str">
        <x:v>Workday</x:v>
      </x:c>
      <x:c r="D107" s="10" t="n">
        <x:v>21.04</x:v>
      </x:c>
      <x:c r="E107" s="12" t="n">
        <x:v>159006</x:v>
      </x:c>
      <x:c r="F107" s="12" t="n">
        <x:v>3308250</x:v>
      </x:c>
      <x:c r="G107" s="14" t="n">
        <x:v>395539289.15</x:v>
      </x:c>
      <x:c r="H107" t="n">
        <x:v>0</x:v>
      </x:c>
      <x:c r="I107" t="n">
        <x:f>IF(H107=0,1,0)</x:f>
        <x:v>1</x:v>
      </x:c>
      <x:c r="J107" s="16" t="n">
        <x:f>F107/E107</x:f>
        <x:v>20.805818648352894</x:v>
      </x:c>
      <x:c r="K107" s="16" t="n">
        <x:f>G107/1000/E107</x:f>
        <x:v>2.4875746144799566</x:v>
      </x:c>
    </x:row>
    <x:row r="108">
      <x:c r="A108" s="8" t="d">
        <x:v>2024-04-12T00:00:00.000Z</x:v>
      </x:c>
      <x:c r="B108" t="str">
        <x:v>Moderate</x:v>
      </x:c>
      <x:c r="C108" t="str">
        <x:v>Workday</x:v>
      </x:c>
      <x:c r="D108" s="10" t="n">
        <x:v>23.6</x:v>
      </x:c>
      <x:c r="E108" s="12" t="n">
        <x:v>178578</x:v>
      </x:c>
      <x:c r="F108" s="12" t="n">
        <x:v>3953092</x:v>
      </x:c>
      <x:c r="G108" s="14" t="n">
        <x:v>471381906.59</x:v>
      </x:c>
      <x:c r="H108" t="n">
        <x:v>0</x:v>
      </x:c>
      <x:c r="I108" t="n">
        <x:f>IF(H108=0,1,0)</x:f>
        <x:v>1</x:v>
      </x:c>
      <x:c r="J108" s="16" t="n">
        <x:f>F108/E108</x:f>
        <x:v>22.136500576778776</x:v>
      </x:c>
      <x:c r="K108" s="16" t="n">
        <x:f>G108/1000/E108</x:f>
        <x:v>2.6396415380953977</x:v>
      </x:c>
    </x:row>
    <x:row r="109">
      <x:c r="A109" s="8" t="d">
        <x:v>2024-04-13T00:00:00.000Z</x:v>
      </x:c>
      <x:c r="B109" t="str">
        <x:v>Moderate</x:v>
      </x:c>
      <x:c r="C109" t="str">
        <x:v>Day off</x:v>
      </x:c>
      <x:c r="D109" s="10" t="n">
        <x:v>18.08</x:v>
      </x:c>
      <x:c r="E109" s="12" t="n">
        <x:v>162838</x:v>
      </x:c>
      <x:c r="F109" s="12" t="n">
        <x:v>4511375</x:v>
      </x:c>
      <x:c r="G109" s="14" t="n">
        <x:v>514977055.05</x:v>
      </x:c>
      <x:c r="H109" t="n">
        <x:v>0</x:v>
      </x:c>
      <x:c r="I109" t="n">
        <x:f>IF(H109=0,1,0)</x:f>
        <x:v>1</x:v>
      </x:c>
      <x:c r="J109" s="16" t="n">
        <x:f>F109/E109</x:f>
        <x:v>27.704681953843696</x:v>
      </x:c>
      <x:c r="K109" s="16" t="n">
        <x:f>G109/1000/E109</x:f>
        <x:v>3.1625115455237722</x:v>
      </x:c>
    </x:row>
    <x:row r="110">
      <x:c r="A110" s="8" t="d">
        <x:v>2024-04-14T00:00:00.000Z</x:v>
      </x:c>
      <x:c r="B110" t="str">
        <x:v>Moderate</x:v>
      </x:c>
      <x:c r="C110" t="str">
        <x:v>Day off</x:v>
      </x:c>
      <x:c r="D110" s="10" t="n">
        <x:v>22.32</x:v>
      </x:c>
      <x:c r="E110" s="12" t="n">
        <x:v>147693</x:v>
      </x:c>
      <x:c r="F110" s="12" t="n">
        <x:v>4196812</x:v>
      </x:c>
      <x:c r="G110" s="14" t="n">
        <x:v>491150298.45</x:v>
      </x:c>
      <x:c r="H110" t="n">
        <x:v>0</x:v>
      </x:c>
      <x:c r="I110" t="n">
        <x:f>IF(H110=0,1,0)</x:f>
        <x:v>1</x:v>
      </x:c>
      <x:c r="J110" s="16" t="n">
        <x:f>F110/E110</x:f>
        <x:v>28.415781384358095</x:v>
      </x:c>
      <x:c r="K110" s="16" t="n">
        <x:f>G110/1000/E110</x:f>
        <x:v>3.3254812242286365</x:v>
      </x:c>
    </x:row>
    <x:row r="111">
      <x:c r="A111" s="8" t="d">
        <x:v>2024-04-15T00:00:00.000Z</x:v>
      </x:c>
      <x:c r="B111" t="str">
        <x:v>Good</x:v>
      </x:c>
      <x:c r="C111" t="str">
        <x:v>Workday</x:v>
      </x:c>
      <x:c r="D111" s="10" t="n">
        <x:v>11.56</x:v>
      </x:c>
      <x:c r="E111" s="12" t="n">
        <x:v>62438</x:v>
      </x:c>
      <x:c r="F111" s="12" t="n">
        <x:v>1085275</x:v>
      </x:c>
      <x:c r="G111" s="14" t="n">
        <x:v>131725879.36</x:v>
      </x:c>
      <x:c r="H111" t="n">
        <x:v>0</x:v>
      </x:c>
      <x:c r="I111" t="n">
        <x:f>IF(H111=0,1,0)</x:f>
        <x:v>1</x:v>
      </x:c>
      <x:c r="J111" s="16" t="n">
        <x:f>F111/E111</x:f>
        <x:v>17.381642589448735</x:v>
      </x:c>
      <x:c r="K111" s="16" t="n">
        <x:f>G111/1000/E111</x:f>
        <x:v>2.1097068990038115</x:v>
      </x:c>
    </x:row>
    <x:row r="112">
      <x:c r="A112" s="8" t="d">
        <x:v>2024-04-16T00:00:00.000Z</x:v>
      </x:c>
      <x:c r="B112" t="str">
        <x:v>Moderate</x:v>
      </x:c>
      <x:c r="C112" t="str">
        <x:v>Workday</x:v>
      </x:c>
      <x:c r="D112" s="10" t="n">
        <x:v>28.72</x:v>
      </x:c>
      <x:c r="E112" s="12" t="n">
        <x:v>121305</x:v>
      </x:c>
      <x:c r="F112" s="12" t="n">
        <x:v>2555174</x:v>
      </x:c>
      <x:c r="G112" s="14" t="n">
        <x:v>289874352.45</x:v>
      </x:c>
      <x:c r="H112" t="n">
        <x:v>0</x:v>
      </x:c>
      <x:c r="I112" t="n">
        <x:f>IF(H112=0,1,0)</x:f>
        <x:v>1</x:v>
      </x:c>
      <x:c r="J112" s="16" t="n">
        <x:f>F112/E112</x:f>
        <x:v>21.06404517538436</x:v>
      </x:c>
      <x:c r="K112" s="16" t="n">
        <x:f>G112/1000/E112</x:f>
        <x:v>2.389632351922839</x:v>
      </x:c>
    </x:row>
    <x:row r="113">
      <x:c r="A113" s="8" t="d">
        <x:v>2024-04-17T00:00:00.000Z</x:v>
      </x:c>
      <x:c r="B113" t="str">
        <x:v>Bad</x:v>
      </x:c>
      <x:c r="C113" t="str">
        <x:v>Workday</x:v>
      </x:c>
      <x:c r="D113" s="10" t="n">
        <x:v>41.8</x:v>
      </x:c>
      <x:c r="E113" s="12" t="n">
        <x:v>163243</x:v>
      </x:c>
      <x:c r="F113" s="12" t="n">
        <x:v>3287836</x:v>
      </x:c>
      <x:c r="G113" s="14" t="n">
        <x:v>388074335.01</x:v>
      </x:c>
      <x:c r="H113" t="n">
        <x:v>0</x:v>
      </x:c>
      <x:c r="I113" t="n">
        <x:f>IF(H113=0,1,0)</x:f>
        <x:v>1</x:v>
      </x:c>
      <x:c r="J113" s="16" t="n">
        <x:f>F113/E113</x:f>
        <x:v>20.140747229590243</x:v>
      </x:c>
      <x:c r="K113" s="16" t="n">
        <x:f>G113/1000/E113</x:f>
        <x:v>2.377280097829616</x:v>
      </x:c>
    </x:row>
    <x:row r="114">
      <x:c r="A114" s="8" t="d">
        <x:v>2024-04-18T00:00:00.000Z</x:v>
      </x:c>
      <x:c r="B114" t="str">
        <x:v>Moderate</x:v>
      </x:c>
      <x:c r="C114" t="str">
        <x:v>Workday</x:v>
      </x:c>
      <x:c r="D114" s="10" t="n">
        <x:v>27.72</x:v>
      </x:c>
      <x:c r="E114" s="12" t="n">
        <x:v>170392</x:v>
      </x:c>
      <x:c r="F114" s="12" t="n">
        <x:v>3489150</x:v>
      </x:c>
      <x:c r="G114" s="14" t="n">
        <x:v>415909208.53</x:v>
      </x:c>
      <x:c r="H114" t="n">
        <x:v>0</x:v>
      </x:c>
      <x:c r="I114" t="n">
        <x:f>IF(H114=0,1,0)</x:f>
        <x:v>1</x:v>
      </x:c>
      <x:c r="J114" s="16" t="n">
        <x:f>F114/E114</x:f>
        <x:v>20.47719376496549</x:v>
      </x:c>
      <x:c r="K114" s="16" t="n">
        <x:f>G114/1000/E114</x:f>
        <x:v>2.440896336271656</x:v>
      </x:c>
    </x:row>
    <x:row r="115">
      <x:c r="A115" s="8" t="d">
        <x:v>2024-04-19T00:00:00.000Z</x:v>
      </x:c>
      <x:c r="B115" t="str">
        <x:v>Moderate</x:v>
      </x:c>
      <x:c r="C115" t="str">
        <x:v>Workday</x:v>
      </x:c>
      <x:c r="D115" s="10" t="n">
        <x:v>30.28</x:v>
      </x:c>
      <x:c r="E115" s="12" t="n">
        <x:v>176552</x:v>
      </x:c>
      <x:c r="F115" s="12" t="n">
        <x:v>3742396</x:v>
      </x:c>
      <x:c r="G115" s="14" t="n">
        <x:v>440196582.66</x:v>
      </x:c>
      <x:c r="H115" t="n">
        <x:v>0</x:v>
      </x:c>
      <x:c r="I115" t="n">
        <x:f>IF(H115=0,1,0)</x:f>
        <x:v>1</x:v>
      </x:c>
      <x:c r="J115" s="16" t="n">
        <x:f>F115/E115</x:f>
        <x:v>21.19713172323168</x:v>
      </x:c>
      <x:c r="K115" s="16" t="n">
        <x:f>G115/1000/E115</x:f>
        <x:v>2.493297060695999</x:v>
      </x:c>
    </x:row>
    <x:row r="116">
      <x:c r="A116" s="8" t="d">
        <x:v>2024-04-20T00:00:00.000Z</x:v>
      </x:c>
      <x:c r="B116" t="str">
        <x:v>Moderate</x:v>
      </x:c>
      <x:c r="C116" t="str">
        <x:v>Day off</x:v>
      </x:c>
      <x:c r="D116" s="10" t="n">
        <x:v>25.92</x:v>
      </x:c>
      <x:c r="E116" s="12" t="n">
        <x:v>41454</x:v>
      </x:c>
      <x:c r="F116" s="12" t="n">
        <x:v>763005</x:v>
      </x:c>
      <x:c r="G116" s="14" t="n">
        <x:v>90081814.68</x:v>
      </x:c>
      <x:c r="H116" t="n">
        <x:v>0</x:v>
      </x:c>
      <x:c r="I116" t="n">
        <x:f>IF(H116=0,1,0)</x:f>
        <x:v>1</x:v>
      </x:c>
      <x:c r="J116" s="16" t="n">
        <x:f>F116/E116</x:f>
        <x:v>18.406064553480967</x:v>
      </x:c>
      <x:c r="K116" s="16" t="n">
        <x:f>G116/1000/E116</x:f>
        <x:v>2.1730548241424232</x:v>
      </x:c>
    </x:row>
    <x:row r="117">
      <x:c r="A117" s="8" t="d">
        <x:v>2024-04-21T00:00:00.000Z</x:v>
      </x:c>
      <x:c r="B117" t="str">
        <x:v>Good</x:v>
      </x:c>
      <x:c r="C117" t="str">
        <x:v>Day off</x:v>
      </x:c>
      <x:c r="D117" s="10" t="n">
        <x:v>6.48</x:v>
      </x:c>
      <x:c r="E117" s="12" t="n">
        <x:v>129190</x:v>
      </x:c>
      <x:c r="F117" s="12" t="n">
        <x:v>3382888</x:v>
      </x:c>
      <x:c r="G117" s="14" t="n">
        <x:v>392169180.26</x:v>
      </x:c>
      <x:c r="H117" t="n">
        <x:v>0</x:v>
      </x:c>
      <x:c r="I117" t="n">
        <x:f>IF(H117=0,1,0)</x:f>
        <x:v>1</x:v>
      </x:c>
      <x:c r="J117" s="16" t="n">
        <x:f>F117/E117</x:f>
        <x:v>26.185370384704697</x:v>
      </x:c>
      <x:c r="K117" s="16" t="n">
        <x:f>G117/1000/E117</x:f>
        <x:v>3.035600125861135</x:v>
      </x:c>
    </x:row>
    <x:row r="118">
      <x:c r="A118" s="8" t="d">
        <x:v>2024-04-22T00:00:00.000Z</x:v>
      </x:c>
      <x:c r="B118" t="str">
        <x:v>Moderate</x:v>
      </x:c>
      <x:c r="C118" t="str">
        <x:v>Workday</x:v>
      </x:c>
      <x:c r="D118" s="10" t="n">
        <x:v>15.84</x:v>
      </x:c>
      <x:c r="E118" s="12" t="n">
        <x:v>176570</x:v>
      </x:c>
      <x:c r="F118" s="12" t="n">
        <x:v>3725203</x:v>
      </x:c>
      <x:c r="G118" s="14" t="n">
        <x:v>452996331.32</x:v>
      </x:c>
      <x:c r="H118" t="n">
        <x:v>0</x:v>
      </x:c>
      <x:c r="I118" t="n">
        <x:f>IF(H118=0,1,0)</x:f>
        <x:v>1</x:v>
      </x:c>
      <x:c r="J118" s="16" t="n">
        <x:f>F118/E118</x:f>
        <x:v>21.09759868607351</x:v>
      </x:c>
      <x:c r="K118" s="16" t="n">
        <x:f>G118/1000/E118</x:f>
        <x:v>2.5655339600158578</x:v>
      </x:c>
    </x:row>
    <x:row r="119">
      <x:c r="A119" s="8" t="d">
        <x:v>2024-04-23T00:00:00.000Z</x:v>
      </x:c>
      <x:c r="B119" t="str">
        <x:v>Good</x:v>
      </x:c>
      <x:c r="C119" t="str">
        <x:v>Workday</x:v>
      </x:c>
      <x:c r="D119" s="10" t="n">
        <x:v>10.08</x:v>
      </x:c>
      <x:c r="E119" s="12" t="n">
        <x:v>151834</x:v>
      </x:c>
      <x:c r="F119" s="12" t="n">
        <x:v>2896556</x:v>
      </x:c>
      <x:c r="G119" s="14" t="n">
        <x:v>347653220.94</x:v>
      </x:c>
      <x:c r="H119" t="n">
        <x:v>0</x:v>
      </x:c>
      <x:c r="I119" t="n">
        <x:f>IF(H119=0,1,0)</x:f>
        <x:v>1</x:v>
      </x:c>
      <x:c r="J119" s="16" t="n">
        <x:f>F119/E119</x:f>
        <x:v>19.07712370088386</x:v>
      </x:c>
      <x:c r="K119" s="16" t="n">
        <x:f>G119/1000/E119</x:f>
        <x:v>2.2896928286154616</x:v>
      </x:c>
    </x:row>
    <x:row r="120">
      <x:c r="A120" s="8" t="d">
        <x:v>2024-04-24T00:00:00.000Z</x:v>
      </x:c>
      <x:c r="B120" t="str">
        <x:v>Good</x:v>
      </x:c>
      <x:c r="C120" t="str">
        <x:v>Workday</x:v>
      </x:c>
      <x:c r="D120" s="10" t="n">
        <x:v>5.36</x:v>
      </x:c>
      <x:c r="E120" s="12" t="n">
        <x:v>109241</x:v>
      </x:c>
      <x:c r="F120" s="12" t="n">
        <x:v>2276229</x:v>
      </x:c>
      <x:c r="G120" s="14" t="n">
        <x:v>260947154.18</x:v>
      </x:c>
      <x:c r="H120" t="n">
        <x:v>0</x:v>
      </x:c>
      <x:c r="I120" t="n">
        <x:f>IF(H120=0,1,0)</x:f>
        <x:v>1</x:v>
      </x:c>
      <x:c r="J120" s="16" t="n">
        <x:f>F120/E120</x:f>
        <x:v>20.836764584725515</x:v>
      </x:c>
      <x:c r="K120" s="16" t="n">
        <x:f>G120/1000/E120</x:f>
        <x:v>2.388729086881299</x:v>
      </x:c>
    </x:row>
    <x:row r="121">
      <x:c r="A121" s="8" t="d">
        <x:v>2024-04-25T00:00:00.000Z</x:v>
      </x:c>
      <x:c r="B121" t="str">
        <x:v>Moderate</x:v>
      </x:c>
      <x:c r="C121" t="str">
        <x:v>Workday</x:v>
      </x:c>
      <x:c r="D121" s="10" t="n">
        <x:v>19.52</x:v>
      </x:c>
      <x:c r="E121" s="12" t="n">
        <x:v>170645</x:v>
      </x:c>
      <x:c r="F121" s="12" t="n">
        <x:v>3523817</x:v>
      </x:c>
      <x:c r="G121" s="14" t="n">
        <x:v>419993850.48</x:v>
      </x:c>
      <x:c r="H121" t="n">
        <x:v>0</x:v>
      </x:c>
      <x:c r="I121" t="n">
        <x:f>IF(H121=0,1,0)</x:f>
        <x:v>1</x:v>
      </x:c>
      <x:c r="J121" s="16" t="n">
        <x:f>F121/E121</x:f>
        <x:v>20.64998681473234</x:v>
      </x:c>
      <x:c r="K121" s="16" t="n">
        <x:f>G121/1000/E121</x:f>
        <x:v>2.4612139264555073</x:v>
      </x:c>
    </x:row>
    <x:row r="122">
      <x:c r="A122" s="8" t="d">
        <x:v>2024-04-26T00:00:00.000Z</x:v>
      </x:c>
      <x:c r="B122" t="str">
        <x:v>Moderate</x:v>
      </x:c>
      <x:c r="C122" t="str">
        <x:v>Workday</x:v>
      </x:c>
      <x:c r="D122" s="10" t="n">
        <x:v>26.12</x:v>
      </x:c>
      <x:c r="E122" s="12" t="n">
        <x:v>180694</x:v>
      </x:c>
      <x:c r="F122" s="12" t="n">
        <x:v>3866504</x:v>
      </x:c>
      <x:c r="G122" s="14" t="n">
        <x:v>458237190.34</x:v>
      </x:c>
      <x:c r="H122" t="n">
        <x:v>0</x:v>
      </x:c>
      <x:c r="I122" t="n">
        <x:f>IF(H122=0,1,0)</x:f>
        <x:v>1</x:v>
      </x:c>
      <x:c r="J122" s="16" t="n">
        <x:f>F122/E122</x:f>
        <x:v>21.398076305798753</x:v>
      </x:c>
      <x:c r="K122" s="16" t="n">
        <x:f>G122/1000/E122</x:f>
        <x:v>2.5359845392763454</x:v>
      </x:c>
    </x:row>
    <x:row r="123">
      <x:c r="A123" s="8" t="d">
        <x:v>2024-04-27T00:00:00.000Z</x:v>
      </x:c>
      <x:c r="B123" t="str">
        <x:v>Moderate</x:v>
      </x:c>
      <x:c r="C123" t="str">
        <x:v>Day off</x:v>
      </x:c>
      <x:c r="D123" s="10" t="n">
        <x:v>23.36</x:v>
      </x:c>
      <x:c r="E123" s="12" t="n">
        <x:v>161802</x:v>
      </x:c>
      <x:c r="F123" s="12" t="n">
        <x:v>4298901</x:v>
      </x:c>
      <x:c r="G123" s="14" t="n">
        <x:v>488670474.34</x:v>
      </x:c>
      <x:c r="H123" t="n">
        <x:v>0</x:v>
      </x:c>
      <x:c r="I123" t="n">
        <x:f>IF(H123=0,1,0)</x:f>
        <x:v>1</x:v>
      </x:c>
      <x:c r="J123" s="16" t="n">
        <x:f>F123/E123</x:f>
        <x:v>26.568899024733934</x:v>
      </x:c>
      <x:c r="K123" s="16" t="n">
        <x:f>G123/1000/E123</x:f>
        <x:v>3.020175735405001</x:v>
      </x:c>
    </x:row>
    <x:row r="124">
      <x:c r="A124" s="8" t="d">
        <x:v>2024-04-28T00:00:00.000Z</x:v>
      </x:c>
      <x:c r="B124" t="str">
        <x:v>Moderate</x:v>
      </x:c>
      <x:c r="C124" t="str">
        <x:v>Day off</x:v>
      </x:c>
      <x:c r="D124" s="10" t="n">
        <x:v>20.48</x:v>
      </x:c>
      <x:c r="E124" s="12" t="n">
        <x:v>147977</x:v>
      </x:c>
      <x:c r="F124" s="12" t="n">
        <x:v>4037730</x:v>
      </x:c>
      <x:c r="G124" s="14" t="n">
        <x:v>478126137.87</x:v>
      </x:c>
      <x:c r="H124" t="n">
        <x:v>0</x:v>
      </x:c>
      <x:c r="I124" t="n">
        <x:f>IF(H124=0,1,0)</x:f>
        <x:v>1</x:v>
      </x:c>
      <x:c r="J124" s="16" t="n">
        <x:f>F124/E124</x:f>
        <x:v>27.28619988241416</x:v>
      </x:c>
      <x:c r="K124" s="16" t="n">
        <x:f>G124/1000/E124</x:f>
        <x:v>3.2310841405759003</x:v>
      </x:c>
    </x:row>
    <x:row r="125">
      <x:c r="A125" s="8" t="d">
        <x:v>2024-04-29T00:00:00.000Z</x:v>
      </x:c>
      <x:c r="B125" t="str">
        <x:v>Moderate</x:v>
      </x:c>
      <x:c r="C125" t="str">
        <x:v>Workday</x:v>
      </x:c>
      <x:c r="D125" s="10" t="n">
        <x:v>20</x:v>
      </x:c>
      <x:c r="E125" s="12" t="n">
        <x:v>180032</x:v>
      </x:c>
      <x:c r="F125" s="12" t="n">
        <x:v>3768222</x:v>
      </x:c>
      <x:c r="G125" s="14" t="n">
        <x:v>460702383.48</x:v>
      </x:c>
      <x:c r="H125" t="n">
        <x:v>0</x:v>
      </x:c>
      <x:c r="I125" t="n">
        <x:f>IF(H125=0,1,0)</x:f>
        <x:v>1</x:v>
      </x:c>
      <x:c r="J125" s="16" t="n">
        <x:f>F125/E125</x:f>
        <x:v>20.93084562744401</x:v>
      </x:c>
      <x:c r="K125" s="16" t="n">
        <x:f>G125/1000/E125</x:f>
        <x:v>2.5590027521773906</x:v>
      </x:c>
    </x:row>
    <x:row r="126">
      <x:c r="A126" s="8" t="d">
        <x:v>2024-04-30T00:00:00.000Z</x:v>
      </x:c>
      <x:c r="B126" t="str">
        <x:v>Moderate</x:v>
      </x:c>
      <x:c r="C126" t="str">
        <x:v>Workday</x:v>
      </x:c>
      <x:c r="D126" s="10" t="n">
        <x:v>33.36</x:v>
      </x:c>
      <x:c r="E126" s="12" t="n">
        <x:v>182952</x:v>
      </x:c>
      <x:c r="F126" s="12" t="n">
        <x:v>3787777</x:v>
      </x:c>
      <x:c r="G126" s="14" t="n">
        <x:v>454557406.83</x:v>
      </x:c>
      <x:c r="H126" t="n">
        <x:v>0</x:v>
      </x:c>
      <x:c r="I126" t="n">
        <x:f>IF(H126=0,1,0)</x:f>
        <x:v>1</x:v>
      </x:c>
      <x:c r="J126" s="16" t="n">
        <x:f>F126/E126</x:f>
        <x:v>20.703665442301805</x:v>
      </x:c>
      <x:c r="K126" s="16" t="n">
        <x:f>G126/1000/E126</x:f>
        <x:v>2.484571946904106</x:v>
      </x:c>
    </x:row>
    <x:row r="127">
      <x:c r="A127" s="8" t="d">
        <x:v>2024-05-01T00:00:00.000Z</x:v>
      </x:c>
      <x:c r="B127" t="str">
        <x:v>Good</x:v>
      </x:c>
      <x:c r="C127" t="str">
        <x:v>Workday</x:v>
      </x:c>
      <x:c r="D127" s="10" t="n">
        <x:v>14.12</x:v>
      </x:c>
      <x:c r="E127" s="12" t="n">
        <x:v>181438</x:v>
      </x:c>
      <x:c r="F127" s="12" t="n">
        <x:v>4665031</x:v>
      </x:c>
      <x:c r="G127" s="14" t="n">
        <x:v>542581907.9</x:v>
      </x:c>
      <x:c r="H127" t="n">
        <x:v>0</x:v>
      </x:c>
      <x:c r="I127" t="n">
        <x:f>IF(H127=0,1,0)</x:f>
        <x:v>1</x:v>
      </x:c>
      <x:c r="J127" s="16" t="n">
        <x:f>F127/E127</x:f>
        <x:v>25.711433106625954</x:v>
      </x:c>
      <x:c r="K127" s="16" t="n">
        <x:f>G127/1000/E127</x:f>
        <x:v>2.9904535317849623</x:v>
      </x:c>
    </x:row>
    <x:row r="128">
      <x:c r="A128" s="8" t="d">
        <x:v>2024-05-02T00:00:00.000Z</x:v>
      </x:c>
      <x:c r="B128" t="str">
        <x:v>Moderate</x:v>
      </x:c>
      <x:c r="C128" t="str">
        <x:v>Workday</x:v>
      </x:c>
      <x:c r="D128" s="10" t="n">
        <x:v>18.64</x:v>
      </x:c>
      <x:c r="E128" s="12" t="n">
        <x:v>186102</x:v>
      </x:c>
      <x:c r="F128" s="12" t="n">
        <x:v>3965291</x:v>
      </x:c>
      <x:c r="G128" s="14" t="n">
        <x:v>478903918.39</x:v>
      </x:c>
      <x:c r="H128" t="n">
        <x:v>0</x:v>
      </x:c>
      <x:c r="I128" t="n">
        <x:f>IF(H128=0,1,0)</x:f>
        <x:v>1</x:v>
      </x:c>
      <x:c r="J128" s="16" t="n">
        <x:f>F128/E128</x:f>
        <x:v>21.30708428711137</x:v>
      </x:c>
      <x:c r="K128" s="16" t="n">
        <x:f>G128/1000/E128</x:f>
        <x:v>2.573341062374397</x:v>
      </x:c>
    </x:row>
    <x:row r="129">
      <x:c r="A129" s="8" t="d">
        <x:v>2024-05-03T00:00:00.000Z</x:v>
      </x:c>
      <x:c r="B129" t="str">
        <x:v>Moderate</x:v>
      </x:c>
      <x:c r="C129" t="str">
        <x:v>Workday</x:v>
      </x:c>
      <x:c r="D129" s="10" t="n">
        <x:v>24.68</x:v>
      </x:c>
      <x:c r="E129" s="12" t="n">
        <x:v>190513</x:v>
      </x:c>
      <x:c r="F129" s="12" t="n">
        <x:v>4185854</x:v>
      </x:c>
      <x:c r="G129" s="14" t="n">
        <x:v>496862483.16</x:v>
      </x:c>
      <x:c r="H129" t="n">
        <x:v>0</x:v>
      </x:c>
      <x:c r="I129" t="n">
        <x:f>IF(H129=0,1,0)</x:f>
        <x:v>1</x:v>
      </x:c>
      <x:c r="J129" s="16" t="n">
        <x:f>F129/E129</x:f>
        <x:v>21.971487510038685</x:v>
      </x:c>
      <x:c r="K129" s="16" t="n">
        <x:f>G129/1000/E129</x:f>
        <x:v>2.6080240359450535</x:v>
      </x:c>
    </x:row>
    <x:row r="130">
      <x:c r="A130" s="8" t="d">
        <x:v>2024-05-04T00:00:00.000Z</x:v>
      </x:c>
      <x:c r="B130" t="str">
        <x:v>Moderate</x:v>
      </x:c>
      <x:c r="C130" t="str">
        <x:v>Day off</x:v>
      </x:c>
      <x:c r="D130" s="10" t="n">
        <x:v>32.88</x:v>
      </x:c>
      <x:c r="E130" s="12" t="n">
        <x:v>157012</x:v>
      </x:c>
      <x:c r="F130" s="12" t="n">
        <x:v>4260115</x:v>
      </x:c>
      <x:c r="G130" s="14" t="n">
        <x:v>490110600.6</x:v>
      </x:c>
      <x:c r="H130" t="n">
        <x:v>0</x:v>
      </x:c>
      <x:c r="I130" t="n">
        <x:f>IF(H130=0,1,0)</x:f>
        <x:v>1</x:v>
      </x:c>
      <x:c r="J130" s="16" t="n">
        <x:f>F130/E130</x:f>
        <x:v>27.132416630576007</x:v>
      </x:c>
      <x:c r="K130" s="16" t="n">
        <x:f>G130/1000/E130</x:f>
        <x:v>3.1214849858609535</x:v>
      </x:c>
    </x:row>
    <x:row r="131">
      <x:c r="A131" s="8" t="d">
        <x:v>2024-05-05T00:00:00.000Z</x:v>
      </x:c>
      <x:c r="B131" t="str">
        <x:v>Good</x:v>
      </x:c>
      <x:c r="C131" t="str">
        <x:v>Day off</x:v>
      </x:c>
      <x:c r="D131" s="10" t="n">
        <x:v>14.32</x:v>
      </x:c>
      <x:c r="E131" s="12" t="n">
        <x:v>14293</x:v>
      </x:c>
      <x:c r="F131" s="12" t="n">
        <x:v>290590</x:v>
      </x:c>
      <x:c r="G131" s="14" t="n">
        <x:v>37106877.06</x:v>
      </x:c>
      <x:c r="H131" t="n">
        <x:v>0</x:v>
      </x:c>
      <x:c r="I131" t="n">
        <x:f>IF(H131=0,1,0)</x:f>
        <x:v>1</x:v>
      </x:c>
      <x:c r="J131" s="16" t="n">
        <x:f>F131/E131</x:f>
        <x:v>20.33093122507521</x:v>
      </x:c>
      <x:c r="K131" s="16" t="n">
        <x:f>G131/1000/E131</x:f>
        <x:v>2.5961573539494855</x:v>
      </x:c>
    </x:row>
    <x:row r="132">
      <x:c r="A132" s="8" t="d">
        <x:v>2024-05-06T00:00:00.000Z</x:v>
      </x:c>
      <x:c r="B132" t="str">
        <x:v>Good</x:v>
      </x:c>
      <x:c r="C132" t="str">
        <x:v>Day off</x:v>
      </x:c>
      <x:c r="D132" s="10" t="n">
        <x:v>6.96</x:v>
      </x:c>
      <x:c r="E132" s="12" t="n">
        <x:v>25673</x:v>
      </x:c>
      <x:c r="F132" s="12" t="n">
        <x:v>553590</x:v>
      </x:c>
      <x:c r="G132" s="14" t="n">
        <x:v>59045549.21</x:v>
      </x:c>
      <x:c r="H132" t="n">
        <x:v>0</x:v>
      </x:c>
      <x:c r="I132" t="n">
        <x:f>IF(H132=0,1,0)</x:f>
        <x:v>1</x:v>
      </x:c>
      <x:c r="J132" s="16" t="n">
        <x:f>F132/E132</x:f>
        <x:v>21.563120788376892</x:v>
      </x:c>
      <x:c r="K132" s="16" t="n">
        <x:f>G132/1000/E132</x:f>
        <x:v>2.299908433373583</x:v>
      </x:c>
    </x:row>
    <x:row r="133">
      <x:c r="A133" s="8" t="d">
        <x:v>2024-05-07T00:00:00.000Z</x:v>
      </x:c>
      <x:c r="B133" t="str">
        <x:v>Good</x:v>
      </x:c>
      <x:c r="C133" t="str">
        <x:v>Workday</x:v>
      </x:c>
      <x:c r="D133" s="10" t="n">
        <x:v>12.88</x:v>
      </x:c>
      <x:c r="E133" s="12" t="n">
        <x:v>73349</x:v>
      </x:c>
      <x:c r="F133" s="12" t="n">
        <x:v>1363800</x:v>
      </x:c>
      <x:c r="G133" s="14" t="n">
        <x:v>147688563.47</x:v>
      </x:c>
      <x:c r="H133" t="n">
        <x:v>0</x:v>
      </x:c>
      <x:c r="I133" t="n">
        <x:f>IF(H133=0,1,0)</x:f>
        <x:v>1</x:v>
      </x:c>
      <x:c r="J133" s="16" t="n">
        <x:f>F133/E133</x:f>
        <x:v>18.593300522161176</x:v>
      </x:c>
      <x:c r="K133" s="16" t="n">
        <x:f>G133/1000/E133</x:f>
        <x:v>2.013504798565761</x:v>
      </x:c>
    </x:row>
    <x:row r="134">
      <x:c r="A134" s="8" t="d">
        <x:v>2024-05-08T00:00:00.000Z</x:v>
      </x:c>
      <x:c r="B134" t="str">
        <x:v>Good</x:v>
      </x:c>
      <x:c r="C134" t="str">
        <x:v>Workday</x:v>
      </x:c>
      <x:c r="D134" s="10" t="n">
        <x:v>9</x:v>
      </x:c>
      <x:c r="E134" s="12" t="n">
        <x:v>176782</x:v>
      </x:c>
      <x:c r="F134" s="12" t="n">
        <x:v>3745226</x:v>
      </x:c>
      <x:c r="G134" s="14" t="n">
        <x:v>441563809.55</x:v>
      </x:c>
      <x:c r="H134" t="n">
        <x:v>0</x:v>
      </x:c>
      <x:c r="I134" t="n">
        <x:f>IF(H134=0,1,0)</x:f>
        <x:v>1</x:v>
      </x:c>
      <x:c r="J134" s="16" t="n">
        <x:f>F134/E134</x:f>
        <x:v>21.18556187847179</x:v>
      </x:c>
      <x:c r="K134" s="16" t="n">
        <x:f>G134/1000/E134</x:f>
        <x:v>2.4977871590433414</x:v>
      </x:c>
    </x:row>
    <x:row r="135">
      <x:c r="A135" s="8" t="d">
        <x:v>2024-05-09T00:00:00.000Z</x:v>
      </x:c>
      <x:c r="B135" t="str">
        <x:v>Good</x:v>
      </x:c>
      <x:c r="C135" t="str">
        <x:v>Workday</x:v>
      </x:c>
      <x:c r="D135" s="10" t="n">
        <x:v>14.44</x:v>
      </x:c>
      <x:c r="E135" s="12" t="n">
        <x:v>177943</x:v>
      </x:c>
      <x:c r="F135" s="12" t="n">
        <x:v>3674684</x:v>
      </x:c>
      <x:c r="G135" s="14" t="n">
        <x:v>437550260.8</x:v>
      </x:c>
      <x:c r="H135" t="n">
        <x:v>0</x:v>
      </x:c>
      <x:c r="I135" t="n">
        <x:f>IF(H135=0,1,0)</x:f>
        <x:v>1</x:v>
      </x:c>
      <x:c r="J135" s="16" t="n">
        <x:f>F135/E135</x:f>
        <x:v>20.650905065105118</x:v>
      </x:c>
      <x:c r="K135" s="16" t="n">
        <x:f>G135/1000/E135</x:f>
        <x:v>2.4589349443361077</x:v>
      </x:c>
    </x:row>
    <x:row r="136">
      <x:c r="A136" s="8" t="d">
        <x:v>2024-05-10T00:00:00.000Z</x:v>
      </x:c>
      <x:c r="B136" t="str">
        <x:v>Good</x:v>
      </x:c>
      <x:c r="C136" t="str">
        <x:v>Workday</x:v>
      </x:c>
      <x:c r="D136" s="10" t="n">
        <x:v>14.32</x:v>
      </x:c>
      <x:c r="E136" s="12" t="n">
        <x:v>189085</x:v>
      </x:c>
      <x:c r="F136" s="12" t="n">
        <x:v>4094401</x:v>
      </x:c>
      <x:c r="G136" s="14" t="n">
        <x:v>481664078.88</x:v>
      </x:c>
      <x:c r="H136" t="n">
        <x:v>0</x:v>
      </x:c>
      <x:c r="I136" t="n">
        <x:f>IF(H136=0,1,0)</x:f>
        <x:v>1</x:v>
      </x:c>
      <x:c r="J136" s="16" t="n">
        <x:f>F136/E136</x:f>
        <x:v>21.65375889150382</x:v>
      </x:c>
      <x:c r="K136" s="16" t="n">
        <x:f>G136/1000/E136</x:f>
        <x:v>2.547341560039136</x:v>
      </x:c>
    </x:row>
    <x:row r="137">
      <x:c r="A137" s="8" t="d">
        <x:v>2024-05-11T00:00:00.000Z</x:v>
      </x:c>
      <x:c r="B137" t="str">
        <x:v>Good</x:v>
      </x:c>
      <x:c r="C137" t="str">
        <x:v>Day off</x:v>
      </x:c>
      <x:c r="D137" s="10" t="n">
        <x:v>7.56</x:v>
      </x:c>
      <x:c r="E137" s="12" t="n">
        <x:v>62198</x:v>
      </x:c>
      <x:c r="F137" s="12" t="n">
        <x:v>1305906</x:v>
      </x:c>
      <x:c r="G137" s="14" t="n">
        <x:v>148285291.23</x:v>
      </x:c>
      <x:c r="H137" t="n">
        <x:v>0</x:v>
      </x:c>
      <x:c r="I137" t="n">
        <x:f>IF(H137=0,1,0)</x:f>
        <x:v>1</x:v>
      </x:c>
      <x:c r="J137" s="16" t="n">
        <x:f>F137/E137</x:f>
        <x:v>20.995948422778866</x:v>
      </x:c>
      <x:c r="K137" s="16" t="n">
        <x:f>G137/1000/E137</x:f>
        <x:v>2.384084556255828</x:v>
      </x:c>
    </x:row>
    <x:row r="138">
      <x:c r="A138" s="8" t="d">
        <x:v>2024-05-12T00:00:00.000Z</x:v>
      </x:c>
      <x:c r="B138" t="str">
        <x:v>Moderate</x:v>
      </x:c>
      <x:c r="C138" t="str">
        <x:v>Day off</x:v>
      </x:c>
      <x:c r="D138" s="10" t="n">
        <x:v>15.28</x:v>
      </x:c>
      <x:c r="E138" s="12" t="n">
        <x:v>146930</x:v>
      </x:c>
      <x:c r="F138" s="12" t="n">
        <x:v>4301794</x:v>
      </x:c>
      <x:c r="G138" s="14" t="n">
        <x:v>486658039.41</x:v>
      </x:c>
      <x:c r="H138" t="n">
        <x:v>0</x:v>
      </x:c>
      <x:c r="I138" t="n">
        <x:f>IF(H138=0,1,0)</x:f>
        <x:v>1</x:v>
      </x:c>
      <x:c r="J138" s="16" t="n">
        <x:f>F138/E138</x:f>
        <x:v>29.277846593616008</x:v>
      </x:c>
      <x:c r="K138" s="16" t="n">
        <x:f>G138/1000/E138</x:f>
        <x:v>3.3121761342816307</x:v>
      </x:c>
    </x:row>
    <x:row r="139">
      <x:c r="A139" s="8" t="d">
        <x:v>2024-05-13T00:00:00.000Z</x:v>
      </x:c>
      <x:c r="B139" t="str">
        <x:v>Good</x:v>
      </x:c>
      <x:c r="C139" t="str">
        <x:v>Workday</x:v>
      </x:c>
      <x:c r="D139" s="10" t="n">
        <x:v>13.52</x:v>
      </x:c>
      <x:c r="E139" s="12" t="n">
        <x:v>182533</x:v>
      </x:c>
      <x:c r="F139" s="12" t="n">
        <x:v>3872190</x:v>
      </x:c>
      <x:c r="G139" s="14" t="n">
        <x:v>464388961.97</x:v>
      </x:c>
      <x:c r="H139" t="n">
        <x:v>0</x:v>
      </x:c>
      <x:c r="I139" t="n">
        <x:f>IF(H139=0,1,0)</x:f>
        <x:v>1</x:v>
      </x:c>
      <x:c r="J139" s="16" t="n">
        <x:f>F139/E139</x:f>
        <x:v>21.213643560342515</x:v>
      </x:c>
      <x:c r="K139" s="16" t="n">
        <x:f>G139/1000/E139</x:f>
        <x:v>2.544137016155983</x:v>
      </x:c>
    </x:row>
    <x:row r="140">
      <x:c r="A140" s="8" t="d">
        <x:v>2024-05-14T00:00:00.000Z</x:v>
      </x:c>
      <x:c r="B140" t="str">
        <x:v>Good</x:v>
      </x:c>
      <x:c r="C140" t="str">
        <x:v>Workday</x:v>
      </x:c>
      <x:c r="D140" s="10" t="n">
        <x:v>13.4</x:v>
      </x:c>
      <x:c r="E140" s="12" t="n">
        <x:v>192259</x:v>
      </x:c>
      <x:c r="F140" s="12" t="n">
        <x:v>4138618</x:v>
      </x:c>
      <x:c r="G140" s="14" t="n">
        <x:v>490965915.08</x:v>
      </x:c>
      <x:c r="H140" t="n">
        <x:v>0</x:v>
      </x:c>
      <x:c r="I140" t="n">
        <x:f>IF(H140=0,1,0)</x:f>
        <x:v>1</x:v>
      </x:c>
      <x:c r="J140" s="16" t="n">
        <x:f>F140/E140</x:f>
        <x:v>21.526264050057474</x:v>
      </x:c>
      <x:c r="K140" s="16" t="n">
        <x:f>G140/1000/E140</x:f>
        <x:v>2.5536693474947856</x:v>
      </x:c>
    </x:row>
    <x:row r="141">
      <x:c r="A141" s="8" t="d">
        <x:v>2024-05-15T00:00:00.000Z</x:v>
      </x:c>
      <x:c r="B141" t="str">
        <x:v>Good</x:v>
      </x:c>
      <x:c r="C141" t="str">
        <x:v>Day off</x:v>
      </x:c>
      <x:c r="D141" s="10" t="n">
        <x:v>7.52</x:v>
      </x:c>
      <x:c r="E141" s="12" t="n">
        <x:v>54561</x:v>
      </x:c>
      <x:c r="F141" s="12" t="n">
        <x:v>1241823</x:v>
      </x:c>
      <x:c r="G141" s="14" t="n">
        <x:v>148645060.11</x:v>
      </x:c>
      <x:c r="H141" t="n">
        <x:v>0</x:v>
      </x:c>
      <x:c r="I141" t="n">
        <x:f>IF(H141=0,1,0)</x:f>
        <x:v>1</x:v>
      </x:c>
      <x:c r="J141" s="16" t="n">
        <x:f>F141/E141</x:f>
        <x:v>22.760268323527793</x:v>
      </x:c>
      <x:c r="K141" s="16" t="n">
        <x:f>G141/1000/E141</x:f>
        <x:v>2.7243829861989335</x:v>
      </x:c>
    </x:row>
    <x:row r="142">
      <x:c r="A142" s="8" t="d">
        <x:v>2024-05-16T00:00:00.000Z</x:v>
      </x:c>
      <x:c r="B142" t="str">
        <x:v>Good</x:v>
      </x:c>
      <x:c r="C142" t="str">
        <x:v>Workday</x:v>
      </x:c>
      <x:c r="D142" s="10" t="n">
        <x:v>6.16</x:v>
      </x:c>
      <x:c r="E142" s="12" t="n">
        <x:v>171716</x:v>
      </x:c>
      <x:c r="F142" s="12" t="n">
        <x:v>3680477</x:v>
      </x:c>
      <x:c r="G142" s="14" t="n">
        <x:v>432581857.54</x:v>
      </x:c>
      <x:c r="H142" t="n">
        <x:v>0</x:v>
      </x:c>
      <x:c r="I142" t="n">
        <x:f>IF(H142=0,1,0)</x:f>
        <x:v>1</x:v>
      </x:c>
      <x:c r="J142" s="16" t="n">
        <x:f>F142/E142</x:f>
        <x:v>21.433512311025183</x:v>
      </x:c>
      <x:c r="K142" s="16" t="n">
        <x:f>G142/1000/E142</x:f>
        <x:v>2.5191703600130446</x:v>
      </x:c>
    </x:row>
    <x:row r="143">
      <x:c r="A143" s="8" t="d">
        <x:v>2024-05-17T00:00:00.000Z</x:v>
      </x:c>
      <x:c r="B143" t="str">
        <x:v>Moderate</x:v>
      </x:c>
      <x:c r="C143" t="str">
        <x:v>Workday</x:v>
      </x:c>
      <x:c r="D143" s="10" t="n">
        <x:v>18.92</x:v>
      </x:c>
      <x:c r="E143" s="12" t="n">
        <x:v>190743</x:v>
      </x:c>
      <x:c r="F143" s="12" t="n">
        <x:v>4137261</x:v>
      </x:c>
      <x:c r="G143" s="14" t="n">
        <x:v>486945951</x:v>
      </x:c>
      <x:c r="H143" t="n">
        <x:v>0</x:v>
      </x:c>
      <x:c r="I143" t="n">
        <x:f>IF(H143=0,1,0)</x:f>
        <x:v>1</x:v>
      </x:c>
      <x:c r="J143" s="16" t="n">
        <x:f>F143/E143</x:f>
        <x:v>21.690237649612307</x:v>
      </x:c>
      <x:c r="K143" s="16" t="n">
        <x:f>G143/1000/E143</x:f>
        <x:v>2.5528902816879255</x:v>
      </x:c>
    </x:row>
    <x:row r="144">
      <x:c r="A144" s="8" t="d">
        <x:v>2024-05-18T00:00:00.000Z</x:v>
      </x:c>
      <x:c r="B144" t="str">
        <x:v>Good</x:v>
      </x:c>
      <x:c r="C144" t="str">
        <x:v>Day off</x:v>
      </x:c>
      <x:c r="D144" s="10" t="n">
        <x:v>11.16</x:v>
      </x:c>
      <x:c r="E144" s="12" t="n">
        <x:v>169965</x:v>
      </x:c>
      <x:c r="F144" s="12" t="n">
        <x:v>4673896</x:v>
      </x:c>
      <x:c r="G144" s="14" t="n">
        <x:v>525049519.73</x:v>
      </x:c>
      <x:c r="H144" t="n">
        <x:v>0</x:v>
      </x:c>
      <x:c r="I144" t="n">
        <x:f>IF(H144=0,1,0)</x:f>
        <x:v>1</x:v>
      </x:c>
      <x:c r="J144" s="16" t="n">
        <x:f>F144/E144</x:f>
        <x:v>27.49916747565675</x:v>
      </x:c>
      <x:c r="K144" s="16" t="n">
        <x:f>G144/1000/E144</x:f>
        <x:v>3.0891625907098526</x:v>
      </x:c>
    </x:row>
    <x:row r="145">
      <x:c r="A145" s="8" t="d">
        <x:v>2024-05-19T00:00:00.000Z</x:v>
      </x:c>
      <x:c r="B145" t="str">
        <x:v>Good</x:v>
      </x:c>
      <x:c r="C145" t="str">
        <x:v>Day off</x:v>
      </x:c>
      <x:c r="D145" s="10" t="n">
        <x:v>11.24</x:v>
      </x:c>
      <x:c r="E145" s="12" t="n">
        <x:v>152131</x:v>
      </x:c>
      <x:c r="F145" s="12" t="n">
        <x:v>4303009</x:v>
      </x:c>
      <x:c r="G145" s="14" t="n">
        <x:v>497054538.27</x:v>
      </x:c>
      <x:c r="H145" t="n">
        <x:v>0</x:v>
      </x:c>
      <x:c r="I145" t="n">
        <x:f>IF(H145=0,1,0)</x:f>
        <x:v>1</x:v>
      </x:c>
      <x:c r="J145" s="16" t="n">
        <x:f>F145/E145</x:f>
        <x:v>28.284892625434658</x:v>
      </x:c>
      <x:c r="K145" s="16" t="n">
        <x:f>G145/1000/E145</x:f>
        <x:v>3.2672797672400757</x:v>
      </x:c>
    </x:row>
    <x:row r="146">
      <x:c r="A146" s="8" t="d">
        <x:v>2024-05-20T00:00:00.000Z</x:v>
      </x:c>
      <x:c r="B146" t="str">
        <x:v>Moderate</x:v>
      </x:c>
      <x:c r="C146" t="str">
        <x:v>Workday</x:v>
      </x:c>
      <x:c r="D146" s="10" t="n">
        <x:v>16.08</x:v>
      </x:c>
      <x:c r="E146" s="12" t="n">
        <x:v>178251</x:v>
      </x:c>
      <x:c r="F146" s="12" t="n">
        <x:v>3703242</x:v>
      </x:c>
      <x:c r="G146" s="14" t="n">
        <x:v>443888565.8</x:v>
      </x:c>
      <x:c r="H146" t="n">
        <x:v>0</x:v>
      </x:c>
      <x:c r="I146" t="n">
        <x:f>IF(H146=0,1,0)</x:f>
        <x:v>1</x:v>
      </x:c>
      <x:c r="J146" s="16" t="n">
        <x:f>F146/E146</x:f>
        <x:v>20.77543463991787</x:v>
      </x:c>
      <x:c r="K146" s="16" t="n">
        <x:f>G146/1000/E146</x:f>
        <x:v>2.490244463144667</x:v>
      </x:c>
    </x:row>
    <x:row r="147">
      <x:c r="A147" s="8" t="d">
        <x:v>2024-05-21T00:00:00.000Z</x:v>
      </x:c>
      <x:c r="B147" t="str">
        <x:v>Moderate</x:v>
      </x:c>
      <x:c r="C147" t="str">
        <x:v>Workday</x:v>
      </x:c>
      <x:c r="D147" s="10" t="n">
        <x:v>27.12</x:v>
      </x:c>
      <x:c r="E147" s="12" t="n">
        <x:v>186294</x:v>
      </x:c>
      <x:c r="F147" s="12" t="n">
        <x:v>3891087</x:v>
      </x:c>
      <x:c r="G147" s="14" t="n">
        <x:v>465295410.06</x:v>
      </x:c>
      <x:c r="H147" t="n">
        <x:v>0</x:v>
      </x:c>
      <x:c r="I147" t="n">
        <x:f>IF(H147=0,1,0)</x:f>
        <x:v>1</x:v>
      </x:c>
      <x:c r="J147" s="16" t="n">
        <x:f>F147/E147</x:f>
        <x:v>20.886807948726208</x:v>
      </x:c>
      <x:c r="K147" s="16" t="n">
        <x:f>G147/1000/E147</x:f>
        <x:v>2.497640343006216</x:v>
      </x:c>
    </x:row>
    <x:row r="148">
      <x:c r="A148" s="8" t="d">
        <x:v>2024-05-22T00:00:00.000Z</x:v>
      </x:c>
      <x:c r="B148" t="str">
        <x:v>Bad</x:v>
      </x:c>
      <x:c r="C148" t="str">
        <x:v>Workday</x:v>
      </x:c>
      <x:c r="D148" s="10" t="n">
        <x:v>35.28</x:v>
      </x:c>
      <x:c r="E148" s="12" t="n">
        <x:v>186670</x:v>
      </x:c>
      <x:c r="F148" s="12" t="n">
        <x:v>3855343</x:v>
      </x:c>
      <x:c r="G148" s="14" t="n">
        <x:v>462493564.85</x:v>
      </x:c>
      <x:c r="H148" t="n">
        <x:v>0</x:v>
      </x:c>
      <x:c r="I148" t="n">
        <x:f>IF(H148=0,1,0)</x:f>
        <x:v>1</x:v>
      </x:c>
      <x:c r="J148" s="16" t="n">
        <x:f>F148/E148</x:f>
        <x:v>20.653254406171317</x:v>
      </x:c>
      <x:c r="K148" s="16" t="n">
        <x:f>G148/1000/E148</x:f>
        <x:v>2.4775998545561686</x:v>
      </x:c>
    </x:row>
    <x:row r="149">
      <x:c r="A149" s="8" t="d">
        <x:v>2024-05-23T00:00:00.000Z</x:v>
      </x:c>
      <x:c r="B149" t="str">
        <x:v>Moderate</x:v>
      </x:c>
      <x:c r="C149" t="str">
        <x:v>Workday</x:v>
      </x:c>
      <x:c r="D149" s="10" t="n">
        <x:v>18.6</x:v>
      </x:c>
      <x:c r="E149" s="12" t="n">
        <x:v>185654</x:v>
      </x:c>
      <x:c r="F149" s="12" t="n">
        <x:v>3837885</x:v>
      </x:c>
      <x:c r="G149" s="14" t="n">
        <x:v>459203543.61</x:v>
      </x:c>
      <x:c r="H149" t="n">
        <x:v>0</x:v>
      </x:c>
      <x:c r="I149" t="n">
        <x:f>IF(H149=0,1,0)</x:f>
        <x:v>1</x:v>
      </x:c>
      <x:c r="J149" s="16" t="n">
        <x:f>F149/E149</x:f>
        <x:v>20.67224514419296</x:v>
      </x:c>
      <x:c r="K149" s="16" t="n">
        <x:f>G149/1000/E149</x:f>
        <x:v>2.473437381419199</x:v>
      </x:c>
    </x:row>
    <x:row r="150">
      <x:c r="A150" s="8" t="d">
        <x:v>2024-05-24T00:00:00.000Z</x:v>
      </x:c>
      <x:c r="B150" t="str">
        <x:v>Moderate</x:v>
      </x:c>
      <x:c r="C150" t="str">
        <x:v>Workday</x:v>
      </x:c>
      <x:c r="D150" s="10" t="n">
        <x:v>24.56</x:v>
      </x:c>
      <x:c r="E150" s="12" t="n">
        <x:v>189912</x:v>
      </x:c>
      <x:c r="F150" s="12" t="n">
        <x:v>4053950</x:v>
      </x:c>
      <x:c r="G150" s="14" t="n">
        <x:v>476177273.53</x:v>
      </x:c>
      <x:c r="H150" t="n">
        <x:v>0</x:v>
      </x:c>
      <x:c r="I150" t="n">
        <x:f>IF(H150=0,1,0)</x:f>
        <x:v>1</x:v>
      </x:c>
      <x:c r="J150" s="16" t="n">
        <x:f>F150/E150</x:f>
        <x:v>21.346465731496693</x:v>
      </x:c>
      <x:c r="K150" s="16" t="n">
        <x:f>G150/1000/E150</x:f>
        <x:v>2.507357478884957</x:v>
      </x:c>
    </x:row>
    <x:row r="151">
      <x:c r="A151" s="8" t="d">
        <x:v>2024-05-25T00:00:00.000Z</x:v>
      </x:c>
      <x:c r="B151" t="str">
        <x:v>Moderate</x:v>
      </x:c>
      <x:c r="C151" t="str">
        <x:v>Day off</x:v>
      </x:c>
      <x:c r="D151" s="10" t="n">
        <x:v>18.68</x:v>
      </x:c>
      <x:c r="E151" s="12" t="n">
        <x:v>167421</x:v>
      </x:c>
      <x:c r="F151" s="12" t="n">
        <x:v>4407051</x:v>
      </x:c>
      <x:c r="G151" s="14" t="n">
        <x:v>499685256.34</x:v>
      </x:c>
      <x:c r="H151" t="n">
        <x:v>0</x:v>
      </x:c>
      <x:c r="I151" t="n">
        <x:f>IF(H151=0,1,0)</x:f>
        <x:v>1</x:v>
      </x:c>
      <x:c r="J151" s="16" t="n">
        <x:f>F151/E151</x:f>
        <x:v>26.32316734459835</x:v>
      </x:c>
      <x:c r="K151" s="16" t="n">
        <x:f>G151/1000/E151</x:f>
        <x:v>2.98460322384886</x:v>
      </x:c>
    </x:row>
    <x:row r="152">
      <x:c r="A152" s="8" t="d">
        <x:v>2024-05-26T00:00:00.000Z</x:v>
      </x:c>
      <x:c r="B152" t="str">
        <x:v>Good</x:v>
      </x:c>
      <x:c r="C152" t="str">
        <x:v>Day off</x:v>
      </x:c>
      <x:c r="D152" s="10" t="n">
        <x:v>12.88</x:v>
      </x:c>
      <x:c r="E152" s="12" t="n">
        <x:v>62694</x:v>
      </x:c>
      <x:c r="F152" s="12" t="n">
        <x:v>1467989</x:v>
      </x:c>
      <x:c r="G152" s="14" t="n">
        <x:v>173259092.12</x:v>
      </x:c>
      <x:c r="H152" t="n">
        <x:v>0</x:v>
      </x:c>
      <x:c r="I152" t="n">
        <x:f>IF(H152=0,1,0)</x:f>
        <x:v>1</x:v>
      </x:c>
      <x:c r="J152" s="16" t="n">
        <x:f>F152/E152</x:f>
        <x:v>23.415143394902223</x:v>
      </x:c>
      <x:c r="K152" s="16" t="n">
        <x:f>G152/1000/E152</x:f>
        <x:v>2.7635673608319777</x:v>
      </x:c>
    </x:row>
    <x:row r="153">
      <x:c r="A153" s="8" t="d">
        <x:v>2024-05-27T00:00:00.000Z</x:v>
      </x:c>
      <x:c r="B153" t="str">
        <x:v>Good</x:v>
      </x:c>
      <x:c r="C153" t="str">
        <x:v>Workday</x:v>
      </x:c>
      <x:c r="D153" s="10" t="n">
        <x:v>9.72</x:v>
      </x:c>
      <x:c r="E153" s="12" t="n">
        <x:v>179250</x:v>
      </x:c>
      <x:c r="F153" s="12" t="n">
        <x:v>3809502</x:v>
      </x:c>
      <x:c r="G153" s="14" t="n">
        <x:v>454524035.05</x:v>
      </x:c>
      <x:c r="H153" t="n">
        <x:v>0</x:v>
      </x:c>
      <x:c r="I153" t="n">
        <x:f>IF(H153=0,1,0)</x:f>
        <x:v>1</x:v>
      </x:c>
      <x:c r="J153" s="16" t="n">
        <x:f>F153/E153</x:f>
        <x:v>21.25245188284519</x:v>
      </x:c>
      <x:c r="K153" s="16" t="n">
        <x:f>G153/1000/E153</x:f>
        <x:v>2.535698940306834</x:v>
      </x:c>
    </x:row>
    <x:row r="154">
      <x:c r="A154" s="8" t="d">
        <x:v>2024-05-28T00:00:00.000Z</x:v>
      </x:c>
      <x:c r="B154" t="str">
        <x:v>Good</x:v>
      </x:c>
      <x:c r="C154" t="str">
        <x:v>Workday</x:v>
      </x:c>
      <x:c r="D154" s="10" t="n">
        <x:v>6.76</x:v>
      </x:c>
      <x:c r="E154" s="12" t="n">
        <x:v>193341</x:v>
      </x:c>
      <x:c r="F154" s="12" t="n">
        <x:v>4105596</x:v>
      </x:c>
      <x:c r="G154" s="14" t="n">
        <x:v>492414459.1</x:v>
      </x:c>
      <x:c r="H154" t="n">
        <x:v>0</x:v>
      </x:c>
      <x:c r="I154" t="n">
        <x:f>IF(H154=0,1,0)</x:f>
        <x:v>1</x:v>
      </x:c>
      <x:c r="J154" s="16" t="n">
        <x:f>F154/E154</x:f>
        <x:v>21.234999301751827</x:v>
      </x:c>
      <x:c r="K154" s="16" t="n">
        <x:f>G154/1000/E154</x:f>
        <x:v>2.5468703435898234</x:v>
      </x:c>
    </x:row>
    <x:row r="155">
      <x:c r="A155" s="8" t="d">
        <x:v>2024-05-29T00:00:00.000Z</x:v>
      </x:c>
      <x:c r="B155" t="str">
        <x:v>Good</x:v>
      </x:c>
      <x:c r="C155" t="str">
        <x:v>Workday</x:v>
      </x:c>
      <x:c r="D155" s="10" t="n">
        <x:v>11.6</x:v>
      </x:c>
      <x:c r="E155" s="12" t="n">
        <x:v>189814</x:v>
      </x:c>
      <x:c r="F155" s="12" t="n">
        <x:v>3930662</x:v>
      </x:c>
      <x:c r="G155" s="14" t="n">
        <x:v>473280191.84</x:v>
      </x:c>
      <x:c r="H155" t="n">
        <x:v>0</x:v>
      </x:c>
      <x:c r="I155" t="n">
        <x:f>IF(H155=0,1,0)</x:f>
        <x:v>1</x:v>
      </x:c>
      <x:c r="J155" s="16" t="n">
        <x:f>F155/E155</x:f>
        <x:v>20.70796674639384</x:v>
      </x:c>
      <x:c r="K155" s="16" t="n">
        <x:f>G155/1000/E155</x:f>
        <x:v>2.4933892749744486</x:v>
      </x:c>
    </x:row>
    <x:row r="156">
      <x:c r="A156" s="8" t="d">
        <x:v>2024-05-30T00:00:00.000Z</x:v>
      </x:c>
      <x:c r="B156" t="str">
        <x:v>Good</x:v>
      </x:c>
      <x:c r="C156" t="str">
        <x:v>Workday</x:v>
      </x:c>
      <x:c r="D156" s="10" t="n">
        <x:v>14.56</x:v>
      </x:c>
      <x:c r="E156" s="12" t="n">
        <x:v>187446</x:v>
      </x:c>
      <x:c r="F156" s="12" t="n">
        <x:v>3839383</x:v>
      </x:c>
      <x:c r="G156" s="14" t="n">
        <x:v>462590325.42</x:v>
      </x:c>
      <x:c r="H156" t="n">
        <x:v>0</x:v>
      </x:c>
      <x:c r="I156" t="n">
        <x:f>IF(H156=0,1,0)</x:f>
        <x:v>1</x:v>
      </x:c>
      <x:c r="J156" s="16" t="n">
        <x:f>F156/E156</x:f>
        <x:v>20.482608324530798</x:v>
      </x:c>
      <x:c r="K156" s="16" t="n">
        <x:f>G156/1000/E156</x:f>
        <x:v>2.467859145673954</x:v>
      </x:c>
    </x:row>
    <x:row r="157">
      <x:c r="A157" s="8" t="d">
        <x:v>2024-05-31T00:00:00.000Z</x:v>
      </x:c>
      <x:c r="B157" t="str">
        <x:v>Good</x:v>
      </x:c>
      <x:c r="C157" t="str">
        <x:v>Workday</x:v>
      </x:c>
      <x:c r="D157" s="10" t="n">
        <x:v>13.24</x:v>
      </x:c>
      <x:c r="E157" s="12" t="n">
        <x:v>186890</x:v>
      </x:c>
      <x:c r="F157" s="12" t="n">
        <x:v>3898773</x:v>
      </x:c>
      <x:c r="G157" s="14" t="n">
        <x:v>456344341.47</x:v>
      </x:c>
      <x:c r="H157" t="n">
        <x:v>0</x:v>
      </x:c>
      <x:c r="I157" t="n">
        <x:f>IF(H157=0,1,0)</x:f>
        <x:v>1</x:v>
      </x:c>
      <x:c r="J157" s="16" t="n">
        <x:f>F157/E157</x:f>
        <x:v>20.861324843490824</x:v>
      </x:c>
      <x:c r="K157" s="16" t="n">
        <x:f>G157/1000/E157</x:f>
        <x:v>2.441780413451763</x:v>
      </x:c>
    </x:row>
    <x:row r="158">
      <x:c r="A158" s="8" t="d">
        <x:v>2024-06-01T00:00:00.000Z</x:v>
      </x:c>
      <x:c r="B158" t="str">
        <x:v>Good</x:v>
      </x:c>
      <x:c r="C158" t="str">
        <x:v>Day off</x:v>
      </x:c>
      <x:c r="D158" s="10" t="n">
        <x:v>13.76</x:v>
      </x:c>
      <x:c r="E158" s="12" t="n">
        <x:v>167882</x:v>
      </x:c>
      <x:c r="F158" s="12" t="n">
        <x:v>4437190</x:v>
      </x:c>
      <x:c r="G158" s="14" t="n">
        <x:v>500558194.6</x:v>
      </x:c>
      <x:c r="H158" t="n">
        <x:v>0</x:v>
      </x:c>
      <x:c r="I158" t="n">
        <x:f>IF(H158=0,1,0)</x:f>
        <x:v>1</x:v>
      </x:c>
      <x:c r="J158" s="16" t="n">
        <x:f>F158/E158</x:f>
        <x:v>26.43040945425954</x:v>
      </x:c>
      <x:c r="K158" s="16" t="n">
        <x:f>G158/1000/E158</x:f>
        <x:v>2.981607287261291</x:v>
      </x:c>
    </x:row>
    <x:row r="159">
      <x:c r="A159" s="8" t="d">
        <x:v>2024-06-02T00:00:00.000Z</x:v>
      </x:c>
      <x:c r="B159" t="str">
        <x:v>Good</x:v>
      </x:c>
      <x:c r="C159" t="str">
        <x:v>Day off</x:v>
      </x:c>
      <x:c r="D159" s="10" t="n">
        <x:v>9.72</x:v>
      </x:c>
      <x:c r="E159" s="12" t="n">
        <x:v>154179</x:v>
      </x:c>
      <x:c r="F159" s="12" t="n">
        <x:v>4221040</x:v>
      </x:c>
      <x:c r="G159" s="14" t="n">
        <x:v>486492216.83</x:v>
      </x:c>
      <x:c r="H159" t="n">
        <x:v>0</x:v>
      </x:c>
      <x:c r="I159" t="n">
        <x:f>IF(H159=0,1,0)</x:f>
        <x:v>1</x:v>
      </x:c>
      <x:c r="J159" s="16" t="n">
        <x:f>F159/E159</x:f>
        <x:v>27.37752871662159</x:v>
      </x:c>
      <x:c r="K159" s="16" t="n">
        <x:f>G159/1000/E159</x:f>
        <x:v>3.1553727604278143</x:v>
      </x:c>
    </x:row>
    <x:row r="160">
      <x:c r="A160" s="8" t="d">
        <x:v>2024-06-03T00:00:00.000Z</x:v>
      </x:c>
      <x:c r="B160" t="str">
        <x:v>Good</x:v>
      </x:c>
      <x:c r="C160" t="str">
        <x:v>Workday</x:v>
      </x:c>
      <x:c r="D160" s="10" t="n">
        <x:v>6.84</x:v>
      </x:c>
      <x:c r="E160" s="12" t="n">
        <x:v>187320</x:v>
      </x:c>
      <x:c r="F160" s="12" t="n">
        <x:v>3878887</x:v>
      </x:c>
      <x:c r="G160" s="14" t="n">
        <x:v>469522323.02</x:v>
      </x:c>
      <x:c r="H160" t="n">
        <x:v>0</x:v>
      </x:c>
      <x:c r="I160" t="n">
        <x:f>IF(H160=0,1,0)</x:f>
        <x:v>1</x:v>
      </x:c>
      <x:c r="J160" s="16" t="n">
        <x:f>F160/E160</x:f>
        <x:v>20.707276318599188</x:v>
      </x:c>
      <x:c r="K160" s="16" t="n">
        <x:f>G160/1000/E160</x:f>
        <x:v>2.506525320414264</x:v>
      </x:c>
    </x:row>
    <x:row r="161">
      <x:c r="A161" s="8" t="d">
        <x:v>2024-06-04T00:00:00.000Z</x:v>
      </x:c>
      <x:c r="B161" t="str">
        <x:v>Good</x:v>
      </x:c>
      <x:c r="C161" t="str">
        <x:v>Workday</x:v>
      </x:c>
      <x:c r="D161" s="10" t="n">
        <x:v>8.16</x:v>
      </x:c>
      <x:c r="E161" s="12" t="n">
        <x:v>194251</x:v>
      </x:c>
      <x:c r="F161" s="12" t="n">
        <x:v>3977731</x:v>
      </x:c>
      <x:c r="G161" s="14" t="n">
        <x:v>479278203.95</x:v>
      </x:c>
      <x:c r="H161" t="n">
        <x:v>0</x:v>
      </x:c>
      <x:c r="I161" t="n">
        <x:f>IF(H161=0,1,0)</x:f>
        <x:v>1</x:v>
      </x:c>
      <x:c r="J161" s="16" t="n">
        <x:f>F161/E161</x:f>
        <x:v>20.47727424826642</x:v>
      </x:c>
      <x:c r="K161" s="16" t="n">
        <x:f>G161/1000/E161</x:f>
        <x:v>2.467313959516296</x:v>
      </x:c>
    </x:row>
    <x:row r="162">
      <x:c r="A162" s="8" t="d">
        <x:v>2024-06-05T00:00:00.000Z</x:v>
      </x:c>
      <x:c r="B162" t="str">
        <x:v>Moderate</x:v>
      </x:c>
      <x:c r="C162" t="str">
        <x:v>Workday</x:v>
      </x:c>
      <x:c r="D162" s="10" t="n">
        <x:v>21.68</x:v>
      </x:c>
      <x:c r="E162" s="12" t="n">
        <x:v>193161</x:v>
      </x:c>
      <x:c r="F162" s="12" t="n">
        <x:v>3946869</x:v>
      </x:c>
      <x:c r="G162" s="14" t="n">
        <x:v>465533159.83</x:v>
      </x:c>
      <x:c r="H162" t="n">
        <x:v>0</x:v>
      </x:c>
      <x:c r="I162" t="n">
        <x:f>IF(H162=0,1,0)</x:f>
        <x:v>1</x:v>
      </x:c>
      <x:c r="J162" s="16" t="n">
        <x:f>F162/E162</x:f>
        <x:v>20.43305325609207</x:v>
      </x:c>
      <x:c r="K162" s="16" t="n">
        <x:f>G162/1000/E162</x:f>
        <x:v>2.410078431101516</x:v>
      </x:c>
    </x:row>
    <x:row r="163">
      <x:c r="A163" s="8" t="d">
        <x:v>2024-06-06T00:00:00.000Z</x:v>
      </x:c>
      <x:c r="B163" t="str">
        <x:v>Moderate</x:v>
      </x:c>
      <x:c r="C163" t="str">
        <x:v>Day off</x:v>
      </x:c>
      <x:c r="D163" s="10" t="n">
        <x:v>27.72</x:v>
      </x:c>
      <x:c r="E163" s="12" t="n">
        <x:v>150186</x:v>
      </x:c>
      <x:c r="F163" s="12" t="n">
        <x:v>3863353</x:v>
      </x:c>
      <x:c r="G163" s="14" t="n">
        <x:v>448670746.94</x:v>
      </x:c>
      <x:c r="H163" t="n">
        <x:v>0</x:v>
      </x:c>
      <x:c r="I163" t="n">
        <x:f>IF(H163=0,1,0)</x:f>
        <x:v>1</x:v>
      </x:c>
      <x:c r="J163" s="16" t="n">
        <x:f>F163/E163</x:f>
        <x:v>25.723789168098225</x:v>
      </x:c>
      <x:c r="K163" s="16" t="n">
        <x:f>G163/1000/E163</x:f>
        <x:v>2.9874338949036527</x:v>
      </x:c>
    </x:row>
    <x:row r="164">
      <x:c r="A164" s="8" t="d">
        <x:v>2024-06-07T00:00:00.000Z</x:v>
      </x:c>
      <x:c r="B164" t="str">
        <x:v>Moderate</x:v>
      </x:c>
      <x:c r="C164" t="str">
        <x:v>Workday</x:v>
      </x:c>
      <x:c r="D164" s="10" t="n">
        <x:v>18.84</x:v>
      </x:c>
      <x:c r="E164" s="12" t="n">
        <x:v>176149</x:v>
      </x:c>
      <x:c r="F164" s="12" t="n">
        <x:v>3731022</x:v>
      </x:c>
      <x:c r="G164" s="14" t="n">
        <x:v>432076745.76</x:v>
      </x:c>
      <x:c r="H164" t="n">
        <x:v>0</x:v>
      </x:c>
      <x:c r="I164" t="n">
        <x:f>IF(H164=0,1,0)</x:f>
        <x:v>1</x:v>
      </x:c>
      <x:c r="J164" s="16" t="n">
        <x:f>F164/E164</x:f>
        <x:v>21.181056946108125</x:v>
      </x:c>
      <x:c r="K164" s="16" t="n">
        <x:f>G164/1000/E164</x:f>
        <x:v>2.4529049030082484</x:v>
      </x:c>
    </x:row>
    <x:row r="165">
      <x:c r="A165" s="8" t="d">
        <x:v>2024-06-08T00:00:00.000Z</x:v>
      </x:c>
      <x:c r="B165" t="str">
        <x:v>Moderate</x:v>
      </x:c>
      <x:c r="C165" t="str">
        <x:v>Day off</x:v>
      </x:c>
      <x:c r="D165" s="10" t="n">
        <x:v>16.48</x:v>
      </x:c>
      <x:c r="E165" s="12" t="n">
        <x:v>108167</x:v>
      </x:c>
      <x:c r="F165" s="12" t="n">
        <x:v>2828922</x:v>
      </x:c>
      <x:c r="G165" s="14" t="n">
        <x:v>324405786.95</x:v>
      </x:c>
      <x:c r="H165" t="n">
        <x:v>0</x:v>
      </x:c>
      <x:c r="I165" t="n">
        <x:f>IF(H165=0,1,0)</x:f>
        <x:v>1</x:v>
      </x:c>
      <x:c r="J165" s="16" t="n">
        <x:f>F165/E165</x:f>
        <x:v>26.153281499902928</x:v>
      </x:c>
      <x:c r="K165" s="16" t="n">
        <x:f>G165/1000/E165</x:f>
        <x:v>2.9991197587988943</x:v>
      </x:c>
    </x:row>
    <x:row r="166">
      <x:c r="A166" s="8" t="d">
        <x:v>2024-06-09T00:00:00.000Z</x:v>
      </x:c>
      <x:c r="B166" t="str">
        <x:v>Moderate</x:v>
      </x:c>
      <x:c r="C166" t="str">
        <x:v>Day off</x:v>
      </x:c>
      <x:c r="D166" s="10" t="n">
        <x:v>18.12</x:v>
      </x:c>
      <x:c r="E166" s="12" t="n">
        <x:v>144223</x:v>
      </x:c>
      <x:c r="F166" s="12" t="n">
        <x:v>3791238</x:v>
      </x:c>
      <x:c r="G166" s="14" t="n">
        <x:v>445463481.32</x:v>
      </x:c>
      <x:c r="H166" t="n">
        <x:v>0</x:v>
      </x:c>
      <x:c r="I166" t="n">
        <x:f>IF(H166=0,1,0)</x:f>
        <x:v>1</x:v>
      </x:c>
      <x:c r="J166" s="16" t="n">
        <x:f>F166/E166</x:f>
        <x:v>26.287332810994087</x:v>
      </x:c>
      <x:c r="K166" s="16" t="n">
        <x:f>G166/1000/E166</x:f>
        <x:v>3.0887131825020977</x:v>
      </x:c>
    </x:row>
    <x:row r="167">
      <x:c r="A167" s="8" t="d">
        <x:v>2024-06-10T00:00:00.000Z</x:v>
      </x:c>
      <x:c r="B167" t="str">
        <x:v>Moderate</x:v>
      </x:c>
      <x:c r="C167" t="str">
        <x:v>Workday</x:v>
      </x:c>
      <x:c r="D167" s="10" t="n">
        <x:v>27.88</x:v>
      </x:c>
      <x:c r="E167" s="12" t="n">
        <x:v>184809</x:v>
      </x:c>
      <x:c r="F167" s="12" t="n">
        <x:v>3731763</x:v>
      </x:c>
      <x:c r="G167" s="14" t="n">
        <x:v>446651673.57</x:v>
      </x:c>
      <x:c r="H167" t="n">
        <x:v>0</x:v>
      </x:c>
      <x:c r="I167" t="n">
        <x:f>IF(H167=0,1,0)</x:f>
        <x:v>1</x:v>
      </x:c>
      <x:c r="J167" s="16" t="n">
        <x:f>F167/E167</x:f>
        <x:v>20.192539324383553</x:v>
      </x:c>
      <x:c r="K167" s="16" t="n">
        <x:f>G167/1000/E167</x:f>
        <x:v>2.4168285828612244</x:v>
      </x:c>
    </x:row>
    <x:row r="168">
      <x:c r="A168" s="8" t="d">
        <x:v>2024-06-11T00:00:00.000Z</x:v>
      </x:c>
      <x:c r="B168" t="str">
        <x:v>Bad</x:v>
      </x:c>
      <x:c r="C168" t="str">
        <x:v>Workday</x:v>
      </x:c>
      <x:c r="D168" s="10" t="n">
        <x:v>36.28</x:v>
      </x:c>
      <x:c r="E168" s="12" t="n">
        <x:v>185339</x:v>
      </x:c>
      <x:c r="F168" s="12" t="n">
        <x:v>3691323</x:v>
      </x:c>
      <x:c r="G168" s="14" t="n">
        <x:v>438168054.78</x:v>
      </x:c>
      <x:c r="H168" t="n">
        <x:v>0</x:v>
      </x:c>
      <x:c r="I168" t="n">
        <x:f>IF(H168=0,1,0)</x:f>
        <x:v>1</x:v>
      </x:c>
      <x:c r="J168" s="16" t="n">
        <x:f>F168/E168</x:f>
        <x:v>19.91660147081834</x:v>
      </x:c>
      <x:c r="K168" s="16" t="n">
        <x:f>G168/1000/E168</x:f>
        <x:v>2.3641438379402064</x:v>
      </x:c>
    </x:row>
    <x:row r="169">
      <x:c r="A169" s="8" t="d">
        <x:v>2024-06-12T00:00:00.000Z</x:v>
      </x:c>
      <x:c r="B169" t="str">
        <x:v>Moderate</x:v>
      </x:c>
      <x:c r="C169" t="str">
        <x:v>Workday</x:v>
      </x:c>
      <x:c r="D169" s="10" t="n">
        <x:v>16.44</x:v>
      </x:c>
      <x:c r="E169" s="12" t="n">
        <x:v>185735</x:v>
      </x:c>
      <x:c r="F169" s="12" t="n">
        <x:v>3711782</x:v>
      </x:c>
      <x:c r="G169" s="14" t="n">
        <x:v>441757886.21</x:v>
      </x:c>
      <x:c r="H169" t="n">
        <x:v>0</x:v>
      </x:c>
      <x:c r="I169" t="n">
        <x:f>IF(H169=0,1,0)</x:f>
        <x:v>1</x:v>
      </x:c>
      <x:c r="J169" s="16" t="n">
        <x:f>F169/E169</x:f>
        <x:v>19.98428944463887</x:v>
      </x:c>
      <x:c r="K169" s="16" t="n">
        <x:f>G169/1000/E169</x:f>
        <x:v>2.3784310238242656</x:v>
      </x:c>
    </x:row>
    <x:row r="170">
      <x:c r="A170" s="8" t="d">
        <x:v>2024-06-13T00:00:00.000Z</x:v>
      </x:c>
      <x:c r="B170" t="str">
        <x:v>Moderate</x:v>
      </x:c>
      <x:c r="C170" t="str">
        <x:v>Workday</x:v>
      </x:c>
      <x:c r="D170" s="10" t="n">
        <x:v>16.48</x:v>
      </x:c>
      <x:c r="E170" s="12" t="n">
        <x:v>180565</x:v>
      </x:c>
      <x:c r="F170" s="12" t="n">
        <x:v>3567125</x:v>
      </x:c>
      <x:c r="G170" s="14" t="n">
        <x:v>424077559.34</x:v>
      </x:c>
      <x:c r="H170" t="n">
        <x:v>0</x:v>
      </x:c>
      <x:c r="I170" t="n">
        <x:f>IF(H170=0,1,0)</x:f>
        <x:v>1</x:v>
      </x:c>
      <x:c r="J170" s="16" t="n">
        <x:f>F170/E170</x:f>
        <x:v>19.755351258549553</x:v>
      </x:c>
      <x:c r="K170" s="16" t="n">
        <x:f>G170/1000/E170</x:f>
        <x:v>2.348614401129787</x:v>
      </x:c>
    </x:row>
    <x:row r="171">
      <x:c r="A171" s="8" t="d">
        <x:v>2024-06-14T00:00:00.000Z</x:v>
      </x:c>
      <x:c r="B171" t="str">
        <x:v>Moderate</x:v>
      </x:c>
      <x:c r="C171" t="str">
        <x:v>Workday</x:v>
      </x:c>
      <x:c r="D171" s="10" t="n">
        <x:v>20.2</x:v>
      </x:c>
      <x:c r="E171" s="12" t="n">
        <x:v>184771</x:v>
      </x:c>
      <x:c r="F171" s="12" t="n">
        <x:v>3801852</x:v>
      </x:c>
      <x:c r="G171" s="14" t="n">
        <x:v>441205495.53</x:v>
      </x:c>
      <x:c r="H171" t="n">
        <x:v>0</x:v>
      </x:c>
      <x:c r="I171" t="n">
        <x:f>IF(H171=0,1,0)</x:f>
        <x:v>1</x:v>
      </x:c>
      <x:c r="J171" s="16" t="n">
        <x:f>F171/E171</x:f>
        <x:v>20.5760211288568</x:v>
      </x:c>
      <x:c r="K171" s="16" t="n">
        <x:f>G171/1000/E171</x:f>
        <x:v>2.3878503419367756</x:v>
      </x:c>
    </x:row>
    <x:row r="172">
      <x:c r="A172" s="8" t="d">
        <x:v>2024-06-15T00:00:00.000Z</x:v>
      </x:c>
      <x:c r="B172" t="str">
        <x:v>Moderate</x:v>
      </x:c>
      <x:c r="C172" t="str">
        <x:v>Day off</x:v>
      </x:c>
      <x:c r="D172" s="10" t="n">
        <x:v>18.32</x:v>
      </x:c>
      <x:c r="E172" s="12" t="n">
        <x:v>135545</x:v>
      </x:c>
      <x:c r="F172" s="12" t="n">
        <x:v>3244215</x:v>
      </x:c>
      <x:c r="G172" s="14" t="n">
        <x:v>366302840.8</x:v>
      </x:c>
      <x:c r="H172" t="n">
        <x:v>0</x:v>
      </x:c>
      <x:c r="I172" t="n">
        <x:f>IF(H172=0,1,0)</x:f>
        <x:v>1</x:v>
      </x:c>
      <x:c r="J172" s="16" t="n">
        <x:f>F172/E172</x:f>
        <x:v>23.93459736618835</x:v>
      </x:c>
      <x:c r="K172" s="16" t="n">
        <x:f>G172/1000/E172</x:f>
        <x:v>2.7024445077280608</x:v>
      </x:c>
    </x:row>
    <x:row r="173">
      <x:c r="A173" s="8" t="d">
        <x:v>2024-06-16T00:00:00.000Z</x:v>
      </x:c>
      <x:c r="B173" t="str">
        <x:v>Good</x:v>
      </x:c>
      <x:c r="C173" t="str">
        <x:v>Day off</x:v>
      </x:c>
      <x:c r="D173" s="10" t="n">
        <x:v>12.72</x:v>
      </x:c>
      <x:c r="E173" s="12" t="n">
        <x:v>138902</x:v>
      </x:c>
      <x:c r="F173" s="12" t="n">
        <x:v>3520616</x:v>
      </x:c>
      <x:c r="G173" s="14" t="n">
        <x:v>409789571.32</x:v>
      </x:c>
      <x:c r="H173" t="n">
        <x:v>0</x:v>
      </x:c>
      <x:c r="I173" t="n">
        <x:f>IF(H173=0,1,0)</x:f>
        <x:v>1</x:v>
      </x:c>
      <x:c r="J173" s="16" t="n">
        <x:f>F173/E173</x:f>
        <x:v>25.34604253358483</x:v>
      </x:c>
      <x:c r="K173" s="16" t="n">
        <x:f>G173/1000/E173</x:f>
        <x:v>2.9502064140185165</x:v>
      </x:c>
    </x:row>
    <x:row r="174">
      <x:c r="A174" s="8" t="d">
        <x:v>2024-06-17T00:00:00.000Z</x:v>
      </x:c>
      <x:c r="B174" t="str">
        <x:v>Good</x:v>
      </x:c>
      <x:c r="C174" t="str">
        <x:v>Workday</x:v>
      </x:c>
      <x:c r="D174" s="10" t="n">
        <x:v>11.24</x:v>
      </x:c>
      <x:c r="E174" s="12" t="n">
        <x:v>183972</x:v>
      </x:c>
      <x:c r="F174" s="12" t="n">
        <x:v>3713449</x:v>
      </x:c>
      <x:c r="G174" s="14" t="n">
        <x:v>445445001.56</x:v>
      </x:c>
      <x:c r="H174" t="n">
        <x:v>0</x:v>
      </x:c>
      <x:c r="I174" t="n">
        <x:f>IF(H174=0,1,0)</x:f>
        <x:v>1</x:v>
      </x:c>
      <x:c r="J174" s="16" t="n">
        <x:f>F174/E174</x:f>
        <x:v>20.184859652555822</x:v>
      </x:c>
      <x:c r="K174" s="16" t="n">
        <x:f>G174/1000/E174</x:f>
        <x:v>2.421265201008849</x:v>
      </x:c>
    </x:row>
    <x:row r="175">
      <x:c r="A175" s="8" t="d">
        <x:v>2024-06-18T00:00:00.000Z</x:v>
      </x:c>
      <x:c r="B175" t="str">
        <x:v>Good</x:v>
      </x:c>
      <x:c r="C175" t="str">
        <x:v>Workday</x:v>
      </x:c>
      <x:c r="D175" s="10" t="n">
        <x:v>14.28</x:v>
      </x:c>
      <x:c r="E175" s="12" t="n">
        <x:v>185037</x:v>
      </x:c>
      <x:c r="F175" s="12" t="n">
        <x:v>3680230</x:v>
      </x:c>
      <x:c r="G175" s="14" t="n">
        <x:v>440682667.6</x:v>
      </x:c>
      <x:c r="H175" t="n">
        <x:v>0</x:v>
      </x:c>
      <x:c r="I175" t="n">
        <x:f>IF(H175=0,1,0)</x:f>
        <x:v>1</x:v>
      </x:c>
      <x:c r="J175" s="16" t="n">
        <x:f>F175/E175</x:f>
        <x:v>19.8891573036744</x:v>
      </x:c>
      <x:c r="K175" s="16" t="n">
        <x:f>G175/1000/E175</x:f>
        <x:v>2.3815921550824974</x:v>
      </x:c>
    </x:row>
    <x:row r="176">
      <x:c r="A176" s="8" t="d">
        <x:v>2024-06-19T00:00:00.000Z</x:v>
      </x:c>
      <x:c r="B176" t="str">
        <x:v>Moderate</x:v>
      </x:c>
      <x:c r="C176" t="str">
        <x:v>Workday</x:v>
      </x:c>
      <x:c r="D176" s="10" t="n">
        <x:v>26</x:v>
      </x:c>
      <x:c r="E176" s="12" t="n">
        <x:v>176976</x:v>
      </x:c>
      <x:c r="F176" s="12" t="n">
        <x:v>3390636</x:v>
      </x:c>
      <x:c r="G176" s="14" t="n">
        <x:v>398931904.31</x:v>
      </x:c>
      <x:c r="H176" t="n">
        <x:v>0</x:v>
      </x:c>
      <x:c r="I176" t="n">
        <x:f>IF(H176=0,1,0)</x:f>
        <x:v>1</x:v>
      </x:c>
      <x:c r="J176" s="16" t="n">
        <x:f>F176/E176</x:f>
        <x:v>19.15873338757798</x:v>
      </x:c>
      <x:c r="K176" s="16" t="n">
        <x:f>G176/1000/E176</x:f>
        <x:v>2.2541582152947295</x:v>
      </x:c>
    </x:row>
    <x:row r="177">
      <x:c r="A177" s="8" t="d">
        <x:v>2024-06-20T00:00:00.000Z</x:v>
      </x:c>
      <x:c r="B177" t="str">
        <x:v>Moderate</x:v>
      </x:c>
      <x:c r="C177" t="str">
        <x:v>Workday</x:v>
      </x:c>
      <x:c r="D177" s="10" t="n">
        <x:v>27.8</x:v>
      </x:c>
      <x:c r="E177" s="12" t="n">
        <x:v>176280</x:v>
      </x:c>
      <x:c r="F177" s="12" t="n">
        <x:v>3413574</x:v>
      </x:c>
      <x:c r="G177" s="14" t="n">
        <x:v>400980519.98</x:v>
      </x:c>
      <x:c r="H177" t="n">
        <x:v>0</x:v>
      </x:c>
      <x:c r="I177" t="n">
        <x:f>IF(H177=0,1,0)</x:f>
        <x:v>1</x:v>
      </x:c>
      <x:c r="J177" s="16" t="n">
        <x:f>F177/E177</x:f>
        <x:v>19.364499659632404</x:v>
      </x:c>
      <x:c r="K177" s="16" t="n">
        <x:f>G177/1000/E177</x:f>
        <x:v>2.274679600521897</x:v>
      </x:c>
    </x:row>
    <x:row r="178">
      <x:c r="A178" s="8" t="d">
        <x:v>2024-06-21T00:00:00.000Z</x:v>
      </x:c>
      <x:c r="B178" t="str">
        <x:v>Moderate</x:v>
      </x:c>
      <x:c r="C178" t="str">
        <x:v>Workday</x:v>
      </x:c>
      <x:c r="D178" s="10" t="n">
        <x:v>22.2</x:v>
      </x:c>
      <x:c r="E178" s="12" t="n">
        <x:v>181228</x:v>
      </x:c>
      <x:c r="F178" s="12" t="n">
        <x:v>3622158</x:v>
      </x:c>
      <x:c r="G178" s="14" t="n">
        <x:v>422247165.41</x:v>
      </x:c>
      <x:c r="H178" t="n">
        <x:v>0</x:v>
      </x:c>
      <x:c r="I178" t="n">
        <x:f>IF(H178=0,1,0)</x:f>
        <x:v>1</x:v>
      </x:c>
      <x:c r="J178" s="16" t="n">
        <x:f>F178/E178</x:f>
        <x:v>19.98674597744278</x:v>
      </x:c>
      <x:c r="K178" s="16" t="n">
        <x:f>G178/1000/E178</x:f>
        <x:v>2.3299223376630542</x:v>
      </x:c>
    </x:row>
    <x:row r="179">
      <x:c r="A179" s="8" t="d">
        <x:v>2024-06-22T00:00:00.000Z</x:v>
      </x:c>
      <x:c r="B179" t="str">
        <x:v>Moderate</x:v>
      </x:c>
      <x:c r="C179" t="str">
        <x:v>Day off</x:v>
      </x:c>
      <x:c r="D179" s="10" t="n">
        <x:v>21</x:v>
      </x:c>
      <x:c r="E179" s="12" t="n">
        <x:v>60126</x:v>
      </x:c>
      <x:c r="F179" s="12" t="n">
        <x:v>1263040</x:v>
      </x:c>
      <x:c r="G179" s="14" t="n">
        <x:v>151551676.71</x:v>
      </x:c>
      <x:c r="H179" t="n">
        <x:v>0</x:v>
      </x:c>
      <x:c r="I179" t="n">
        <x:f>IF(H179=0,1,0)</x:f>
        <x:v>1</x:v>
      </x:c>
      <x:c r="J179" s="16" t="n">
        <x:f>F179/E179</x:f>
        <x:v>21.00655290556498</x:v>
      </x:c>
      <x:c r="K179" s="16" t="n">
        <x:f>G179/1000/E179</x:f>
        <x:v>2.520568085520407</x:v>
      </x:c>
    </x:row>
    <x:row r="180">
      <x:c r="A180" s="8" t="d">
        <x:v>2024-06-23T00:00:00.000Z</x:v>
      </x:c>
      <x:c r="B180" t="str">
        <x:v>Good</x:v>
      </x:c>
      <x:c r="C180" t="str">
        <x:v>Day off</x:v>
      </x:c>
      <x:c r="D180" s="10" t="n">
        <x:v>9.12</x:v>
      </x:c>
      <x:c r="E180" s="12" t="n">
        <x:v>106449</x:v>
      </x:c>
      <x:c r="F180" s="12" t="n">
        <x:v>2595408</x:v>
      </x:c>
      <x:c r="G180" s="14" t="n">
        <x:v>294381618.12</x:v>
      </x:c>
      <x:c r="H180" t="n">
        <x:v>0</x:v>
      </x:c>
      <x:c r="I180" t="n">
        <x:f>IF(H180=0,1,0)</x:f>
        <x:v>1</x:v>
      </x:c>
      <x:c r="J180" s="16" t="n">
        <x:f>F180/E180</x:f>
        <x:v>24.38170391455063</x:v>
      </x:c>
      <x:c r="K180" s="16" t="n">
        <x:f>G180/1000/E180</x:f>
        <x:v>2.765470959050813</x:v>
      </x:c>
    </x:row>
    <x:row r="181">
      <x:c r="A181" s="8" t="d">
        <x:v>2024-06-24T00:00:00.000Z</x:v>
      </x:c>
      <x:c r="B181" t="str">
        <x:v>Moderate</x:v>
      </x:c>
      <x:c r="C181" t="str">
        <x:v>Workday</x:v>
      </x:c>
      <x:c r="D181" s="10" t="n">
        <x:v>19.28</x:v>
      </x:c>
      <x:c r="E181" s="12" t="n">
        <x:v>176784</x:v>
      </x:c>
      <x:c r="F181" s="12" t="n">
        <x:v>3629252</x:v>
      </x:c>
      <x:c r="G181" s="14" t="n">
        <x:v>422282164.42</x:v>
      </x:c>
      <x:c r="H181" t="n">
        <x:v>0</x:v>
      </x:c>
      <x:c r="I181" t="n">
        <x:f>IF(H181=0,1,0)</x:f>
        <x:v>1</x:v>
      </x:c>
      <x:c r="J181" s="16" t="n">
        <x:f>F181/E181</x:f>
        <x:v>20.529301294234774</x:v>
      </x:c>
      <x:c r="K181" s="16" t="n">
        <x:f>G181/1000/E181</x:f>
        <x:v>2.388689951692461</x:v>
      </x:c>
    </x:row>
    <x:row r="182">
      <x:c r="A182" s="8" t="d">
        <x:v>2024-06-25T00:00:00.000Z</x:v>
      </x:c>
      <x:c r="B182" t="str">
        <x:v>Good</x:v>
      </x:c>
      <x:c r="C182" t="str">
        <x:v>Workday</x:v>
      </x:c>
      <x:c r="D182" s="10" t="n">
        <x:v>8.36</x:v>
      </x:c>
      <x:c r="E182" s="12" t="n">
        <x:v>194241</x:v>
      </x:c>
      <x:c r="F182" s="12" t="n">
        <x:v>4013559</x:v>
      </x:c>
      <x:c r="G182" s="14" t="n">
        <x:v>472613657.35</x:v>
      </x:c>
      <x:c r="H182" t="n">
        <x:v>0</x:v>
      </x:c>
      <x:c r="I182" t="n">
        <x:f>IF(H182=0,1,0)</x:f>
        <x:v>1</x:v>
      </x:c>
      <x:c r="J182" s="16" t="n">
        <x:f>F182/E182</x:f>
        <x:v>20.66277974269078</x:v>
      </x:c>
      <x:c r="K182" s="16" t="n">
        <x:f>G182/1000/E182</x:f>
        <x:v>2.43313027295988</x:v>
      </x:c>
    </x:row>
    <x:row r="183">
      <x:c r="A183" s="8" t="d">
        <x:v>2024-06-26T00:00:00.000Z</x:v>
      </x:c>
      <x:c r="B183" t="str">
        <x:v>Good</x:v>
      </x:c>
      <x:c r="C183" t="str">
        <x:v>Workday</x:v>
      </x:c>
      <x:c r="D183" s="10" t="n">
        <x:v>12.52</x:v>
      </x:c>
      <x:c r="E183" s="12" t="n">
        <x:v>186825</x:v>
      </x:c>
      <x:c r="F183" s="12" t="n">
        <x:v>3763439</x:v>
      </x:c>
      <x:c r="G183" s="14" t="n">
        <x:v>442849487.69</x:v>
      </x:c>
      <x:c r="H183" t="n">
        <x:v>0</x:v>
      </x:c>
      <x:c r="I183" t="n">
        <x:f>IF(H183=0,1,0)</x:f>
        <x:v>1</x:v>
      </x:c>
      <x:c r="J183" s="16" t="n">
        <x:f>F183/E183</x:f>
        <x:v>20.14419376421785</x:v>
      </x:c>
      <x:c r="K183" s="16" t="n">
        <x:f>G183/1000/E183</x:f>
        <x:v>2.370397364860163</x:v>
      </x:c>
    </x:row>
    <x:row r="184">
      <x:c r="A184" s="8" t="d">
        <x:v>2024-06-27T00:00:00.000Z</x:v>
      </x:c>
      <x:c r="B184" t="str">
        <x:v>Moderate</x:v>
      </x:c>
      <x:c r="C184" t="str">
        <x:v>Workday</x:v>
      </x:c>
      <x:c r="D184" s="10" t="n">
        <x:v>16.56</x:v>
      </x:c>
      <x:c r="E184" s="12" t="n">
        <x:v>184932</x:v>
      </x:c>
      <x:c r="F184" s="12" t="n">
        <x:v>3722092</x:v>
      </x:c>
      <x:c r="G184" s="14" t="n">
        <x:v>436281856.36</x:v>
      </x:c>
      <x:c r="H184" t="n">
        <x:v>0</x:v>
      </x:c>
      <x:c r="I184" t="n">
        <x:f>IF(H184=0,1,0)</x:f>
        <x:v>1</x:v>
      </x:c>
      <x:c r="J184" s="16" t="n">
        <x:f>F184/E184</x:f>
        <x:v>20.12681418034737</x:v>
      </x:c>
      <x:c r="K184" s="16" t="n">
        <x:f>G184/1000/E184</x:f>
        <x:v>2.35914745073865</x:v>
      </x:c>
    </x:row>
    <x:row r="185">
      <x:c r="A185" s="8" t="d">
        <x:v>2024-06-28T00:00:00.000Z</x:v>
      </x:c>
      <x:c r="B185" t="str">
        <x:v>Moderate</x:v>
      </x:c>
      <x:c r="C185" t="str">
        <x:v>Workday</x:v>
      </x:c>
      <x:c r="D185" s="10" t="n">
        <x:v>25.28</x:v>
      </x:c>
      <x:c r="E185" s="12" t="n">
        <x:v>178132</x:v>
      </x:c>
      <x:c r="F185" s="12" t="n">
        <x:v>3617887</x:v>
      </x:c>
      <x:c r="G185" s="14" t="n">
        <x:v>421434741.39</x:v>
      </x:c>
      <x:c r="H185" t="n">
        <x:v>0</x:v>
      </x:c>
      <x:c r="I185" t="n">
        <x:f>IF(H185=0,1,0)</x:f>
        <x:v>1</x:v>
      </x:c>
      <x:c r="J185" s="16" t="n">
        <x:f>F185/E185</x:f>
        <x:v>20.3101464082815</x:v>
      </x:c>
      <x:c r="K185" s="16" t="n">
        <x:f>G185/1000/E185</x:f>
        <x:v>2.365856451339456</x:v>
      </x:c>
    </x:row>
    <x:row r="186">
      <x:c r="A186" s="8" t="d">
        <x:v>2024-06-29T00:00:00.000Z</x:v>
      </x:c>
      <x:c r="B186" t="str">
        <x:v>Moderate</x:v>
      </x:c>
      <x:c r="C186" t="str">
        <x:v>Day off</x:v>
      </x:c>
      <x:c r="D186" s="10" t="n">
        <x:v>19.76</x:v>
      </x:c>
      <x:c r="E186" s="12" t="n">
        <x:v>99995</x:v>
      </x:c>
      <x:c r="F186" s="12" t="n">
        <x:v>2191527</x:v>
      </x:c>
      <x:c r="G186" s="14" t="n">
        <x:v>240024411.28</x:v>
      </x:c>
      <x:c r="H186" t="n">
        <x:v>0</x:v>
      </x:c>
      <x:c r="I186" t="n">
        <x:f>IF(H186=0,1,0)</x:f>
        <x:v>1</x:v>
      </x:c>
      <x:c r="J186" s="16" t="n">
        <x:f>F186/E186</x:f>
        <x:v>21.916365818290913</x:v>
      </x:c>
      <x:c r="K186" s="16" t="n">
        <x:f>G186/1000/E186</x:f>
        <x:v>2.40036413100655</x:v>
      </x:c>
    </x:row>
    <x:row r="187">
      <x:c r="A187" s="8" t="d">
        <x:v>2024-06-30T00:00:00.000Z</x:v>
      </x:c>
      <x:c r="B187" t="str">
        <x:v>Good</x:v>
      </x:c>
      <x:c r="C187" t="str">
        <x:v>Day off</x:v>
      </x:c>
      <x:c r="D187" s="10" t="n">
        <x:v>12</x:v>
      </x:c>
      <x:c r="E187" s="12" t="n">
        <x:v>95578</x:v>
      </x:c>
      <x:c r="F187" s="12" t="n">
        <x:v>2409583</x:v>
      </x:c>
      <x:c r="G187" s="14" t="n">
        <x:v>274020195.04</x:v>
      </x:c>
      <x:c r="H187" t="n">
        <x:v>0</x:v>
      </x:c>
      <x:c r="I187" t="n">
        <x:f>IF(H187=0,1,0)</x:f>
        <x:v>1</x:v>
      </x:c>
      <x:c r="J187" s="16" t="n">
        <x:f>F187/E187</x:f>
        <x:v>25.21064470903346</x:v>
      </x:c>
      <x:c r="K187" s="16" t="n">
        <x:f>G187/1000/E187</x:f>
        <x:v>2.86697979702442</x:v>
      </x:c>
    </x:row>
    <x:row r="188">
      <x:c r="A188" s="8" t="d">
        <x:v>2024-07-01T00:00:00.000Z</x:v>
      </x:c>
      <x:c r="B188" t="str">
        <x:v>Moderate</x:v>
      </x:c>
      <x:c r="C188" t="str">
        <x:v>Workday</x:v>
      </x:c>
      <x:c r="D188" s="10" t="n">
        <x:v>15.52</x:v>
      </x:c>
      <x:c r="E188" s="12" t="n">
        <x:v>182407</x:v>
      </x:c>
      <x:c r="F188" s="12" t="n">
        <x:v>3666602</x:v>
      </x:c>
      <x:c r="G188" s="14" t="n">
        <x:v>429736387.77</x:v>
      </x:c>
      <x:c r="H188" t="n">
        <x:v>0</x:v>
      </x:c>
      <x:c r="I188" t="n">
        <x:f>IF(H188=0,1,0)</x:f>
        <x:v>1</x:v>
      </x:c>
      <x:c r="J188" s="16" t="n">
        <x:f>F188/E188</x:f>
        <x:v>20.101213220983844</x:v>
      </x:c>
      <x:c r="K188" s="16" t="n">
        <x:f>G188/1000/E188</x:f>
        <x:v>2.3559204842467665</x:v>
      </x:c>
    </x:row>
    <x:row r="189">
      <x:c r="A189" s="8" t="d">
        <x:v>2024-07-02T00:00:00.000Z</x:v>
      </x:c>
      <x:c r="B189" t="str">
        <x:v>Good</x:v>
      </x:c>
      <x:c r="C189" t="str">
        <x:v>Workday</x:v>
      </x:c>
      <x:c r="D189" s="10" t="n">
        <x:v>9.76</x:v>
      </x:c>
      <x:c r="E189" s="12" t="n">
        <x:v>39423</x:v>
      </x:c>
      <x:c r="F189" s="12" t="n">
        <x:v>682412</x:v>
      </x:c>
      <x:c r="G189" s="14" t="n">
        <x:v>78984999.98</x:v>
      </x:c>
      <x:c r="H189" t="n">
        <x:v>0</x:v>
      </x:c>
      <x:c r="I189" t="n">
        <x:f>IF(H189=0,1,0)</x:f>
        <x:v>1</x:v>
      </x:c>
      <x:c r="J189" s="16" t="n">
        <x:f>F189/E189</x:f>
        <x:v>17.30999670243259</x:v>
      </x:c>
      <x:c r="K189" s="16" t="n">
        <x:f>G189/1000/E189</x:f>
        <x:v>2.0035258600309467</x:v>
      </x:c>
    </x:row>
    <x:row r="190">
      <x:c r="A190" s="8" t="d">
        <x:v>2024-07-03T00:00:00.000Z</x:v>
      </x:c>
      <x:c r="B190" t="str">
        <x:v>Moderate</x:v>
      </x:c>
      <x:c r="C190" t="str">
        <x:v>Workday</x:v>
      </x:c>
      <x:c r="D190" s="10" t="n">
        <x:v>15.84</x:v>
      </x:c>
      <x:c r="E190" s="12" t="n">
        <x:v>164914</x:v>
      </x:c>
      <x:c r="F190" s="12" t="n">
        <x:v>3318418</x:v>
      </x:c>
      <x:c r="G190" s="14" t="n">
        <x:v>376797665.94</x:v>
      </x:c>
      <x:c r="H190" t="n">
        <x:v>0</x:v>
      </x:c>
      <x:c r="I190" t="n">
        <x:f>IF(H190=0,1,0)</x:f>
        <x:v>1</x:v>
      </x:c>
      <x:c r="J190" s="16" t="n">
        <x:f>F190/E190</x:f>
        <x:v>20.1221121311714</x:v>
      </x:c>
      <x:c r="K190" s="16" t="n">
        <x:f>G190/1000/E190</x:f>
        <x:v>2.2848130900954438</x:v>
      </x:c>
    </x:row>
    <x:row r="191">
      <x:c r="A191" s="8" t="d">
        <x:v>2024-07-04T00:00:00.000Z</x:v>
      </x:c>
      <x:c r="B191" t="str">
        <x:v>Moderate</x:v>
      </x:c>
      <x:c r="C191" t="str">
        <x:v>Workday</x:v>
      </x:c>
      <x:c r="D191" s="10" t="n">
        <x:v>29.56</x:v>
      </x:c>
      <x:c r="E191" s="12" t="n">
        <x:v>158332</x:v>
      </x:c>
      <x:c r="F191" s="12" t="n">
        <x:v>2936099</x:v>
      </x:c>
      <x:c r="G191" s="14" t="n">
        <x:v>333614365.79</x:v>
      </x:c>
      <x:c r="H191" t="n">
        <x:v>0</x:v>
      </x:c>
      <x:c r="I191" t="n">
        <x:f>IF(H191=0,1,0)</x:f>
        <x:v>1</x:v>
      </x:c>
      <x:c r="J191" s="16" t="n">
        <x:f>F191/E191</x:f>
        <x:v>18.543939317383725</x:v>
      </x:c>
      <x:c r="K191" s="16" t="n">
        <x:f>G191/1000/E191</x:f>
        <x:v>2.1070558433544706</x:v>
      </x:c>
    </x:row>
    <x:row r="192">
      <x:c r="A192" s="8" t="d">
        <x:v>2024-07-05T00:00:00.000Z</x:v>
      </x:c>
      <x:c r="B192" t="str">
        <x:v>Good</x:v>
      </x:c>
      <x:c r="C192" t="str">
        <x:v>Workday</x:v>
      </x:c>
      <x:c r="D192" s="10" t="n">
        <x:v>11.08</x:v>
      </x:c>
      <x:c r="E192" s="12" t="n">
        <x:v>170990</x:v>
      </x:c>
      <x:c r="F192" s="12" t="n">
        <x:v>3576984</x:v>
      </x:c>
      <x:c r="G192" s="14" t="n">
        <x:v>403413769.11</x:v>
      </x:c>
      <x:c r="H192" t="n">
        <x:v>0</x:v>
      </x:c>
      <x:c r="I192" t="n">
        <x:f>IF(H192=0,1,0)</x:f>
        <x:v>1</x:v>
      </x:c>
      <x:c r="J192" s="16" t="n">
        <x:f>F192/E192</x:f>
        <x:v>20.91925843616586</x:v>
      </x:c>
      <x:c r="K192" s="16" t="n">
        <x:f>G192/1000/E192</x:f>
        <x:v>2.3592828183519505</x:v>
      </x:c>
    </x:row>
    <x:row r="193">
      <x:c r="A193" s="8" t="d">
        <x:v>2024-07-06T00:00:00.000Z</x:v>
      </x:c>
      <x:c r="B193" t="str">
        <x:v>Moderate</x:v>
      </x:c>
      <x:c r="C193" t="str">
        <x:v>Day off</x:v>
      </x:c>
      <x:c r="D193" s="10" t="n">
        <x:v>17</x:v>
      </x:c>
      <x:c r="E193" s="12" t="n">
        <x:v>95365</x:v>
      </x:c>
      <x:c r="F193" s="12" t="n">
        <x:v>1995047</x:v>
      </x:c>
      <x:c r="G193" s="14" t="n">
        <x:v>217217995.17</x:v>
      </x:c>
      <x:c r="H193" t="n">
        <x:v>0</x:v>
      </x:c>
      <x:c r="I193" t="n">
        <x:f>IF(H193=0,1,0)</x:f>
        <x:v>1</x:v>
      </x:c>
      <x:c r="J193" s="16" t="n">
        <x:f>F193/E193</x:f>
        <x:v>20.920117443506527</x:v>
      </x:c>
      <x:c r="K193" s="16" t="n">
        <x:f>G193/1000/E193</x:f>
        <x:v>2.277753842290148</x:v>
      </x:c>
    </x:row>
    <x:row r="194">
      <x:c r="A194" s="8" t="d">
        <x:v>2024-07-07T00:00:00.000Z</x:v>
      </x:c>
      <x:c r="B194" t="str">
        <x:v>Good</x:v>
      </x:c>
      <x:c r="C194" t="str">
        <x:v>Day off</x:v>
      </x:c>
      <x:c r="D194" s="10" t="n">
        <x:v>13.12</x:v>
      </x:c>
      <x:c r="E194" s="12" t="n">
        <x:v>82458</x:v>
      </x:c>
      <x:c r="F194" s="12" t="n">
        <x:v>1927150</x:v>
      </x:c>
      <x:c r="G194" s="14" t="n">
        <x:v>217540718.02</x:v>
      </x:c>
      <x:c r="H194" t="n">
        <x:v>0</x:v>
      </x:c>
      <x:c r="I194" t="n">
        <x:f>IF(H194=0,1,0)</x:f>
        <x:v>1</x:v>
      </x:c>
      <x:c r="J194" s="16" t="n">
        <x:f>F194/E194</x:f>
        <x:v>23.371292051711173</x:v>
      </x:c>
      <x:c r="K194" s="16" t="n">
        <x:f>G194/1000/E194</x:f>
        <x:v>2.6382002718959954</x:v>
      </x:c>
    </x:row>
    <x:row r="195">
      <x:c r="A195" s="8" t="d">
        <x:v>2024-07-08T00:00:00.000Z</x:v>
      </x:c>
      <x:c r="B195" t="str">
        <x:v>Good</x:v>
      </x:c>
      <x:c r="C195" t="str">
        <x:v>Workday</x:v>
      </x:c>
      <x:c r="D195" s="10" t="n">
        <x:v>6</x:v>
      </x:c>
      <x:c r="E195" s="12" t="n">
        <x:v>49085</x:v>
      </x:c>
      <x:c r="F195" s="12" t="n">
        <x:v>814597</x:v>
      </x:c>
      <x:c r="G195" s="14" t="n">
        <x:v>89373786.72</x:v>
      </x:c>
      <x:c r="H195" t="n">
        <x:v>0</x:v>
      </x:c>
      <x:c r="I195" t="n">
        <x:f>IF(H195=0,1,0)</x:f>
        <x:v>1</x:v>
      </x:c>
      <x:c r="J195" s="16" t="n">
        <x:f>F195/E195</x:f>
        <x:v>16.59564021595192</x:v>
      </x:c>
      <x:c r="K195" s="16" t="n">
        <x:f>G195/1000/E195</x:f>
        <x:v>1.8207963068147093</x:v>
      </x:c>
    </x:row>
    <x:row r="196">
      <x:c r="A196" s="8" t="d">
        <x:v>2024-07-09T00:00:00.000Z</x:v>
      </x:c>
      <x:c r="B196" t="str">
        <x:v>Good</x:v>
      </x:c>
      <x:c r="C196" t="str">
        <x:v>Workday</x:v>
      </x:c>
      <x:c r="D196" s="10" t="n">
        <x:v>8.88</x:v>
      </x:c>
      <x:c r="E196" s="12" t="n">
        <x:v>131039</x:v>
      </x:c>
      <x:c r="F196" s="12" t="n">
        <x:v>2319455</x:v>
      </x:c>
      <x:c r="G196" s="14" t="n">
        <x:v>261624049.32</x:v>
      </x:c>
      <x:c r="H196" t="n">
        <x:v>0</x:v>
      </x:c>
      <x:c r="I196" t="n">
        <x:f>IF(H196=0,1,0)</x:f>
        <x:v>1</x:v>
      </x:c>
      <x:c r="J196" s="16" t="n">
        <x:f>F196/E196</x:f>
        <x:v>17.700493746136647</x:v>
      </x:c>
      <x:c r="K196" s="16" t="n">
        <x:f>G196/1000/E196</x:f>
        <x:v>1.9965357589725197</x:v>
      </x:c>
    </x:row>
    <x:row r="197">
      <x:c r="A197" s="8" t="d">
        <x:v>2024-07-10T00:00:00.000Z</x:v>
      </x:c>
      <x:c r="B197" t="str">
        <x:v>Good</x:v>
      </x:c>
      <x:c r="C197" t="str">
        <x:v>Workday</x:v>
      </x:c>
      <x:c r="D197" s="10" t="n">
        <x:v>5.36</x:v>
      </x:c>
      <x:c r="E197" s="12" t="n">
        <x:v>157079</x:v>
      </x:c>
      <x:c r="F197" s="12" t="n">
        <x:v>3036906</x:v>
      </x:c>
      <x:c r="G197" s="14" t="n">
        <x:v>345693388.77</x:v>
      </x:c>
      <x:c r="H197" t="n">
        <x:v>0</x:v>
      </x:c>
      <x:c r="I197" t="n">
        <x:f>IF(H197=0,1,0)</x:f>
        <x:v>1</x:v>
      </x:c>
      <x:c r="J197" s="16" t="n">
        <x:f>F197/E197</x:f>
        <x:v>19.333621935459227</x:v>
      </x:c>
      <x:c r="K197" s="16" t="n">
        <x:f>G197/1000/E197</x:f>
        <x:v>2.2007613288218026</x:v>
      </x:c>
    </x:row>
    <x:row r="198">
      <x:c r="A198" s="8" t="d">
        <x:v>2024-07-11T00:00:00.000Z</x:v>
      </x:c>
      <x:c r="B198" t="str">
        <x:v>Moderate</x:v>
      </x:c>
      <x:c r="C198" t="str">
        <x:v>Workday</x:v>
      </x:c>
      <x:c r="D198" s="10" t="n">
        <x:v>25.28</x:v>
      </x:c>
      <x:c r="E198" s="12" t="n">
        <x:v>176877</x:v>
      </x:c>
      <x:c r="F198" s="12" t="n">
        <x:v>3491370</x:v>
      </x:c>
      <x:c r="G198" s="14" t="n">
        <x:v>403549130.4</x:v>
      </x:c>
      <x:c r="H198" t="n">
        <x:v>0</x:v>
      </x:c>
      <x:c r="I198" t="n">
        <x:f>IF(H198=0,1,0)</x:f>
        <x:v>1</x:v>
      </x:c>
      <x:c r="J198" s="16" t="n">
        <x:f>F198/E198</x:f>
        <x:v>19.738971149442833</x:v>
      </x:c>
      <x:c r="K198" s="16" t="n">
        <x:f>G198/1000/E198</x:f>
        <x:v>2.281524055699723</x:v>
      </x:c>
    </x:row>
    <x:row r="199">
      <x:c r="A199" s="8" t="d">
        <x:v>2024-07-12T00:00:00.000Z</x:v>
      </x:c>
      <x:c r="B199" t="str">
        <x:v>Moderate</x:v>
      </x:c>
      <x:c r="C199" t="str">
        <x:v>Workday</x:v>
      </x:c>
      <x:c r="D199" s="10" t="n">
        <x:v>27.36</x:v>
      </x:c>
      <x:c r="E199" s="12" t="n">
        <x:v>178467</x:v>
      </x:c>
      <x:c r="F199" s="12" t="n">
        <x:v>3556760</x:v>
      </x:c>
      <x:c r="G199" s="14" t="n">
        <x:v>408808540.33</x:v>
      </x:c>
      <x:c r="H199" t="n">
        <x:v>0</x:v>
      </x:c>
      <x:c r="I199" t="n">
        <x:f>IF(H199=0,1,0)</x:f>
        <x:v>1</x:v>
      </x:c>
      <x:c r="J199" s="16" t="n">
        <x:f>F199/E199</x:f>
        <x:v>19.929510777902916</x:v>
      </x:c>
      <x:c r="K199" s="16" t="n">
        <x:f>G199/1000/E199</x:f>
        <x:v>2.290667408148285</x:v>
      </x:c>
    </x:row>
    <x:row r="200">
      <x:c r="A200" s="8" t="d">
        <x:v>2024-07-13T00:00:00.000Z</x:v>
      </x:c>
      <x:c r="B200" t="str">
        <x:v>Bad</x:v>
      </x:c>
      <x:c r="C200" t="str">
        <x:v>Day off</x:v>
      </x:c>
      <x:c r="D200" s="10" t="n">
        <x:v>38.44</x:v>
      </x:c>
      <x:c r="E200" s="12" t="n">
        <x:v>132042</x:v>
      </x:c>
      <x:c r="F200" s="12" t="n">
        <x:v>2996138</x:v>
      </x:c>
      <x:c r="G200" s="14" t="n">
        <x:v>336134918.48</x:v>
      </x:c>
      <x:c r="H200" t="n">
        <x:v>0</x:v>
      </x:c>
      <x:c r="I200" t="n">
        <x:f>IF(H200=0,1,0)</x:f>
        <x:v>1</x:v>
      </x:c>
      <x:c r="J200" s="16" t="n">
        <x:f>F200/E200</x:f>
        <x:v>22.690795352993746</x:v>
      </x:c>
      <x:c r="K200" s="16" t="n">
        <x:f>G200/1000/E200</x:f>
        <x:v>2.5456666703018738</x:v>
      </x:c>
    </x:row>
    <x:row r="201">
      <x:c r="A201" s="8" t="d">
        <x:v>2024-07-14T00:00:00.000Z</x:v>
      </x:c>
      <x:c r="B201" t="str">
        <x:v>Moderate</x:v>
      </x:c>
      <x:c r="C201" t="str">
        <x:v>Day off</x:v>
      </x:c>
      <x:c r="D201" s="10" t="n">
        <x:v>23.4</x:v>
      </x:c>
      <x:c r="E201" s="12" t="n">
        <x:v>116652</x:v>
      </x:c>
      <x:c r="F201" s="12" t="n">
        <x:v>2753412</x:v>
      </x:c>
      <x:c r="G201" s="14" t="n">
        <x:v>320218917.31</x:v>
      </x:c>
      <x:c r="H201" t="n">
        <x:v>0</x:v>
      </x:c>
      <x:c r="I201" t="n">
        <x:f>IF(H201=0,1,0)</x:f>
        <x:v>1</x:v>
      </x:c>
      <x:c r="J201" s="16" t="n">
        <x:f>F201/E201</x:f>
        <x:v>23.603641600658367</x:v>
      </x:c>
      <x:c r="K201" s="16" t="n">
        <x:f>G201/1000/E201</x:f>
        <x:v>2.7450786725474057</x:v>
      </x:c>
    </x:row>
    <x:row r="202">
      <x:c r="A202" s="8" t="d">
        <x:v>2024-07-15T00:00:00.000Z</x:v>
      </x:c>
      <x:c r="B202" t="str">
        <x:v>Good</x:v>
      </x:c>
      <x:c r="C202" t="str">
        <x:v>Workday</x:v>
      </x:c>
      <x:c r="D202" s="10" t="n">
        <x:v>5.92</x:v>
      </x:c>
      <x:c r="E202" s="12" t="n">
        <x:v>166488</x:v>
      </x:c>
      <x:c r="F202" s="12" t="n">
        <x:v>3203108</x:v>
      </x:c>
      <x:c r="G202" s="14" t="n">
        <x:v>371353913.03</x:v>
      </x:c>
      <x:c r="H202" t="n">
        <x:v>0</x:v>
      </x:c>
      <x:c r="I202" t="n">
        <x:f>IF(H202=0,1,0)</x:f>
        <x:v>1</x:v>
      </x:c>
      <x:c r="J202" s="16" t="n">
        <x:f>F202/E202</x:f>
        <x:v>19.23927250012013</x:v>
      </x:c>
      <x:c r="K202" s="16" t="n">
        <x:f>G202/1000/E202</x:f>
        <x:v>2.230514589820287</x:v>
      </x:c>
    </x:row>
    <x:row r="203">
      <x:c r="A203" s="8" t="d">
        <x:v>2024-07-16T00:00:00.000Z</x:v>
      </x:c>
      <x:c r="B203" t="str">
        <x:v>Good</x:v>
      </x:c>
      <x:c r="C203" t="str">
        <x:v>Workday</x:v>
      </x:c>
      <x:c r="D203" s="10" t="n">
        <x:v>7.08</x:v>
      </x:c>
      <x:c r="E203" s="12" t="n">
        <x:v>93992</x:v>
      </x:c>
      <x:c r="F203" s="12" t="n">
        <x:v>1554705</x:v>
      </x:c>
      <x:c r="G203" s="14" t="n">
        <x:v>176167690.87</x:v>
      </x:c>
      <x:c r="H203" t="n">
        <x:v>0</x:v>
      </x:c>
      <x:c r="I203" t="n">
        <x:f>IF(H203=0,1,0)</x:f>
        <x:v>1</x:v>
      </x:c>
      <x:c r="J203" s="16" t="n">
        <x:f>F203/E203</x:f>
        <x:v>16.540822623201976</x:v>
      </x:c>
      <x:c r="K203" s="16" t="n">
        <x:f>G203/1000/E203</x:f>
        <x:v>1.87428388447953</x:v>
      </x:c>
    </x:row>
    <x:row r="204">
      <x:c r="A204" s="8" t="d">
        <x:v>2024-07-17T00:00:00.000Z</x:v>
      </x:c>
      <x:c r="B204" t="str">
        <x:v>Good</x:v>
      </x:c>
      <x:c r="C204" t="str">
        <x:v>Workday</x:v>
      </x:c>
      <x:c r="D204" s="10" t="n">
        <x:v>4.2</x:v>
      </x:c>
      <x:c r="E204" s="12" t="n">
        <x:v>51997</x:v>
      </x:c>
      <x:c r="F204" s="12" t="n">
        <x:v>976133</x:v>
      </x:c>
      <x:c r="G204" s="14" t="n">
        <x:v>97868901.57</x:v>
      </x:c>
      <x:c r="H204" t="n">
        <x:v>0</x:v>
      </x:c>
      <x:c r="I204" t="n">
        <x:f>IF(H204=0,1,0)</x:f>
        <x:v>1</x:v>
      </x:c>
      <x:c r="J204" s="16" t="n">
        <x:f>F204/E204</x:f>
        <x:v>18.77287151181799</x:v>
      </x:c>
      <x:c r="K204" s="16" t="n">
        <x:f>G204/1000/E204</x:f>
        <x:v>1.8822028495874759</x:v>
      </x:c>
    </x:row>
    <x:row r="205">
      <x:c r="A205" s="8" t="d">
        <x:v>2024-07-18T00:00:00.000Z</x:v>
      </x:c>
      <x:c r="B205" t="str">
        <x:v>Good</x:v>
      </x:c>
      <x:c r="C205" t="str">
        <x:v>Workday</x:v>
      </x:c>
      <x:c r="D205" s="10" t="n">
        <x:v>4.32</x:v>
      </x:c>
      <x:c r="E205" s="12" t="n">
        <x:v>42866</x:v>
      </x:c>
      <x:c r="F205" s="12" t="n">
        <x:v>792687</x:v>
      </x:c>
      <x:c r="G205" s="14" t="n">
        <x:v>81293184.65</x:v>
      </x:c>
      <x:c r="H205" t="n">
        <x:v>0</x:v>
      </x:c>
      <x:c r="I205" t="n">
        <x:f>IF(H205=0,1,0)</x:f>
        <x:v>1</x:v>
      </x:c>
      <x:c r="J205" s="16" t="n">
        <x:f>F205/E205</x:f>
        <x:v>18.492208276956095</x:v>
      </x:c>
      <x:c r="K205" s="16" t="n">
        <x:f>G205/1000/E205</x:f>
        <x:v>1.8964490423645781</x:v>
      </x:c>
    </x:row>
    <x:row r="206">
      <x:c r="A206" s="8" t="d">
        <x:v>2024-07-19T00:00:00.000Z</x:v>
      </x:c>
      <x:c r="B206" t="str">
        <x:v>Moderate</x:v>
      </x:c>
      <x:c r="C206" t="str">
        <x:v>Workday</x:v>
      </x:c>
      <x:c r="D206" s="10" t="n">
        <x:v>16.36</x:v>
      </x:c>
      <x:c r="E206" s="12" t="n">
        <x:v>158608</x:v>
      </x:c>
      <x:c r="F206" s="12" t="n">
        <x:v>3138664</x:v>
      </x:c>
      <x:c r="G206" s="14" t="n">
        <x:v>341269566.83</x:v>
      </x:c>
      <x:c r="H206" t="n">
        <x:v>0</x:v>
      </x:c>
      <x:c r="I206" t="n">
        <x:f>IF(H206=0,1,0)</x:f>
        <x:v>1</x:v>
      </x:c>
      <x:c r="J206" s="16" t="n">
        <x:f>F206/E206</x:f>
        <x:v>19.78881267023101</x:v>
      </x:c>
      <x:c r="K206" s="16" t="n">
        <x:f>G206/1000/E206</x:f>
        <x:v>2.151654184089075</x:v>
      </x:c>
    </x:row>
    <x:row r="207">
      <x:c r="A207" s="8" t="d">
        <x:v>2024-07-20T00:00:00.000Z</x:v>
      </x:c>
      <x:c r="B207" t="str">
        <x:v>Good</x:v>
      </x:c>
      <x:c r="C207" t="str">
        <x:v>Day off</x:v>
      </x:c>
      <x:c r="D207" s="10" t="n">
        <x:v>9.08</x:v>
      </x:c>
      <x:c r="E207" s="12" t="n">
        <x:v>84487</x:v>
      </x:c>
      <x:c r="F207" s="12" t="n">
        <x:v>1726517</x:v>
      </x:c>
      <x:c r="G207" s="14" t="n">
        <x:v>185611473.95</x:v>
      </x:c>
      <x:c r="H207" t="n">
        <x:v>0</x:v>
      </x:c>
      <x:c r="I207" t="n">
        <x:f>IF(H207=0,1,0)</x:f>
        <x:v>1</x:v>
      </x:c>
      <x:c r="J207" s="16" t="n">
        <x:f>F207/E207</x:f>
        <x:v>20.435297738113555</x:v>
      </x:c>
      <x:c r="K207" s="16" t="n">
        <x:f>G207/1000/E207</x:f>
        <x:v>2.196923478760046</x:v>
      </x:c>
    </x:row>
    <x:row r="208">
      <x:c r="A208" s="8" t="d">
        <x:v>2024-07-21T00:00:00.000Z</x:v>
      </x:c>
      <x:c r="B208" t="str">
        <x:v>Good</x:v>
      </x:c>
      <x:c r="C208" t="str">
        <x:v>Day off</x:v>
      </x:c>
      <x:c r="D208" s="10" t="n">
        <x:v>9.12</x:v>
      </x:c>
      <x:c r="E208" s="12" t="n">
        <x:v>97476</x:v>
      </x:c>
      <x:c r="F208" s="12" t="n">
        <x:v>2306266</x:v>
      </x:c>
      <x:c r="G208" s="14" t="n">
        <x:v>264857928.02</x:v>
      </x:c>
      <x:c r="H208" t="n">
        <x:v>0</x:v>
      </x:c>
      <x:c r="I208" t="n">
        <x:f>IF(H208=0,1,0)</x:f>
        <x:v>1</x:v>
      </x:c>
      <x:c r="J208" s="16" t="n">
        <x:f>F208/E208</x:f>
        <x:v>23.65983421560179</x:v>
      </x:c>
      <x:c r="K208" s="16" t="n">
        <x:f>G208/1000/E208</x:f>
        <x:v>2.71716040892117</x:v>
      </x:c>
    </x:row>
    <x:row r="209">
      <x:c r="A209" s="8" t="d">
        <x:v>2024-07-22T00:00:00.000Z</x:v>
      </x:c>
      <x:c r="B209" t="str">
        <x:v>Good</x:v>
      </x:c>
      <x:c r="C209" t="str">
        <x:v>Workday</x:v>
      </x:c>
      <x:c r="D209" s="10" t="n">
        <x:v>6.04</x:v>
      </x:c>
      <x:c r="E209" s="12" t="n">
        <x:v>85672</x:v>
      </x:c>
      <x:c r="F209" s="12" t="n">
        <x:v>1468527</x:v>
      </x:c>
      <x:c r="G209" s="14" t="n">
        <x:v>162287301.7</x:v>
      </x:c>
      <x:c r="H209" t="n">
        <x:v>0</x:v>
      </x:c>
      <x:c r="I209" t="n">
        <x:f>IF(H209=0,1,0)</x:f>
        <x:v>1</x:v>
      </x:c>
      <x:c r="J209" s="16" t="n">
        <x:f>F209/E209</x:f>
        <x:v>17.141271360537864</x:v>
      </x:c>
      <x:c r="K209" s="16" t="n">
        <x:f>G209/1000/E209</x:f>
        <x:v>1.8942863677747688</x:v>
      </x:c>
    </x:row>
    <x:row r="210">
      <x:c r="A210" s="8" t="d">
        <x:v>2024-07-23T00:00:00.000Z</x:v>
      </x:c>
      <x:c r="B210" t="str">
        <x:v>Good</x:v>
      </x:c>
      <x:c r="C210" t="str">
        <x:v>Workday</x:v>
      </x:c>
      <x:c r="D210" s="10" t="n">
        <x:v>5.48</x:v>
      </x:c>
      <x:c r="E210" s="12" t="n">
        <x:v>113308</x:v>
      </x:c>
      <x:c r="F210" s="12" t="n">
        <x:v>2048822</x:v>
      </x:c>
      <x:c r="G210" s="14" t="n">
        <x:v>230639359.66</x:v>
      </x:c>
      <x:c r="H210" t="n">
        <x:v>0</x:v>
      </x:c>
      <x:c r="I210" t="n">
        <x:f>IF(H210=0,1,0)</x:f>
        <x:v>1</x:v>
      </x:c>
      <x:c r="J210" s="16" t="n">
        <x:f>F210/E210</x:f>
        <x:v>18.08188300914322</x:v>
      </x:c>
      <x:c r="K210" s="16" t="n">
        <x:f>G210/1000/E210</x:f>
        <x:v>2.0355081694143395</x:v>
      </x:c>
    </x:row>
    <x:row r="211">
      <x:c r="A211" s="8" t="d">
        <x:v>2024-07-24T00:00:00.000Z</x:v>
      </x:c>
      <x:c r="B211" t="str">
        <x:v>Good</x:v>
      </x:c>
      <x:c r="C211" t="str">
        <x:v>Workday</x:v>
      </x:c>
      <x:c r="D211" s="10" t="n">
        <x:v>6.32</x:v>
      </x:c>
      <x:c r="E211" s="12" t="n">
        <x:v>126749</x:v>
      </x:c>
      <x:c r="F211" s="12" t="n">
        <x:v>2504797</x:v>
      </x:c>
      <x:c r="G211" s="14" t="n">
        <x:v>274400497.47</x:v>
      </x:c>
      <x:c r="H211" t="n">
        <x:v>0</x:v>
      </x:c>
      <x:c r="I211" t="n">
        <x:f>IF(H211=0,1,0)</x:f>
        <x:v>1</x:v>
      </x:c>
      <x:c r="J211" s="16" t="n">
        <x:f>F211/E211</x:f>
        <x:v>19.76186794373131</x:v>
      </x:c>
      <x:c r="K211" s="16" t="n">
        <x:f>G211/1000/E211</x:f>
        <x:v>2.164912523727998</x:v>
      </x:c>
    </x:row>
    <x:row r="212">
      <x:c r="A212" s="8" t="d">
        <x:v>2024-07-25T00:00:00.000Z</x:v>
      </x:c>
      <x:c r="B212" t="str">
        <x:v>Good</x:v>
      </x:c>
      <x:c r="C212" t="str">
        <x:v>Workday</x:v>
      </x:c>
      <x:c r="D212" s="10" t="n">
        <x:v>9.08</x:v>
      </x:c>
      <x:c r="E212" s="12" t="n">
        <x:v>131191</x:v>
      </x:c>
      <x:c r="F212" s="12" t="n">
        <x:v>2452723</x:v>
      </x:c>
      <x:c r="G212" s="14" t="n">
        <x:v>265486029.51</x:v>
      </x:c>
      <x:c r="H212" t="n">
        <x:v>0</x:v>
      </x:c>
      <x:c r="I212" t="n">
        <x:f>IF(H212=0,1,0)</x:f>
        <x:v>1</x:v>
      </x:c>
      <x:c r="J212" s="16" t="n">
        <x:f>F212/E212</x:f>
        <x:v>18.69581754845988</x:v>
      </x:c>
      <x:c r="K212" s="16" t="n">
        <x:f>G212/1000/E212</x:f>
        <x:v>2.023660384553818</x:v>
      </x:c>
    </x:row>
    <x:row r="213">
      <x:c r="A213" s="8" t="d">
        <x:v>2024-07-26T00:00:00.000Z</x:v>
      </x:c>
      <x:c r="B213" t="str">
        <x:v>Good</x:v>
      </x:c>
      <x:c r="C213" t="str">
        <x:v>Workday</x:v>
      </x:c>
      <x:c r="D213" s="10" t="n">
        <x:v>7.88</x:v>
      </x:c>
      <x:c r="E213" s="12" t="n">
        <x:v>117450</x:v>
      </x:c>
      <x:c r="F213" s="12" t="n">
        <x:v>2130880</x:v>
      </x:c>
      <x:c r="G213" s="14" t="n">
        <x:v>228487419.39</x:v>
      </x:c>
      <x:c r="H213" t="n">
        <x:v>0</x:v>
      </x:c>
      <x:c r="I213" t="n">
        <x:f>IF(H213=0,1,0)</x:f>
        <x:v>1</x:v>
      </x:c>
      <x:c r="J213" s="16" t="n">
        <x:f>F213/E213</x:f>
        <x:v>18.142869306087697</x:v>
      </x:c>
      <x:c r="K213" s="16" t="n">
        <x:f>G213/1000/E213</x:f>
        <x:v>1.945401612515964</x:v>
      </x:c>
    </x:row>
    <x:row r="214">
      <x:c r="A214" s="8" t="d">
        <x:v>2024-07-27T00:00:00.000Z</x:v>
      </x:c>
      <x:c r="B214" t="str">
        <x:v>Good</x:v>
      </x:c>
      <x:c r="C214" t="str">
        <x:v>Day off</x:v>
      </x:c>
      <x:c r="D214" s="10" t="n">
        <x:v>7.68</x:v>
      </x:c>
      <x:c r="E214" s="12" t="n">
        <x:v>76392</x:v>
      </x:c>
      <x:c r="F214" s="12" t="n">
        <x:v>1559154</x:v>
      </x:c>
      <x:c r="G214" s="14" t="n">
        <x:v>166279894.19</x:v>
      </x:c>
      <x:c r="H214" t="n">
        <x:v>0</x:v>
      </x:c>
      <x:c r="I214" t="n">
        <x:f>IF(H214=0,1,0)</x:f>
        <x:v>1</x:v>
      </x:c>
      <x:c r="J214" s="16" t="n">
        <x:f>F214/E214</x:f>
        <x:v>20.409912032673578</x:v>
      </x:c>
      <x:c r="K214" s="16" t="n">
        <x:f>G214/1000/E214</x:f>
        <x:v>2.176666328804063</x:v>
      </x:c>
    </x:row>
    <x:row r="215">
      <x:c r="A215" s="8" t="d">
        <x:v>2024-07-28T00:00:00.000Z</x:v>
      </x:c>
      <x:c r="B215" t="str">
        <x:v>Good</x:v>
      </x:c>
      <x:c r="C215" t="str">
        <x:v>Day off</x:v>
      </x:c>
      <x:c r="D215" s="10" t="n">
        <x:v>6.8</x:v>
      </x:c>
      <x:c r="E215" s="12" t="n">
        <x:v>102031</x:v>
      </x:c>
      <x:c r="F215" s="12" t="n">
        <x:v>2349843</x:v>
      </x:c>
      <x:c r="G215" s="14" t="n">
        <x:v>270805033.87</x:v>
      </x:c>
      <x:c r="H215" t="n">
        <x:v>0</x:v>
      </x:c>
      <x:c r="I215" t="n">
        <x:f>IF(H215=0,1,0)</x:f>
        <x:v>1</x:v>
      </x:c>
      <x:c r="J215" s="16" t="n">
        <x:f>F215/E215</x:f>
        <x:v>23.030676951122697</x:v>
      </x:c>
      <x:c r="K215" s="16" t="n">
        <x:f>G215/1000/E215</x:f>
        <x:v>2.6541446606423538</x:v>
      </x:c>
    </x:row>
    <x:row r="216">
      <x:c r="A216" s="8" t="d">
        <x:v>2024-07-29T00:00:00.000Z</x:v>
      </x:c>
      <x:c r="B216" t="str">
        <x:v>Good</x:v>
      </x:c>
      <x:c r="C216" t="str">
        <x:v>Workday</x:v>
      </x:c>
      <x:c r="D216" s="10" t="n">
        <x:v>8.28</x:v>
      </x:c>
      <x:c r="E216" s="12" t="n">
        <x:v>138811</x:v>
      </x:c>
      <x:c r="F216" s="12" t="n">
        <x:v>2655578</x:v>
      </x:c>
      <x:c r="G216" s="14" t="n">
        <x:v>301292007.71</x:v>
      </x:c>
      <x:c r="H216" t="n">
        <x:v>0</x:v>
      </x:c>
      <x:c r="I216" t="n">
        <x:f>IF(H216=0,1,0)</x:f>
        <x:v>1</x:v>
      </x:c>
      <x:c r="J216" s="16" t="n">
        <x:f>F216/E216</x:f>
        <x:v>19.13089020322597</x:v>
      </x:c>
      <x:c r="K216" s="16" t="n">
        <x:f>G216/1000/E216</x:f>
        <x:v>2.1705196829501983</x:v>
      </x:c>
    </x:row>
    <x:row r="217">
      <x:c r="A217" s="8" t="d">
        <x:v>2024-07-30T00:00:00.000Z</x:v>
      </x:c>
      <x:c r="B217" t="str">
        <x:v>Good</x:v>
      </x:c>
      <x:c r="C217" t="str">
        <x:v>Workday</x:v>
      </x:c>
      <x:c r="D217" s="10" t="n">
        <x:v>12.583333</x:v>
      </x:c>
      <x:c r="E217" s="12" t="n">
        <x:v>150500</x:v>
      </x:c>
      <x:c r="F217" s="12" t="n">
        <x:v>2923913</x:v>
      </x:c>
      <x:c r="G217" s="14" t="n">
        <x:v>330388960.16</x:v>
      </x:c>
      <x:c r="H217" t="n">
        <x:v>0</x:v>
      </x:c>
      <x:c r="I217" t="n">
        <x:f>IF(H217=0,1,0)</x:f>
        <x:v>1</x:v>
      </x:c>
      <x:c r="J217" s="16" t="n">
        <x:f>F217/E217</x:f>
        <x:v>19.42799335548173</x:v>
      </x:c>
      <x:c r="K217" s="16" t="n">
        <x:f>G217/1000/E217</x:f>
        <x:v>2.1952754827906977</x:v>
      </x:c>
    </x:row>
    <x:row r="218">
      <x:c r="A218" s="8" t="d">
        <x:v>2024-07-31T00:00:00.000Z</x:v>
      </x:c>
      <x:c r="B218" t="str">
        <x:v>Good</x:v>
      </x:c>
      <x:c r="C218" t="str">
        <x:v>Workday</x:v>
      </x:c>
      <x:c r="D218" s="10" t="n">
        <x:v>7.88</x:v>
      </x:c>
      <x:c r="E218" s="12" t="n">
        <x:v>149858</x:v>
      </x:c>
      <x:c r="F218" s="12" t="n">
        <x:v>2892093</x:v>
      </x:c>
      <x:c r="G218" s="14" t="n">
        <x:v>326700378.8</x:v>
      </x:c>
      <x:c r="H218" t="n">
        <x:v>0</x:v>
      </x:c>
      <x:c r="I218" t="n">
        <x:f>IF(H218=0,1,0)</x:f>
        <x:v>1</x:v>
      </x:c>
      <x:c r="J218" s="16" t="n">
        <x:f>F218/E218</x:f>
        <x:v>19.298889615502677</x:v>
      </x:c>
      <x:c r="K218" s="16" t="n">
        <x:f>G218/1000/E218</x:f>
        <x:v>2.1800663214509735</x:v>
      </x:c>
    </x:row>
    <x:row r="219">
      <x:c r="A219" s="8" t="d">
        <x:v>2024-08-01T00:00:00.000Z</x:v>
      </x:c>
      <x:c r="B219" t="str">
        <x:v>Good</x:v>
      </x:c>
      <x:c r="C219" t="str">
        <x:v>Workday</x:v>
      </x:c>
      <x:c r="D219" s="10" t="n">
        <x:v>9.12</x:v>
      </x:c>
      <x:c r="E219" s="12" t="n">
        <x:v>145479</x:v>
      </x:c>
      <x:c r="F219" s="12" t="n">
        <x:v>2780089</x:v>
      </x:c>
      <x:c r="G219" s="14" t="n">
        <x:v>311540009.21</x:v>
      </x:c>
      <x:c r="H219" t="n">
        <x:v>0</x:v>
      </x:c>
      <x:c r="I219" t="n">
        <x:f>IF(H219=0,1,0)</x:f>
        <x:v>1</x:v>
      </x:c>
      <x:c r="J219" s="16" t="n">
        <x:f>F219/E219</x:f>
        <x:v>19.10989902322672</x:v>
      </x:c>
      <x:c r="K219" s="16" t="n">
        <x:f>G219/1000/E219</x:f>
        <x:v>2.1414775274094544</x:v>
      </x:c>
    </x:row>
    <x:row r="220">
      <x:c r="A220" s="8" t="d">
        <x:v>2024-08-02T00:00:00.000Z</x:v>
      </x:c>
      <x:c r="B220" t="str">
        <x:v>Moderate</x:v>
      </x:c>
      <x:c r="C220" t="str">
        <x:v>Workday</x:v>
      </x:c>
      <x:c r="D220" s="10" t="n">
        <x:v>16.8</x:v>
      </x:c>
      <x:c r="E220" s="12" t="n">
        <x:v>140142</x:v>
      </x:c>
      <x:c r="F220" s="12" t="n">
        <x:v>2685907</x:v>
      </x:c>
      <x:c r="G220" s="14" t="n">
        <x:v>300682228.08</x:v>
      </x:c>
      <x:c r="H220" t="n">
        <x:v>0</x:v>
      </x:c>
      <x:c r="I220" t="n">
        <x:f>IF(H220=0,1,0)</x:f>
        <x:v>1</x:v>
      </x:c>
      <x:c r="J220" s="16" t="n">
        <x:f>F220/E220</x:f>
        <x:v>19.165610594967962</x:v>
      </x:c>
      <x:c r="K220" s="16" t="n">
        <x:f>G220/1000/E220</x:f>
        <x:v>2.1455539958042555</x:v>
      </x:c>
    </x:row>
    <x:row r="221">
      <x:c r="A221" s="8" t="d">
        <x:v>2024-08-03T00:00:00.000Z</x:v>
      </x:c>
      <x:c r="B221" t="str">
        <x:v>Moderate</x:v>
      </x:c>
      <x:c r="C221" t="str">
        <x:v>Day off</x:v>
      </x:c>
      <x:c r="D221" s="10" t="n">
        <x:v>23.48</x:v>
      </x:c>
      <x:c r="E221" s="12" t="n">
        <x:v>105215</x:v>
      </x:c>
      <x:c r="F221" s="12" t="n">
        <x:v>2260393</x:v>
      </x:c>
      <x:c r="G221" s="14" t="n">
        <x:v>255605584.51</x:v>
      </x:c>
      <x:c r="H221" t="n">
        <x:v>0</x:v>
      </x:c>
      <x:c r="I221" t="n">
        <x:f>IF(H221=0,1,0)</x:f>
        <x:v>1</x:v>
      </x:c>
      <x:c r="J221" s="16" t="n">
        <x:f>F221/E221</x:f>
        <x:v>21.483562229720096</x:v>
      </x:c>
      <x:c r="K221" s="16" t="n">
        <x:f>G221/1000/E221</x:f>
        <x:v>2.429364487097847</x:v>
      </x:c>
    </x:row>
    <x:row r="222">
      <x:c r="A222" s="8" t="d">
        <x:v>2024-08-04T00:00:00.000Z</x:v>
      </x:c>
      <x:c r="B222" t="str">
        <x:v>Moderate</x:v>
      </x:c>
      <x:c r="C222" t="str">
        <x:v>Day off</x:v>
      </x:c>
      <x:c r="D222" s="10" t="n">
        <x:v>22.36</x:v>
      </x:c>
      <x:c r="E222" s="12" t="n">
        <x:v>89606</x:v>
      </x:c>
      <x:c r="F222" s="12" t="n">
        <x:v>1933317</x:v>
      </x:c>
      <x:c r="G222" s="14" t="n">
        <x:v>225536002.42</x:v>
      </x:c>
      <x:c r="H222" t="n">
        <x:v>0</x:v>
      </x:c>
      <x:c r="I222" t="n">
        <x:f>IF(H222=0,1,0)</x:f>
        <x:v>1</x:v>
      </x:c>
      <x:c r="J222" s="16" t="n">
        <x:f>F222/E222</x:f>
        <x:v>21.575753855768586</x:v>
      </x:c>
      <x:c r="K222" s="16" t="n">
        <x:f>G222/1000/E222</x:f>
        <x:v>2.516974336763163</x:v>
      </x:c>
    </x:row>
    <x:row r="223">
      <x:c r="A223" s="8" t="d">
        <x:v>2024-08-05T00:00:00.000Z</x:v>
      </x:c>
      <x:c r="B223" t="str">
        <x:v>Moderate</x:v>
      </x:c>
      <x:c r="C223" t="str">
        <x:v>Workday</x:v>
      </x:c>
      <x:c r="D223" s="10" t="n">
        <x:v>21.72</x:v>
      </x:c>
      <x:c r="E223" s="12" t="n">
        <x:v>123144</x:v>
      </x:c>
      <x:c r="F223" s="12" t="n">
        <x:v>2238513</x:v>
      </x:c>
      <x:c r="G223" s="14" t="n">
        <x:v>249504553.39</x:v>
      </x:c>
      <x:c r="H223" t="n">
        <x:v>0</x:v>
      </x:c>
      <x:c r="I223" t="n">
        <x:f>IF(H223=0,1,0)</x:f>
        <x:v>1</x:v>
      </x:c>
      <x:c r="J223" s="16" t="n">
        <x:f>F223/E223</x:f>
        <x:v>18.178011108945626</x:v>
      </x:c>
      <x:c r="K223" s="16" t="n">
        <x:f>G223/1000/E223</x:f>
        <x:v>2.0261202607516404</x:v>
      </x:c>
    </x:row>
    <x:row r="224">
      <x:c r="A224" s="8" t="d">
        <x:v>2024-08-06T00:00:00.000Z</x:v>
      </x:c>
      <x:c r="B224" t="str">
        <x:v>Good</x:v>
      </x:c>
      <x:c r="C224" t="str">
        <x:v>Workday</x:v>
      </x:c>
      <x:c r="D224" s="10" t="n">
        <x:v>9.8</x:v>
      </x:c>
      <x:c r="E224" s="12" t="n">
        <x:v>136536</x:v>
      </x:c>
      <x:c r="F224" s="12" t="n">
        <x:v>2617446</x:v>
      </x:c>
      <x:c r="G224" s="14" t="n">
        <x:v>251588051.48</x:v>
      </x:c>
      <x:c r="H224" t="n">
        <x:v>0</x:v>
      </x:c>
      <x:c r="I224" t="n">
        <x:f>IF(H224=0,1,0)</x:f>
        <x:v>1</x:v>
      </x:c>
      <x:c r="J224" s="16" t="n">
        <x:f>F224/E224</x:f>
        <x:v>19.1703726489717</x:v>
      </x:c>
      <x:c r="K224" s="16" t="n">
        <x:f>G224/1000/E224</x:f>
        <x:v>1.8426499346692446</x:v>
      </x:c>
    </x:row>
    <x:row r="225">
      <x:c r="A225" s="8" t="d">
        <x:v>2024-08-07T00:00:00.000Z</x:v>
      </x:c>
      <x:c r="B225" t="str">
        <x:v>Good</x:v>
      </x:c>
      <x:c r="C225" t="str">
        <x:v>Workday</x:v>
      </x:c>
      <x:c r="D225" s="10" t="n">
        <x:v>11.44</x:v>
      </x:c>
      <x:c r="E225" s="12" t="n">
        <x:v>141026</x:v>
      </x:c>
      <x:c r="F225" s="12" t="n">
        <x:v>2658033</x:v>
      </x:c>
      <x:c r="G225" s="14" t="n">
        <x:v>253993705.2</x:v>
      </x:c>
      <x:c r="H225" t="n">
        <x:v>0</x:v>
      </x:c>
      <x:c r="I225" t="n">
        <x:f>IF(H225=0,1,0)</x:f>
        <x:v>1</x:v>
      </x:c>
      <x:c r="J225" s="16" t="n">
        <x:f>F225/E225</x:f>
        <x:v>18.847822387361195</x:v>
      </x:c>
      <x:c r="K225" s="16" t="n">
        <x:f>G225/1000/E225</x:f>
        <x:v>1.8010416887666103</x:v>
      </x:c>
    </x:row>
    <x:row r="226">
      <x:c r="A226" s="8" t="d">
        <x:v>2024-08-08T00:00:00.000Z</x:v>
      </x:c>
      <x:c r="B226" t="str">
        <x:v>Good</x:v>
      </x:c>
      <x:c r="C226" t="str">
        <x:v>Workday</x:v>
      </x:c>
      <x:c r="D226" s="10" t="n">
        <x:v>13.92</x:v>
      </x:c>
      <x:c r="E226" s="12" t="n">
        <x:v>137386</x:v>
      </x:c>
      <x:c r="F226" s="12" t="n">
        <x:v>2655075</x:v>
      </x:c>
      <x:c r="G226" s="14" t="n">
        <x:v>250138155.14</x:v>
      </x:c>
      <x:c r="H226" t="n">
        <x:v>0</x:v>
      </x:c>
      <x:c r="I226" t="n">
        <x:f>IF(H226=0,1,0)</x:f>
        <x:v>1</x:v>
      </x:c>
      <x:c r="J226" s="16" t="n">
        <x:f>F226/E226</x:f>
        <x:v>19.32565909190165</x:v>
      </x:c>
      <x:c r="K226" s="16" t="n">
        <x:f>G226/1000/E226</x:f>
        <x:v>1.8206961054255892</x:v>
      </x:c>
    </x:row>
    <x:row r="227">
      <x:c r="A227" s="8" t="d">
        <x:v>2024-08-09T00:00:00.000Z</x:v>
      </x:c>
      <x:c r="B227" t="str">
        <x:v>Moderate</x:v>
      </x:c>
      <x:c r="C227" t="str">
        <x:v>Workday</x:v>
      </x:c>
      <x:c r="D227" s="10" t="n">
        <x:v>18.8</x:v>
      </x:c>
      <x:c r="E227" s="12" t="n">
        <x:v>139471</x:v>
      </x:c>
      <x:c r="F227" s="12" t="n">
        <x:v>2672640</x:v>
      </x:c>
      <x:c r="G227" s="14" t="n">
        <x:v>247200089.41</x:v>
      </x:c>
      <x:c r="H227" t="n">
        <x:v>0</x:v>
      </x:c>
      <x:c r="I227" t="n">
        <x:f>IF(H227=0,1,0)</x:f>
        <x:v>1</x:v>
      </x:c>
      <x:c r="J227" s="16" t="n">
        <x:f>F227/E227</x:f>
        <x:v>19.16269331975823</x:v>
      </x:c>
      <x:c r="K227" s="16" t="n">
        <x:f>G227/1000/E227</x:f>
        <x:v>1.7724121101160815</x:v>
      </x:c>
    </x:row>
    <x:row r="228">
      <x:c r="A228" s="8" t="d">
        <x:v>2024-08-10T00:00:00.000Z</x:v>
      </x:c>
      <x:c r="B228" t="str">
        <x:v>Moderate</x:v>
      </x:c>
      <x:c r="C228" t="str">
        <x:v>Day off</x:v>
      </x:c>
      <x:c r="D228" s="10" t="n">
        <x:v>23.96</x:v>
      </x:c>
      <x:c r="E228" s="12" t="n">
        <x:v>114522</x:v>
      </x:c>
      <x:c r="F228" s="12" t="n">
        <x:v>2528365</x:v>
      </x:c>
      <x:c r="G228" s="14" t="n">
        <x:v>230234020.04</x:v>
      </x:c>
      <x:c r="H228" t="n">
        <x:v>0</x:v>
      </x:c>
      <x:c r="I228" t="n">
        <x:f>IF(H228=0,1,0)</x:f>
        <x:v>1</x:v>
      </x:c>
      <x:c r="J228" s="16" t="n">
        <x:f>F228/E228</x:f>
        <x:v>22.07754841864445</x:v>
      </x:c>
      <x:c r="K228" s="16" t="n">
        <x:f>G228/1000/E228</x:f>
        <x:v>2.0103911915614465</x:v>
      </x:c>
    </x:row>
    <x:row r="229">
      <x:c r="A229" s="8" t="d">
        <x:v>2024-08-11T00:00:00.000Z</x:v>
      </x:c>
      <x:c r="B229" t="str">
        <x:v>Moderate</x:v>
      </x:c>
      <x:c r="C229" t="str">
        <x:v>Day off</x:v>
      </x:c>
      <x:c r="D229" s="10" t="n">
        <x:v>21.6</x:v>
      </x:c>
      <x:c r="E229" s="12" t="n">
        <x:v>99627</x:v>
      </x:c>
      <x:c r="F229" s="12" t="n">
        <x:v>2268568</x:v>
      </x:c>
      <x:c r="G229" s="14" t="n">
        <x:v>211718980.54</x:v>
      </x:c>
      <x:c r="H229" t="n">
        <x:v>0</x:v>
      </x:c>
      <x:c r="I229" t="n">
        <x:f>IF(H229=0,1,0)</x:f>
        <x:v>1</x:v>
      </x:c>
      <x:c r="J229" s="16" t="n">
        <x:f>F229/E229</x:f>
        <x:v>22.77061439168097</x:v>
      </x:c>
      <x:c r="K229" s="16" t="n">
        <x:f>G229/1000/E229</x:f>
        <x:v>2.1251164899073545</x:v>
      </x:c>
    </x:row>
    <x:row r="230">
      <x:c r="A230" s="8" t="d">
        <x:v>2024-08-12T00:00:00.000Z</x:v>
      </x:c>
      <x:c r="B230" t="str">
        <x:v>Moderate</x:v>
      </x:c>
      <x:c r="C230" t="str">
        <x:v>Workday</x:v>
      </x:c>
      <x:c r="D230" s="10" t="n">
        <x:v>19.24</x:v>
      </x:c>
      <x:c r="E230" s="12" t="n">
        <x:v>143220</x:v>
      </x:c>
      <x:c r="F230" s="12" t="n">
        <x:v>2717334</x:v>
      </x:c>
      <x:c r="G230" s="14" t="n">
        <x:v>256759269.07</x:v>
      </x:c>
      <x:c r="H230" t="n">
        <x:v>0</x:v>
      </x:c>
      <x:c r="I230" t="n">
        <x:f>IF(H230=0,1,0)</x:f>
        <x:v>1</x:v>
      </x:c>
      <x:c r="J230" s="16" t="n">
        <x:f>F230/E230</x:f>
        <x:v>18.97314620863008</x:v>
      </x:c>
      <x:c r="K230" s="16" t="n">
        <x:f>G230/1000/E230</x:f>
        <x:v>1.7927612698645439</x:v>
      </x:c>
    </x:row>
    <x:row r="231">
      <x:c r="A231" s="8" t="d">
        <x:v>2024-08-13T00:00:00.000Z</x:v>
      </x:c>
      <x:c r="B231" t="str">
        <x:v>Moderate</x:v>
      </x:c>
      <x:c r="C231" t="str">
        <x:v>Workday</x:v>
      </x:c>
      <x:c r="D231" s="10" t="n">
        <x:v>17.08</x:v>
      </x:c>
      <x:c r="E231" s="12" t="n">
        <x:v>134065</x:v>
      </x:c>
      <x:c r="F231" s="12" t="n">
        <x:v>2454668</x:v>
      </x:c>
      <x:c r="G231" s="14" t="n">
        <x:v>225478380.28</x:v>
      </x:c>
      <x:c r="H231" t="n">
        <x:v>0</x:v>
      </x:c>
      <x:c r="I231" t="n">
        <x:f>IF(H231=0,1,0)</x:f>
        <x:v>1</x:v>
      </x:c>
      <x:c r="J231" s="16" t="n">
        <x:f>F231/E231</x:f>
        <x:v>18.309536418901278</x:v>
      </x:c>
      <x:c r="K231" s="16" t="n">
        <x:f>G231/1000/E231</x:f>
        <x:v>1.6818586527430726</x:v>
      </x:c>
    </x:row>
    <x:row r="232">
      <x:c r="A232" s="8" t="d">
        <x:v>2024-08-14T00:00:00.000Z</x:v>
      </x:c>
      <x:c r="B232" t="str">
        <x:v>Moderate</x:v>
      </x:c>
      <x:c r="C232" t="str">
        <x:v>Workday</x:v>
      </x:c>
      <x:c r="D232" s="10" t="n">
        <x:v>16.64</x:v>
      </x:c>
      <x:c r="E232" s="12" t="n">
        <x:v>132723</x:v>
      </x:c>
      <x:c r="F232" s="12" t="n">
        <x:v>2481658</x:v>
      </x:c>
      <x:c r="G232" s="14" t="n">
        <x:v>228072818.06</x:v>
      </x:c>
      <x:c r="H232" t="n">
        <x:v>0</x:v>
      </x:c>
      <x:c r="I232" t="n">
        <x:f>IF(H232=0,1,0)</x:f>
        <x:v>1</x:v>
      </x:c>
      <x:c r="J232" s="16" t="n">
        <x:f>F232/E232</x:f>
        <x:v>18.69802521040061</x:v>
      </x:c>
      <x:c r="K232" s="16" t="n">
        <x:f>G232/1000/E232</x:f>
        <x:v>1.7184121671451067</x:v>
      </x:c>
    </x:row>
    <x:row r="233">
      <x:c r="A233" s="8" t="d">
        <x:v>2024-08-15T00:00:00.000Z</x:v>
      </x:c>
      <x:c r="B233" t="str">
        <x:v>Moderate</x:v>
      </x:c>
      <x:c r="C233" t="str">
        <x:v>Day off</x:v>
      </x:c>
      <x:c r="D233" s="10" t="n">
        <x:v>15.56</x:v>
      </x:c>
      <x:c r="E233" s="12" t="n">
        <x:v>102408</x:v>
      </x:c>
      <x:c r="F233" s="12" t="n">
        <x:v>2305184</x:v>
      </x:c>
      <x:c r="G233" s="14" t="n">
        <x:v>213395384.44</x:v>
      </x:c>
      <x:c r="H233" t="n">
        <x:v>0</x:v>
      </x:c>
      <x:c r="I233" t="n">
        <x:f>IF(H233=0,1,0)</x:f>
        <x:v>1</x:v>
      </x:c>
      <x:c r="J233" s="16" t="n">
        <x:f>F233/E233</x:f>
        <x:v>22.50980392156863</x:v>
      </x:c>
      <x:c r="K233" s="16" t="n">
        <x:f>G233/1000/E233</x:f>
        <x:v>2.0837765061323332</x:v>
      </x:c>
    </x:row>
    <x:row r="234">
      <x:c r="A234" s="8" t="d">
        <x:v>2024-08-16T00:00:00.000Z</x:v>
      </x:c>
      <x:c r="B234" t="str">
        <x:v>Good</x:v>
      </x:c>
      <x:c r="C234" t="str">
        <x:v>Workday</x:v>
      </x:c>
      <x:c r="D234" s="10" t="n">
        <x:v>14.2</x:v>
      </x:c>
      <x:c r="E234" s="12" t="n">
        <x:v>140840</x:v>
      </x:c>
      <x:c r="F234" s="12" t="n">
        <x:v>2818913</x:v>
      </x:c>
      <x:c r="G234" s="14" t="n">
        <x:v>300349124.63</x:v>
      </x:c>
      <x:c r="H234" t="n">
        <x:v>0</x:v>
      </x:c>
      <x:c r="I234" t="n">
        <x:f>IF(H234=0,1,0)</x:f>
        <x:v>1</x:v>
      </x:c>
      <x:c r="J234" s="16" t="n">
        <x:f>F234/E234</x:f>
        <x:v>20.015002840102245</x:v>
      </x:c>
      <x:c r="K234" s="16" t="n">
        <x:f>G234/1000/E234</x:f>
        <x:v>2.132555556873047</x:v>
      </x:c>
    </x:row>
    <x:row r="235">
      <x:c r="A235" s="8" t="d">
        <x:v>2024-08-17T00:00:00.000Z</x:v>
      </x:c>
      <x:c r="B235" t="str">
        <x:v>Good</x:v>
      </x:c>
      <x:c r="C235" t="str">
        <x:v>Day off</x:v>
      </x:c>
      <x:c r="D235" s="10" t="n">
        <x:v>14.68</x:v>
      </x:c>
      <x:c r="E235" s="12" t="n">
        <x:v>105962</x:v>
      </x:c>
      <x:c r="F235" s="12" t="n">
        <x:v>2339149</x:v>
      </x:c>
      <x:c r="G235" s="14" t="n">
        <x:v>263395501.74</x:v>
      </x:c>
      <x:c r="H235" t="n">
        <x:v>0</x:v>
      </x:c>
      <x:c r="I235" t="n">
        <x:f>IF(H235=0,1,0)</x:f>
        <x:v>1</x:v>
      </x:c>
      <x:c r="J235" s="16" t="n">
        <x:f>F235/E235</x:f>
        <x:v>22.075357203525794</x:v>
      </x:c>
      <x:c r="K235" s="16" t="n">
        <x:f>G235/1000/E235</x:f>
        <x:v>2.4857543434438765</x:v>
      </x:c>
    </x:row>
    <x:row r="236">
      <x:c r="A236" s="8" t="d">
        <x:v>2024-08-18T00:00:00.000Z</x:v>
      </x:c>
      <x:c r="B236" t="str">
        <x:v>Good</x:v>
      </x:c>
      <x:c r="C236" t="str">
        <x:v>Day off</x:v>
      </x:c>
      <x:c r="D236" s="10" t="n">
        <x:v>14.08</x:v>
      </x:c>
      <x:c r="E236" s="12" t="n">
        <x:v>93504</x:v>
      </x:c>
      <x:c r="F236" s="12" t="n">
        <x:v>2080370</x:v>
      </x:c>
      <x:c r="G236" s="14" t="n">
        <x:v>243173677.44</x:v>
      </x:c>
      <x:c r="H236" t="n">
        <x:v>0</x:v>
      </x:c>
      <x:c r="I236" t="n">
        <x:f>IF(H236=0,1,0)</x:f>
        <x:v>1</x:v>
      </x:c>
      <x:c r="J236" s="16" t="n">
        <x:f>F236/E236</x:f>
        <x:v>22.2489946954141</x:v>
      </x:c>
      <x:c r="K236" s="16" t="n">
        <x:f>G236/1000/E236</x:f>
        <x:v>2.6006767351129363</x:v>
      </x:c>
    </x:row>
    <x:row r="237">
      <x:c r="A237" s="8" t="d">
        <x:v>2024-08-19T00:00:00.000Z</x:v>
      </x:c>
      <x:c r="B237" t="str">
        <x:v>Moderate</x:v>
      </x:c>
      <x:c r="C237" t="str">
        <x:v>Workday</x:v>
      </x:c>
      <x:c r="D237" s="10" t="n">
        <x:v>17.24</x:v>
      </x:c>
      <x:c r="E237" s="12" t="n">
        <x:v>142992</x:v>
      </x:c>
      <x:c r="F237" s="12" t="n">
        <x:v>2710986</x:v>
      </x:c>
      <x:c r="G237" s="14" t="n">
        <x:v>303988146.61</x:v>
      </x:c>
      <x:c r="H237" t="n">
        <x:v>0</x:v>
      </x:c>
      <x:c r="I237" t="n">
        <x:f>IF(H237=0,1,0)</x:f>
        <x:v>1</x:v>
      </x:c>
      <x:c r="J237" s="16" t="n">
        <x:f>F237/E237</x:f>
        <x:v>18.95900469956361</x:v>
      </x:c>
      <x:c r="K237" s="16" t="n">
        <x:f>G237/1000/E237</x:f>
        <x:v>2.1259101670722838</x:v>
      </x:c>
    </x:row>
    <x:row r="238">
      <x:c r="A238" s="8" t="d">
        <x:v>2024-08-20T00:00:00.000Z</x:v>
      </x:c>
      <x:c r="B238" t="str">
        <x:v>Moderate</x:v>
      </x:c>
      <x:c r="C238" t="str">
        <x:v>Workday</x:v>
      </x:c>
      <x:c r="D238" s="10" t="n">
        <x:v>17.4</x:v>
      </x:c>
      <x:c r="E238" s="12" t="n">
        <x:v>146658</x:v>
      </x:c>
      <x:c r="F238" s="12" t="n">
        <x:v>2651899</x:v>
      </x:c>
      <x:c r="G238" s="14" t="n">
        <x:v>295483112.08</x:v>
      </x:c>
      <x:c r="H238" t="n">
        <x:v>0</x:v>
      </x:c>
      <x:c r="I238" t="n">
        <x:f>IF(H238=0,1,0)</x:f>
        <x:v>1</x:v>
      </x:c>
      <x:c r="J238" s="16" t="n">
        <x:f>F238/E238</x:f>
        <x:v>18.08219803897503</x:v>
      </x:c>
      <x:c r="K238" s="16" t="n">
        <x:f>G238/1000/E238</x:f>
        <x:v>2.014776637346752</x:v>
      </x:c>
    </x:row>
    <x:row r="239">
      <x:c r="A239" s="8" t="d">
        <x:v>2024-08-21T00:00:00.000Z</x:v>
      </x:c>
      <x:c r="B239" t="str">
        <x:v>Good</x:v>
      </x:c>
      <x:c r="C239" t="str">
        <x:v>Workday</x:v>
      </x:c>
      <x:c r="D239" s="10" t="n">
        <x:v>5.8</x:v>
      </x:c>
      <x:c r="E239" s="12" t="n">
        <x:v>73098</x:v>
      </x:c>
      <x:c r="F239" s="12" t="n">
        <x:v>1431414</x:v>
      </x:c>
      <x:c r="G239" s="14" t="n">
        <x:v>151228817.5</x:v>
      </x:c>
      <x:c r="H239" t="n">
        <x:v>0</x:v>
      </x:c>
      <x:c r="I239" t="n">
        <x:f>IF(H239=0,1,0)</x:f>
        <x:v>1</x:v>
      </x:c>
      <x:c r="J239" s="16" t="n">
        <x:f>F239/E239</x:f>
        <x:v>19.582122629894116</x:v>
      </x:c>
      <x:c r="K239" s="16" t="n">
        <x:f>G239/1000/E239</x:f>
        <x:v>2.06885027634135</x:v>
      </x:c>
    </x:row>
    <x:row r="240">
      <x:c r="A240" s="8" t="d">
        <x:v>2024-08-22T00:00:00.000Z</x:v>
      </x:c>
      <x:c r="B240" t="str">
        <x:v>Good</x:v>
      </x:c>
      <x:c r="C240" t="str">
        <x:v>Workday</x:v>
      </x:c>
      <x:c r="D240" s="10" t="n">
        <x:v>5.88</x:v>
      </x:c>
      <x:c r="E240" s="12" t="n">
        <x:v>125868</x:v>
      </x:c>
      <x:c r="F240" s="12" t="n">
        <x:v>2203902</x:v>
      </x:c>
      <x:c r="G240" s="14" t="n">
        <x:v>247075462.47</x:v>
      </x:c>
      <x:c r="H240" t="n">
        <x:v>0</x:v>
      </x:c>
      <x:c r="I240" t="n">
        <x:f>IF(H240=0,1,0)</x:f>
        <x:v>1</x:v>
      </x:c>
      <x:c r="J240" s="16" t="n">
        <x:f>F240/E240</x:f>
        <x:v>17.509629135284584</x:v>
      </x:c>
      <x:c r="K240" s="16" t="n">
        <x:f>G240/1000/E240</x:f>
        <x:v>1.9629728165220708</x:v>
      </x:c>
    </x:row>
    <x:row r="241">
      <x:c r="A241" s="8" t="d">
        <x:v>2024-08-23T00:00:00.000Z</x:v>
      </x:c>
      <x:c r="B241" t="str">
        <x:v>Moderate</x:v>
      </x:c>
      <x:c r="C241" t="str">
        <x:v>Workday</x:v>
      </x:c>
      <x:c r="D241" s="10" t="n">
        <x:v>20.8</x:v>
      </x:c>
      <x:c r="E241" s="12" t="n">
        <x:v>151292</x:v>
      </x:c>
      <x:c r="F241" s="12" t="n">
        <x:v>2993935</x:v>
      </x:c>
      <x:c r="G241" s="14" t="n">
        <x:v>330882036.05</x:v>
      </x:c>
      <x:c r="H241" t="n">
        <x:v>0</x:v>
      </x:c>
      <x:c r="I241" t="n">
        <x:f>IF(H241=0,1,0)</x:f>
        <x:v>1</x:v>
      </x:c>
      <x:c r="J241" s="16" t="n">
        <x:f>F241/E241</x:f>
        <x:v>19.789116410649605</x:v>
      </x:c>
      <x:c r="K241" s="16" t="n">
        <x:f>G241/1000/E241</x:f>
        <x:v>2.1870425141448324</x:v>
      </x:c>
    </x:row>
    <x:row r="242">
      <x:c r="A242" s="8" t="d">
        <x:v>2024-08-24T00:00:00.000Z</x:v>
      </x:c>
      <x:c r="B242" t="str">
        <x:v>Moderate</x:v>
      </x:c>
      <x:c r="C242" t="str">
        <x:v>Day off</x:v>
      </x:c>
      <x:c r="D242" s="10" t="n">
        <x:v>30.76</x:v>
      </x:c>
      <x:c r="E242" s="12" t="n">
        <x:v>105509</x:v>
      </x:c>
      <x:c r="F242" s="12" t="n">
        <x:v>2361843</x:v>
      </x:c>
      <x:c r="G242" s="14" t="n">
        <x:v>263461235.12</x:v>
      </x:c>
      <x:c r="H242" t="n">
        <x:v>0</x:v>
      </x:c>
      <x:c r="I242" t="n">
        <x:f>IF(H242=0,1,0)</x:f>
        <x:v>1</x:v>
      </x:c>
      <x:c r="J242" s="16" t="n">
        <x:f>F242/E242</x:f>
        <x:v>22.385227800472</x:v>
      </x:c>
      <x:c r="K242" s="16" t="n">
        <x:f>G242/1000/E242</x:f>
        <x:v>2.497049873660067</x:v>
      </x:c>
    </x:row>
    <x:row r="243">
      <x:c r="A243" s="8" t="d">
        <x:v>2024-08-25T00:00:00.000Z</x:v>
      </x:c>
      <x:c r="B243" t="str">
        <x:v>Moderate</x:v>
      </x:c>
      <x:c r="C243" t="str">
        <x:v>Day off</x:v>
      </x:c>
      <x:c r="D243" s="10" t="n">
        <x:v>29.76</x:v>
      </x:c>
      <x:c r="E243" s="12" t="n">
        <x:v>101720</x:v>
      </x:c>
      <x:c r="F243" s="12" t="n">
        <x:v>2361351</x:v>
      </x:c>
      <x:c r="G243" s="14" t="n">
        <x:v>276715849.64</x:v>
      </x:c>
      <x:c r="H243" t="n">
        <x:v>0</x:v>
      </x:c>
      <x:c r="I243" t="n">
        <x:f>IF(H243=0,1,0)</x:f>
        <x:v>1</x:v>
      </x:c>
      <x:c r="J243" s="16" t="n">
        <x:f>F243/E243</x:f>
        <x:v>23.214225324419978</x:v>
      </x:c>
      <x:c r="K243" s="16" t="n">
        <x:f>G243/1000/E243</x:f>
        <x:v>2.7203681639795514</x:v>
      </x:c>
    </x:row>
    <x:row r="244">
      <x:c r="A244" s="8" t="d">
        <x:v>2024-08-26T00:00:00.000Z</x:v>
      </x:c>
      <x:c r="B244" t="str">
        <x:v>Moderate</x:v>
      </x:c>
      <x:c r="C244" t="str">
        <x:v>Workday</x:v>
      </x:c>
      <x:c r="D244" s="10" t="n">
        <x:v>27.4</x:v>
      </x:c>
      <x:c r="E244" s="12" t="n">
        <x:v>142224</x:v>
      </x:c>
      <x:c r="F244" s="12" t="n">
        <x:v>2686835</x:v>
      </x:c>
      <x:c r="G244" s="14" t="n">
        <x:v>302455113.66</x:v>
      </x:c>
      <x:c r="H244" t="n">
        <x:v>0</x:v>
      </x:c>
      <x:c r="I244" t="n">
        <x:f>IF(H244=0,1,0)</x:f>
        <x:v>1</x:v>
      </x:c>
      <x:c r="J244" s="16" t="n">
        <x:f>F244/E244</x:f>
        <x:v>18.891572449094387</x:v>
      </x:c>
      <x:c r="K244" s="16" t="n">
        <x:f>G244/1000/E244</x:f>
        <x:v>2.1266109352851843</x:v>
      </x:c>
    </x:row>
    <x:row r="245">
      <x:c r="A245" s="8" t="d">
        <x:v>2024-08-27T00:00:00.000Z</x:v>
      </x:c>
      <x:c r="B245" t="str">
        <x:v>Good</x:v>
      </x:c>
      <x:c r="C245" t="str">
        <x:v>Workday</x:v>
      </x:c>
      <x:c r="D245" s="10" t="n">
        <x:v>12.68</x:v>
      </x:c>
      <x:c r="E245" s="12" t="n">
        <x:v>149058</x:v>
      </x:c>
      <x:c r="F245" s="12" t="n">
        <x:v>3033129</x:v>
      </x:c>
      <x:c r="G245" s="14" t="n">
        <x:v>346699393.58</x:v>
      </x:c>
      <x:c r="H245" t="n">
        <x:v>0</x:v>
      </x:c>
      <x:c r="I245" t="n">
        <x:f>IF(H245=0,1,0)</x:f>
        <x:v>1</x:v>
      </x:c>
      <x:c r="J245" s="16" t="n">
        <x:f>F245/E245</x:f>
        <x:v>20.34864951897919</x:v>
      </x:c>
      <x:c r="K245" s="16" t="n">
        <x:f>G245/1000/E245</x:f>
        <x:v>2.3259361696789167</x:v>
      </x:c>
    </x:row>
    <x:row r="246">
      <x:c r="A246" s="8" t="d">
        <x:v>2024-08-28T00:00:00.000Z</x:v>
      </x:c>
      <x:c r="B246" t="str">
        <x:v>Good</x:v>
      </x:c>
      <x:c r="C246" t="str">
        <x:v>Workday</x:v>
      </x:c>
      <x:c r="D246" s="10" t="n">
        <x:v>7.56</x:v>
      </x:c>
      <x:c r="E246" s="12" t="n">
        <x:v>166233</x:v>
      </x:c>
      <x:c r="F246" s="12" t="n">
        <x:v>3287268</x:v>
      </x:c>
      <x:c r="G246" s="14" t="n">
        <x:v>374297755.87</x:v>
      </x:c>
      <x:c r="H246" t="n">
        <x:v>0</x:v>
      </x:c>
      <x:c r="I246" t="n">
        <x:f>IF(H246=0,1,0)</x:f>
        <x:v>1</x:v>
      </x:c>
      <x:c r="J246" s="16" t="n">
        <x:f>F246/E246</x:f>
        <x:v>19.775062713179693</x:v>
      </x:c>
      <x:c r="K246" s="16" t="n">
        <x:f>G246/1000/E246</x:f>
        <x:v>2.2516453163330987</x:v>
      </x:c>
    </x:row>
    <x:row r="247">
      <x:c r="A247" s="8" t="d">
        <x:v>2024-08-29T00:00:00.000Z</x:v>
      </x:c>
      <x:c r="B247" t="str">
        <x:v>Good</x:v>
      </x:c>
      <x:c r="C247" t="str">
        <x:v>Workday</x:v>
      </x:c>
      <x:c r="D247" s="10" t="n">
        <x:v>4.32</x:v>
      </x:c>
      <x:c r="E247" s="12" t="n">
        <x:v>166655</x:v>
      </x:c>
      <x:c r="F247" s="12" t="n">
        <x:v>3304398</x:v>
      </x:c>
      <x:c r="G247" s="14" t="n">
        <x:v>378318161.09</x:v>
      </x:c>
      <x:c r="H247" t="n">
        <x:v>0</x:v>
      </x:c>
      <x:c r="I247" t="n">
        <x:f>IF(H247=0,1,0)</x:f>
        <x:v>1</x:v>
      </x:c>
      <x:c r="J247" s="16" t="n">
        <x:f>F247/E247</x:f>
        <x:v>19.8277759443161</x:v>
      </x:c>
      <x:c r="K247" s="16" t="n">
        <x:f>G247/1000/E247</x:f>
        <x:v>2.27006787129099</x:v>
      </x:c>
    </x:row>
    <x:row r="248">
      <x:c r="A248" s="8" t="d">
        <x:v>2024-08-30T00:00:00.000Z</x:v>
      </x:c>
      <x:c r="B248" t="str">
        <x:v>Good</x:v>
      </x:c>
      <x:c r="C248" t="str">
        <x:v>Workday</x:v>
      </x:c>
      <x:c r="D248" s="10" t="n">
        <x:v>6.44</x:v>
      </x:c>
      <x:c r="E248" s="12" t="n">
        <x:v>167324</x:v>
      </x:c>
      <x:c r="F248" s="12" t="n">
        <x:v>3393338</x:v>
      </x:c>
      <x:c r="G248" s="14" t="n">
        <x:v>381055048.89</x:v>
      </x:c>
      <x:c r="H248" t="n">
        <x:v>0</x:v>
      </x:c>
      <x:c r="I248" t="n">
        <x:f>IF(H248=0,1,0)</x:f>
        <x:v>1</x:v>
      </x:c>
      <x:c r="J248" s="16" t="n">
        <x:f>F248/E248</x:f>
        <x:v>20.28004350840286</x:v>
      </x:c>
      <x:c r="K248" s="16" t="n">
        <x:f>G248/1000/E248</x:f>
        <x:v>2.2773484311276326</x:v>
      </x:c>
    </x:row>
    <x:row r="249">
      <x:c r="A249" s="8" t="d">
        <x:v>2024-08-31T00:00:00.000Z</x:v>
      </x:c>
      <x:c r="B249" t="str">
        <x:v>Moderate</x:v>
      </x:c>
      <x:c r="C249" t="str">
        <x:v>Day off</x:v>
      </x:c>
      <x:c r="D249" s="10" t="n">
        <x:v>19.32</x:v>
      </x:c>
      <x:c r="E249" s="12" t="n">
        <x:v>134541</x:v>
      </x:c>
      <x:c r="F249" s="12" t="n">
        <x:v>3243663</x:v>
      </x:c>
      <x:c r="G249" s="14" t="n">
        <x:v>364080673.53</x:v>
      </x:c>
      <x:c r="H249" t="n">
        <x:v>0</x:v>
      </x:c>
      <x:c r="I249" t="n">
        <x:f>IF(H249=0,1,0)</x:f>
        <x:v>1</x:v>
      </x:c>
      <x:c r="J249" s="16" t="n">
        <x:f>F249/E249</x:f>
        <x:v>24.109104287912235</x:v>
      </x:c>
      <x:c r="K249" s="16" t="n">
        <x:f>G249/1000/E249</x:f>
        <x:v>2.7060945996387717</x:v>
      </x:c>
    </x:row>
    <x:row r="250">
      <x:c r="A250" s="8" t="d">
        <x:v>2024-09-01T00:00:00.000Z</x:v>
      </x:c>
      <x:c r="B250" t="str">
        <x:v>Moderate</x:v>
      </x:c>
      <x:c r="C250" t="str">
        <x:v>Day off</x:v>
      </x:c>
      <x:c r="D250" s="10" t="n">
        <x:v>20.32</x:v>
      </x:c>
      <x:c r="E250" s="12" t="n">
        <x:v>125165</x:v>
      </x:c>
      <x:c r="F250" s="12" t="n">
        <x:v>3129661</x:v>
      </x:c>
      <x:c r="G250" s="14" t="n">
        <x:v>361504423.71</x:v>
      </x:c>
      <x:c r="H250" t="n">
        <x:v>0</x:v>
      </x:c>
      <x:c r="I250" t="n">
        <x:f>IF(H250=0,1,0)</x:f>
        <x:v>1</x:v>
      </x:c>
      <x:c r="J250" s="16" t="n">
        <x:f>F250/E250</x:f>
        <x:v>25.00428234730156</x:v>
      </x:c>
      <x:c r="K250" s="16" t="n">
        <x:f>G250/1000/E250</x:f>
        <x:v>2.888222935405265</x:v>
      </x:c>
    </x:row>
    <x:row r="251">
      <x:c r="A251" s="8" t="d">
        <x:v>2024-09-02T00:00:00.000Z</x:v>
      </x:c>
      <x:c r="B251" t="str">
        <x:v>Good</x:v>
      </x:c>
      <x:c r="C251" t="str">
        <x:v>Workday</x:v>
      </x:c>
      <x:c r="D251" s="10" t="n">
        <x:v>12</x:v>
      </x:c>
      <x:c r="E251" s="12" t="n">
        <x:v>153786</x:v>
      </x:c>
      <x:c r="F251" s="12" t="n">
        <x:v>3130553</x:v>
      </x:c>
      <x:c r="G251" s="14" t="n">
        <x:v>358000197.21</x:v>
      </x:c>
      <x:c r="H251" t="n">
        <x:v>0</x:v>
      </x:c>
      <x:c r="I251" t="n">
        <x:f>IF(H251=0,1,0)</x:f>
        <x:v>1</x:v>
      </x:c>
      <x:c r="J251" s="16" t="n">
        <x:f>F251/E251</x:f>
        <x:v>20.35655391257982</x:v>
      </x:c>
      <x:c r="K251" s="16" t="n">
        <x:f>G251/1000/E251</x:f>
        <x:v>2.327911495259646</x:v>
      </x:c>
    </x:row>
    <x:row r="252">
      <x:c r="A252" s="8" t="d">
        <x:v>2024-09-03T00:00:00.000Z</x:v>
      </x:c>
      <x:c r="B252" t="str">
        <x:v>Good</x:v>
      </x:c>
      <x:c r="C252" t="str">
        <x:v>Workday</x:v>
      </x:c>
      <x:c r="D252" s="10" t="n">
        <x:v>4.88</x:v>
      </x:c>
      <x:c r="E252" s="12" t="n">
        <x:v>178899</x:v>
      </x:c>
      <x:c r="F252" s="12" t="n">
        <x:v>3609584</x:v>
      </x:c>
      <x:c r="G252" s="14" t="n">
        <x:v>414915000.97</x:v>
      </x:c>
      <x:c r="H252" t="n">
        <x:v>0</x:v>
      </x:c>
      <x:c r="I252" t="n">
        <x:f>IF(H252=0,1,0)</x:f>
        <x:v>1</x:v>
      </x:c>
      <x:c r="J252" s="16" t="n">
        <x:f>F252/E252</x:f>
        <x:v>20.176658337944875</x:v>
      </x:c>
      <x:c r="K252" s="16" t="n">
        <x:f>G252/1000/E252</x:f>
        <x:v>2.319269537392607</x:v>
      </x:c>
    </x:row>
    <x:row r="253">
      <x:c r="A253" s="8" t="d">
        <x:v>2024-09-04T00:00:00.000Z</x:v>
      </x:c>
      <x:c r="B253" t="str">
        <x:v>Good</x:v>
      </x:c>
      <x:c r="C253" t="str">
        <x:v>Workday</x:v>
      </x:c>
      <x:c r="D253" s="10" t="n">
        <x:v>10.08</x:v>
      </x:c>
      <x:c r="E253" s="12" t="n">
        <x:v>176847</x:v>
      </x:c>
      <x:c r="F253" s="12" t="n">
        <x:v>3505316</x:v>
      </x:c>
      <x:c r="G253" s="14" t="n">
        <x:v>403065495.55</x:v>
      </x:c>
      <x:c r="H253" t="n">
        <x:v>0</x:v>
      </x:c>
      <x:c r="I253" t="n">
        <x:f>IF(H253=0,1,0)</x:f>
        <x:v>1</x:v>
      </x:c>
      <x:c r="J253" s="16" t="n">
        <x:f>F253/E253</x:f>
        <x:v>19.8211787590403</x:v>
      </x:c>
      <x:c r="K253" s="16" t="n">
        <x:f>G253/1000/E253</x:f>
        <x:v>2.279176325015409</x:v>
      </x:c>
    </x:row>
    <x:row r="254">
      <x:c r="A254" s="8" t="d">
        <x:v>2024-09-05T00:00:00.000Z</x:v>
      </x:c>
      <x:c r="B254" t="str">
        <x:v>Good</x:v>
      </x:c>
      <x:c r="C254" t="str">
        <x:v>Workday</x:v>
      </x:c>
      <x:c r="D254" s="10" t="n">
        <x:v>13.16</x:v>
      </x:c>
      <x:c r="E254" s="12" t="n">
        <x:v>142465</x:v>
      </x:c>
      <x:c r="F254" s="12" t="n">
        <x:v>2633101</x:v>
      </x:c>
      <x:c r="G254" s="14" t="n">
        <x:v>303741138.84</x:v>
      </x:c>
      <x:c r="H254" t="n">
        <x:v>0</x:v>
      </x:c>
      <x:c r="I254" t="n">
        <x:f>IF(H254=0,1,0)</x:f>
        <x:v>1</x:v>
      </x:c>
      <x:c r="J254" s="16" t="n">
        <x:f>F254/E254</x:f>
        <x:v>18.482441301372265</x:v>
      </x:c>
      <x:c r="K254" s="16" t="n">
        <x:f>G254/1000/E254</x:f>
        <x:v>2.1320404228406975</x:v>
      </x:c>
    </x:row>
    <x:row r="255">
      <x:c r="A255" s="8" t="d">
        <x:v>2024-09-06T00:00:00.000Z</x:v>
      </x:c>
      <x:c r="B255" t="str">
        <x:v>Good</x:v>
      </x:c>
      <x:c r="C255" t="str">
        <x:v>Workday</x:v>
      </x:c>
      <x:c r="D255" s="10" t="n">
        <x:v>7.6</x:v>
      </x:c>
      <x:c r="E255" s="12" t="n">
        <x:v>150532</x:v>
      </x:c>
      <x:c r="F255" s="12" t="n">
        <x:v>2940640</x:v>
      </x:c>
      <x:c r="G255" s="14" t="n">
        <x:v>332440329.21</x:v>
      </x:c>
      <x:c r="H255" t="n">
        <x:v>0</x:v>
      </x:c>
      <x:c r="I255" t="n">
        <x:f>IF(H255=0,1,0)</x:f>
        <x:v>1</x:v>
      </x:c>
      <x:c r="J255" s="16" t="n">
        <x:f>F255/E255</x:f>
        <x:v>19.534982595062843</x:v>
      </x:c>
      <x:c r="K255" s="16" t="n">
        <x:f>G255/1000/E255</x:f>
        <x:v>2.2084362740812584</x:v>
      </x:c>
    </x:row>
    <x:row r="256">
      <x:c r="A256" s="8" t="d">
        <x:v>2024-09-07T00:00:00.000Z</x:v>
      </x:c>
      <x:c r="B256" t="str">
        <x:v>Good</x:v>
      </x:c>
      <x:c r="C256" t="str">
        <x:v>Day off</x:v>
      </x:c>
      <x:c r="D256" s="10" t="n">
        <x:v>13.76</x:v>
      </x:c>
      <x:c r="E256" s="12" t="n">
        <x:v>148975</x:v>
      </x:c>
      <x:c r="F256" s="12" t="n">
        <x:v>3671425</x:v>
      </x:c>
      <x:c r="G256" s="14" t="n">
        <x:v>409821618.79</x:v>
      </x:c>
      <x:c r="H256" t="n">
        <x:v>0</x:v>
      </x:c>
      <x:c r="I256" t="n">
        <x:f>IF(H256=0,1,0)</x:f>
        <x:v>1</x:v>
      </x:c>
      <x:c r="J256" s="16" t="n">
        <x:f>F256/E256</x:f>
        <x:v>24.644571236784696</x:v>
      </x:c>
      <x:c r="K256" s="16" t="n">
        <x:f>G256/1000/E256</x:f>
        <x:v>2.7509422305084748</x:v>
      </x:c>
    </x:row>
    <x:row r="257">
      <x:c r="A257" s="8" t="d">
        <x:v>2024-09-08T00:00:00.000Z</x:v>
      </x:c>
      <x:c r="B257" t="str">
        <x:v>Moderate</x:v>
      </x:c>
      <x:c r="C257" t="str">
        <x:v>Day off</x:v>
      </x:c>
      <x:c r="D257" s="10" t="n">
        <x:v>22.16</x:v>
      </x:c>
      <x:c r="E257" s="12" t="n">
        <x:v>131428</x:v>
      </x:c>
      <x:c r="F257" s="12" t="n">
        <x:v>3316763</x:v>
      </x:c>
      <x:c r="G257" s="14" t="n">
        <x:v>381754203.21</x:v>
      </x:c>
      <x:c r="H257" t="n">
        <x:v>0</x:v>
      </x:c>
      <x:c r="I257" t="n">
        <x:f>IF(H257=0,1,0)</x:f>
        <x:v>1</x:v>
      </x:c>
      <x:c r="J257" s="16" t="n">
        <x:f>F257/E257</x:f>
        <x:v>25.236349940651916</x:v>
      </x:c>
      <x:c r="K257" s="16" t="n">
        <x:f>G257/1000/E257</x:f>
        <x:v>2.904664175137718</x:v>
      </x:c>
    </x:row>
    <x:row r="258">
      <x:c r="A258" s="8" t="d">
        <x:v>2024-09-09T00:00:00.000Z</x:v>
      </x:c>
      <x:c r="B258" t="str">
        <x:v>Moderate</x:v>
      </x:c>
      <x:c r="C258" t="str">
        <x:v>Workday</x:v>
      </x:c>
      <x:c r="D258" s="10" t="n">
        <x:v>19.8</x:v>
      </x:c>
      <x:c r="E258" s="12" t="n">
        <x:v>170520</x:v>
      </x:c>
      <x:c r="F258" s="12" t="n">
        <x:v>3337811</x:v>
      </x:c>
      <x:c r="G258" s="14" t="n">
        <x:v>383036227.82</x:v>
      </x:c>
      <x:c r="H258" t="n">
        <x:v>0</x:v>
      </x:c>
      <x:c r="I258" t="n">
        <x:f>IF(H258=0,1,0)</x:f>
        <x:v>1</x:v>
      </x:c>
      <x:c r="J258" s="16" t="n">
        <x:f>F258/E258</x:f>
        <x:v>19.574307999061695</x:v>
      </x:c>
      <x:c r="K258" s="16" t="n">
        <x:f>G258/1000/E258</x:f>
        <x:v>2.2462832970912503</x:v>
      </x:c>
    </x:row>
    <x:row r="259">
      <x:c r="A259" s="8" t="d">
        <x:v>2024-09-10T00:00:00.000Z</x:v>
      </x:c>
      <x:c r="B259" t="str">
        <x:v>Moderate</x:v>
      </x:c>
      <x:c r="C259" t="str">
        <x:v>Workday</x:v>
      </x:c>
      <x:c r="D259" s="10" t="n">
        <x:v>20.84</x:v>
      </x:c>
      <x:c r="E259" s="12" t="n">
        <x:v>169974</x:v>
      </x:c>
      <x:c r="F259" s="12" t="n">
        <x:v>3259934</x:v>
      </x:c>
      <x:c r="G259" s="14" t="n">
        <x:v>370202411.69</x:v>
      </x:c>
      <x:c r="H259" t="n">
        <x:v>0</x:v>
      </x:c>
      <x:c r="I259" t="n">
        <x:f>IF(H259=0,1,0)</x:f>
        <x:v>1</x:v>
      </x:c>
      <x:c r="J259" s="16" t="n">
        <x:f>F259/E259</x:f>
        <x:v>19.179015614152753</x:v>
      </x:c>
      <x:c r="K259" s="16" t="n">
        <x:f>G259/1000/E259</x:f>
        <x:v>2.177994350253568</x:v>
      </x:c>
    </x:row>
    <x:row r="260">
      <x:c r="A260" s="8" t="d">
        <x:v>2024-09-11T00:00:00.000Z</x:v>
      </x:c>
      <x:c r="B260" t="str">
        <x:v>Moderate</x:v>
      </x:c>
      <x:c r="C260" t="str">
        <x:v>Workday</x:v>
      </x:c>
      <x:c r="D260" s="10" t="n">
        <x:v>22.36</x:v>
      </x:c>
      <x:c r="E260" s="12" t="n">
        <x:v>154072</x:v>
      </x:c>
      <x:c r="F260" s="12" t="n">
        <x:v>2772371</x:v>
      </x:c>
      <x:c r="G260" s="14" t="n">
        <x:v>308741201.35</x:v>
      </x:c>
      <x:c r="H260" t="n">
        <x:v>0</x:v>
      </x:c>
      <x:c r="I260" t="n">
        <x:f>IF(H260=0,1,0)</x:f>
        <x:v>1</x:v>
      </x:c>
      <x:c r="J260" s="16" t="n">
        <x:f>F260/E260</x:f>
        <x:v>17.993996313411913</x:v>
      </x:c>
      <x:c r="K260" s="16" t="n">
        <x:f>G260/1000/E260</x:f>
        <x:v>2.003876118632847</x:v>
      </x:c>
    </x:row>
    <x:row r="261">
      <x:c r="A261" s="8" t="d">
        <x:v>2024-09-12T00:00:00.000Z</x:v>
      </x:c>
      <x:c r="B261" t="str">
        <x:v>Good</x:v>
      </x:c>
      <x:c r="C261" t="str">
        <x:v>Workday</x:v>
      </x:c>
      <x:c r="D261" s="10" t="n">
        <x:v>5.52</x:v>
      </x:c>
      <x:c r="E261" s="12" t="n">
        <x:v>62018</x:v>
      </x:c>
      <x:c r="F261" s="12" t="n">
        <x:v>1190500</x:v>
      </x:c>
      <x:c r="G261" s="14" t="n">
        <x:v>124059975.57</x:v>
      </x:c>
      <x:c r="H261" t="n">
        <x:v>0</x:v>
      </x:c>
      <x:c r="I261" t="n">
        <x:f>IF(H261=0,1,0)</x:f>
        <x:v>1</x:v>
      </x:c>
      <x:c r="J261" s="16" t="n">
        <x:f>F261/E261</x:f>
        <x:v>19.196039859395658</x:v>
      </x:c>
      <x:c r="K261" s="16" t="n">
        <x:f>G261/1000/E261</x:f>
        <x:v>2.000386590505982</x:v>
      </x:c>
    </x:row>
    <x:row r="262">
      <x:c r="A262" s="8" t="d">
        <x:v>2024-09-13T00:00:00.000Z</x:v>
      </x:c>
      <x:c r="B262" t="str">
        <x:v>Good</x:v>
      </x:c>
      <x:c r="C262" t="str">
        <x:v>Workday</x:v>
      </x:c>
      <x:c r="D262" s="10" t="n">
        <x:v>7.4</x:v>
      </x:c>
      <x:c r="E262" s="12" t="n">
        <x:v>75820</x:v>
      </x:c>
      <x:c r="F262" s="12" t="n">
        <x:v>1288673</x:v>
      </x:c>
      <x:c r="G262" s="14" t="n">
        <x:v>135901215.62</x:v>
      </x:c>
      <x:c r="H262" t="n">
        <x:v>0</x:v>
      </x:c>
      <x:c r="I262" t="n">
        <x:f>IF(H262=0,1,0)</x:f>
        <x:v>1</x:v>
      </x:c>
      <x:c r="J262" s="16" t="n">
        <x:f>F262/E262</x:f>
        <x:v>16.996478501714588</x:v>
      </x:c>
      <x:c r="K262" s="16" t="n">
        <x:f>G262/1000/E262</x:f>
        <x:v>1.7924190928514905</x:v>
      </x:c>
    </x:row>
    <x:row r="263">
      <x:c r="A263" s="8" t="d">
        <x:v>2024-09-14T00:00:00.000Z</x:v>
      </x:c>
      <x:c r="B263" t="str">
        <x:v>Good</x:v>
      </x:c>
      <x:c r="C263" t="str">
        <x:v>Day off</x:v>
      </x:c>
      <x:c r="D263" s="10" t="n">
        <x:v>6.12</x:v>
      </x:c>
      <x:c r="E263" s="12" t="n">
        <x:v>115902</x:v>
      </x:c>
      <x:c r="F263" s="12" t="n">
        <x:v>2732918</x:v>
      </x:c>
      <x:c r="G263" s="14" t="n">
        <x:v>301953554.47</x:v>
      </x:c>
      <x:c r="H263" t="n">
        <x:v>0</x:v>
      </x:c>
      <x:c r="I263" t="n">
        <x:f>IF(H263=0,1,0)</x:f>
        <x:v>1</x:v>
      </x:c>
      <x:c r="J263" s="16" t="n">
        <x:f>F263/E263</x:f>
        <x:v>23.579558592604098</x:v>
      </x:c>
      <x:c r="K263" s="16" t="n">
        <x:f>G263/1000/E263</x:f>
        <x:v>2.605248869475937</x:v>
      </x:c>
    </x:row>
    <x:row r="264">
      <x:c r="A264" s="8" t="d">
        <x:v>2024-09-15T00:00:00.000Z</x:v>
      </x:c>
      <x:c r="B264" t="str">
        <x:v>Good</x:v>
      </x:c>
      <x:c r="C264" t="str">
        <x:v>Day off</x:v>
      </x:c>
      <x:c r="D264" s="10" t="n">
        <x:v>6</x:v>
      </x:c>
      <x:c r="E264" s="12" t="n">
        <x:v>102885</x:v>
      </x:c>
      <x:c r="F264" s="12" t="n">
        <x:v>2609954</x:v>
      </x:c>
      <x:c r="G264" s="14" t="n">
        <x:v>297870342.02</x:v>
      </x:c>
      <x:c r="H264" t="n">
        <x:v>0</x:v>
      </x:c>
      <x:c r="I264" t="n">
        <x:f>IF(H264=0,1,0)</x:f>
        <x:v>1</x:v>
      </x:c>
      <x:c r="J264" s="16" t="n">
        <x:f>F264/E264</x:f>
        <x:v>25.36768236380425</x:v>
      </x:c>
      <x:c r="K264" s="16" t="n">
        <x:f>G264/1000/E264</x:f>
        <x:v>2.8951775479418767</x:v>
      </x:c>
    </x:row>
    <x:row r="265">
      <x:c r="A265" s="8" t="d">
        <x:v>2024-09-16T00:00:00.000Z</x:v>
      </x:c>
      <x:c r="B265" t="str">
        <x:v>Good</x:v>
      </x:c>
      <x:c r="C265" t="str">
        <x:v>Day off</x:v>
      </x:c>
      <x:c r="D265" s="10" t="n">
        <x:v>2.88</x:v>
      </x:c>
      <x:c r="E265" s="12" t="n">
        <x:v>89290</x:v>
      </x:c>
      <x:c r="F265" s="12" t="n">
        <x:v>2395140</x:v>
      </x:c>
      <x:c r="G265" s="14" t="n">
        <x:v>283770825.12</x:v>
      </x:c>
      <x:c r="H265" t="n">
        <x:v>0</x:v>
      </x:c>
      <x:c r="I265" t="n">
        <x:f>IF(H265=0,1,0)</x:f>
        <x:v>1</x:v>
      </x:c>
      <x:c r="J265" s="16" t="n">
        <x:f>F265/E265</x:f>
        <x:v>26.82428043453914</x:v>
      </x:c>
      <x:c r="K265" s="16" t="n">
        <x:f>G265/1000/E265</x:f>
        <x:v>3.1780806934707133</x:v>
      </x:c>
    </x:row>
    <x:row r="266">
      <x:c r="A266" s="8" t="d">
        <x:v>2024-09-17T00:00:00.000Z</x:v>
      </x:c>
      <x:c r="B266" t="str">
        <x:v>Good</x:v>
      </x:c>
      <x:c r="C266" t="str">
        <x:v>Day off</x:v>
      </x:c>
      <x:c r="D266" s="10" t="n">
        <x:v>6.36</x:v>
      </x:c>
      <x:c r="E266" s="12" t="n">
        <x:v>79398</x:v>
      </x:c>
      <x:c r="F266" s="12" t="n">
        <x:v>2111257</x:v>
      </x:c>
      <x:c r="G266" s="14" t="n">
        <x:v>257416795.73</x:v>
      </x:c>
      <x:c r="H266" t="n">
        <x:v>0</x:v>
      </x:c>
      <x:c r="I266" t="n">
        <x:f>IF(H266=0,1,0)</x:f>
        <x:v>1</x:v>
      </x:c>
      <x:c r="J266" s="16" t="n">
        <x:f>F266/E266</x:f>
        <x:v>26.590808332703595</x:v>
      </x:c>
      <x:c r="K266" s="16" t="n">
        <x:f>G266/1000/E266</x:f>
        <x:v>3.2421068002972366</x:v>
      </x:c>
    </x:row>
    <x:row r="267">
      <x:c r="A267" s="8" t="d">
        <x:v>2024-09-18T00:00:00.000Z</x:v>
      </x:c>
      <x:c r="B267" t="str">
        <x:v>Good</x:v>
      </x:c>
      <x:c r="C267" t="str">
        <x:v>Day off</x:v>
      </x:c>
      <x:c r="D267" s="10" t="n">
        <x:v>10.32</x:v>
      </x:c>
      <x:c r="E267" s="12" t="n">
        <x:v>101362</x:v>
      </x:c>
      <x:c r="F267" s="12" t="n">
        <x:v>2436687</x:v>
      </x:c>
      <x:c r="G267" s="14" t="n">
        <x:v>284569650.21</x:v>
      </x:c>
      <x:c r="H267" t="n">
        <x:v>0</x:v>
      </x:c>
      <x:c r="I267" t="n">
        <x:f>IF(H267=0,1,0)</x:f>
        <x:v>1</x:v>
      </x:c>
      <x:c r="J267" s="16" t="n">
        <x:f>F267/E267</x:f>
        <x:v>24.039452654841064</x:v>
      </x:c>
      <x:c r="K267" s="16" t="n">
        <x:f>G267/1000/E267</x:f>
        <x:v>2.8074589117223416</x:v>
      </x:c>
    </x:row>
    <x:row r="268">
      <x:c r="A268" s="8" t="d">
        <x:v>2024-09-19T00:00:00.000Z</x:v>
      </x:c>
      <x:c r="B268" t="str">
        <x:v>Good</x:v>
      </x:c>
      <x:c r="C268" t="str">
        <x:v>Workday</x:v>
      </x:c>
      <x:c r="D268" s="10" t="n">
        <x:v>12.64</x:v>
      </x:c>
      <x:c r="E268" s="12" t="n">
        <x:v>155480</x:v>
      </x:c>
      <x:c r="F268" s="12" t="n">
        <x:v>3029476</x:v>
      </x:c>
      <x:c r="G268" s="14" t="n">
        <x:v>339844585.01</x:v>
      </x:c>
      <x:c r="H268" t="n">
        <x:v>0</x:v>
      </x:c>
      <x:c r="I268" t="n">
        <x:f>IF(H268=0,1,0)</x:f>
        <x:v>1</x:v>
      </x:c>
      <x:c r="J268" s="16" t="n">
        <x:f>F268/E268</x:f>
        <x:v>19.484666838178544</x:v>
      </x:c>
      <x:c r="K268" s="16" t="n">
        <x:f>G268/1000/E268</x:f>
        <x:v>2.1857768523925905</x:v>
      </x:c>
    </x:row>
    <x:row r="269">
      <x:c r="A269" s="8" t="d">
        <x:v>2024-09-20T00:00:00.000Z</x:v>
      </x:c>
      <x:c r="B269" t="str">
        <x:v>Good</x:v>
      </x:c>
      <x:c r="C269" t="str">
        <x:v>Workday</x:v>
      </x:c>
      <x:c r="D269" s="10" t="n">
        <x:v>7.44</x:v>
      </x:c>
      <x:c r="E269" s="12" t="n">
        <x:v>49117</x:v>
      </x:c>
      <x:c r="F269" s="12" t="n">
        <x:v>772342</x:v>
      </x:c>
      <x:c r="G269" s="14" t="n">
        <x:v>83642904.19</x:v>
      </x:c>
      <x:c r="H269" t="n">
        <x:v>0</x:v>
      </x:c>
      <x:c r="I269" t="n">
        <x:f>IF(H269=0,1,0)</x:f>
        <x:v>1</x:v>
      </x:c>
      <x:c r="J269" s="16" t="n">
        <x:f>F269/E269</x:f>
        <x:v>15.724535293279313</x:v>
      </x:c>
      <x:c r="K269" s="16" t="n">
        <x:f>G269/1000/E269</x:f>
        <x:v>1.7029318604556467</x:v>
      </x:c>
    </x:row>
    <x:row r="270">
      <x:c r="A270" s="8" t="d">
        <x:v>2024-09-21T00:00:00.000Z</x:v>
      </x:c>
      <x:c r="B270" t="str">
        <x:v>Good</x:v>
      </x:c>
      <x:c r="C270" t="str">
        <x:v>Day off</x:v>
      </x:c>
      <x:c r="D270" s="10" t="n">
        <x:v>1.4</x:v>
      </x:c>
      <x:c r="E270" s="12" t="n">
        <x:v>112108</x:v>
      </x:c>
      <x:c r="F270" s="12" t="n">
        <x:v>2884422</x:v>
      </x:c>
      <x:c r="G270" s="14" t="n">
        <x:v>310180926.51</x:v>
      </x:c>
      <x:c r="H270" t="n">
        <x:v>0</x:v>
      </x:c>
      <x:c r="I270" t="n">
        <x:f>IF(H270=0,1,0)</x:f>
        <x:v>1</x:v>
      </x:c>
      <x:c r="J270" s="16" t="n">
        <x:f>F270/E270</x:f>
        <x:v>25.728957790701823</x:v>
      </x:c>
      <x:c r="K270" s="16" t="n">
        <x:f>G270/1000/E270</x:f>
        <x:v>2.7668045680058517</x:v>
      </x:c>
    </x:row>
    <x:row r="271">
      <x:c r="A271" s="8" t="d">
        <x:v>2024-09-22T00:00:00.000Z</x:v>
      </x:c>
      <x:c r="B271" t="str">
        <x:v>Good</x:v>
      </x:c>
      <x:c r="C271" t="str">
        <x:v>Day off</x:v>
      </x:c>
      <x:c r="D271" s="10" t="n">
        <x:v>1.56</x:v>
      </x:c>
      <x:c r="E271" s="12" t="n">
        <x:v>159558</x:v>
      </x:c>
      <x:c r="F271" s="12" t="n">
        <x:v>4524659</x:v>
      </x:c>
      <x:c r="G271" s="14" t="n">
        <x:v>510603073.23</x:v>
      </x:c>
      <x:c r="H271" t="n">
        <x:v>0</x:v>
      </x:c>
      <x:c r="I271" t="n">
        <x:f>IF(H271=0,1,0)</x:f>
        <x:v>1</x:v>
      </x:c>
      <x:c r="J271" s="16" t="n">
        <x:f>F271/E271</x:f>
        <x:v>28.35745622281553</x:v>
      </x:c>
      <x:c r="K271" s="16" t="n">
        <x:f>G271/1000/E271</x:f>
        <x:v>3.2001095102094537</x:v>
      </x:c>
    </x:row>
    <x:row r="272">
      <x:c r="A272" s="8" t="d">
        <x:v>2024-09-23T00:00:00.000Z</x:v>
      </x:c>
      <x:c r="B272" t="str">
        <x:v>Good</x:v>
      </x:c>
      <x:c r="C272" t="str">
        <x:v>Workday</x:v>
      </x:c>
      <x:c r="D272" s="10" t="n">
        <x:v>2.64</x:v>
      </x:c>
      <x:c r="E272" s="12" t="n">
        <x:v>188292</x:v>
      </x:c>
      <x:c r="F272" s="12" t="n">
        <x:v>4005720</x:v>
      </x:c>
      <x:c r="G272" s="14" t="n">
        <x:v>462308355.69</x:v>
      </x:c>
      <x:c r="H272" t="n">
        <x:v>0</x:v>
      </x:c>
      <x:c r="I272" t="n">
        <x:f>IF(H272=0,1,0)</x:f>
        <x:v>1</x:v>
      </x:c>
      <x:c r="J272" s="16" t="n">
        <x:f>F272/E272</x:f>
        <x:v>21.273978713912435</x:v>
      </x:c>
      <x:c r="K272" s="16" t="n">
        <x:f>G272/1000/E272</x:f>
        <x:v>2.455273488464725</x:v>
      </x:c>
    </x:row>
    <x:row r="273">
      <x:c r="A273" s="8" t="d">
        <x:v>2024-09-24T00:00:00.000Z</x:v>
      </x:c>
      <x:c r="B273" t="str">
        <x:v>Good</x:v>
      </x:c>
      <x:c r="C273" t="str">
        <x:v>Workday</x:v>
      </x:c>
      <x:c r="D273" s="10" t="n">
        <x:v>4.76</x:v>
      </x:c>
      <x:c r="E273" s="12" t="n">
        <x:v>191155</x:v>
      </x:c>
      <x:c r="F273" s="12" t="n">
        <x:v>3976454</x:v>
      </x:c>
      <x:c r="G273" s="14" t="n">
        <x:v>460619319.18</x:v>
      </x:c>
      <x:c r="H273" t="n">
        <x:v>0</x:v>
      </x:c>
      <x:c r="I273" t="n">
        <x:f>IF(H273=0,1,0)</x:f>
        <x:v>1</x:v>
      </x:c>
      <x:c r="J273" s="16" t="n">
        <x:f>F273/E273</x:f>
        <x:v>20.80224948340352</x:v>
      </x:c>
      <x:c r="K273" s="16" t="n">
        <x:f>G273/1000/E273</x:f>
        <x:v>2.4096639856660826</x:v>
      </x:c>
    </x:row>
    <x:row r="274">
      <x:c r="A274" s="8" t="d">
        <x:v>2024-09-25T00:00:00.000Z</x:v>
      </x:c>
      <x:c r="B274" t="str">
        <x:v>Good</x:v>
      </x:c>
      <x:c r="C274" t="str">
        <x:v>Workday</x:v>
      </x:c>
      <x:c r="D274" s="10" t="n">
        <x:v>7.6</x:v>
      </x:c>
      <x:c r="E274" s="12" t="n">
        <x:v>187724</x:v>
      </x:c>
      <x:c r="F274" s="12" t="n">
        <x:v>3828014</x:v>
      </x:c>
      <x:c r="G274" s="14" t="n">
        <x:v>444272607.11</x:v>
      </x:c>
      <x:c r="H274" t="n">
        <x:v>0</x:v>
      </x:c>
      <x:c r="I274" t="n">
        <x:f>IF(H274=0,1,0)</x:f>
        <x:v>1</x:v>
      </x:c>
      <x:c r="J274" s="16" t="n">
        <x:f>F274/E274</x:f>
        <x:v>20.39171336643157</x:v>
      </x:c>
      <x:c r="K274" s="16" t="n">
        <x:f>G274/1000/E274</x:f>
        <x:v>2.366626574705419</x:v>
      </x:c>
    </x:row>
    <x:row r="275">
      <x:c r="A275" s="8" t="d">
        <x:v>2024-09-26T00:00:00.000Z</x:v>
      </x:c>
      <x:c r="B275" t="str">
        <x:v>Good</x:v>
      </x:c>
      <x:c r="C275" t="str">
        <x:v>Workday</x:v>
      </x:c>
      <x:c r="D275" s="10" t="n">
        <x:v>10.24</x:v>
      </x:c>
      <x:c r="E275" s="12" t="n">
        <x:v>176097</x:v>
      </x:c>
      <x:c r="F275" s="12" t="n">
        <x:v>3616363</x:v>
      </x:c>
      <x:c r="G275" s="14" t="n">
        <x:v>412694745.06</x:v>
      </x:c>
      <x:c r="H275" t="n">
        <x:v>0</x:v>
      </x:c>
      <x:c r="I275" t="n">
        <x:f>IF(H275=0,1,0)</x:f>
        <x:v>1</x:v>
      </x:c>
      <x:c r="J275" s="16" t="n">
        <x:f>F275/E275</x:f>
        <x:v>20.536198799525263</x:v>
      </x:c>
      <x:c r="K275" s="16" t="n">
        <x:f>G275/1000/E275</x:f>
        <x:v>2.343564882195608</x:v>
      </x:c>
    </x:row>
    <x:row r="276">
      <x:c r="A276" s="8" t="d">
        <x:v>2024-09-27T00:00:00.000Z</x:v>
      </x:c>
      <x:c r="B276" t="str">
        <x:v>Good</x:v>
      </x:c>
      <x:c r="C276" t="str">
        <x:v>Workday</x:v>
      </x:c>
      <x:c r="D276" s="10" t="n">
        <x:v>8.72</x:v>
      </x:c>
      <x:c r="E276" s="12" t="n">
        <x:v>191564</x:v>
      </x:c>
      <x:c r="F276" s="12" t="n">
        <x:v>4067963</x:v>
      </x:c>
      <x:c r="G276" s="14" t="n">
        <x:v>459822773.01</x:v>
      </x:c>
      <x:c r="H276" t="n">
        <x:v>0</x:v>
      </x:c>
      <x:c r="I276" t="n">
        <x:f>IF(H276=0,1,0)</x:f>
        <x:v>1</x:v>
      </x:c>
      <x:c r="J276" s="16" t="n">
        <x:f>F276/E276</x:f>
        <x:v>21.235529640224676</x:v>
      </x:c>
      <x:c r="K276" s="16" t="n">
        <x:f>G276/1000/E276</x:f>
        <x:v>2.4003610960827713</x:v>
      </x:c>
    </x:row>
    <x:row r="277">
      <x:c r="A277" s="8" t="d">
        <x:v>2024-09-28T00:00:00.000Z</x:v>
      </x:c>
      <x:c r="B277" t="str">
        <x:v>Good</x:v>
      </x:c>
      <x:c r="C277" t="str">
        <x:v>Day off</x:v>
      </x:c>
      <x:c r="D277" s="10" t="n">
        <x:v>5.44</x:v>
      </x:c>
      <x:c r="E277" s="12" t="n">
        <x:v>168997</x:v>
      </x:c>
      <x:c r="F277" s="12" t="n">
        <x:v>4446277</x:v>
      </x:c>
      <x:c r="G277" s="14" t="n">
        <x:v>491879036.04</x:v>
      </x:c>
      <x:c r="H277" t="n">
        <x:v>0</x:v>
      </x:c>
      <x:c r="I277" t="n">
        <x:f>IF(H277=0,1,0)</x:f>
        <x:v>1</x:v>
      </x:c>
      <x:c r="J277" s="16" t="n">
        <x:f>F277/E277</x:f>
        <x:v>26.309798398788143</x:v>
      </x:c>
      <x:c r="K277" s="16" t="n">
        <x:f>G277/1000/E277</x:f>
        <x:v>2.9105785075474713</x:v>
      </x:c>
    </x:row>
    <x:row r="278">
      <x:c r="A278" s="8" t="d">
        <x:v>2024-09-29T00:00:00.000Z</x:v>
      </x:c>
      <x:c r="B278" t="str">
        <x:v>Good</x:v>
      </x:c>
      <x:c r="C278" t="str">
        <x:v>Day off</x:v>
      </x:c>
      <x:c r="D278" s="10" t="n">
        <x:v>3.8</x:v>
      </x:c>
      <x:c r="E278" s="12" t="n">
        <x:v>154567</x:v>
      </x:c>
      <x:c r="F278" s="12" t="n">
        <x:v>4210032</x:v>
      </x:c>
      <x:c r="G278" s="14" t="n">
        <x:v>476435229.99</x:v>
      </x:c>
      <x:c r="H278" t="n">
        <x:v>0</x:v>
      </x:c>
      <x:c r="I278" t="n">
        <x:f>IF(H278=0,1,0)</x:f>
        <x:v>1</x:v>
      </x:c>
      <x:c r="J278" s="16" t="n">
        <x:f>F278/E278</x:f>
        <x:v>27.237586289440824</x:v>
      </x:c>
      <x:c r="K278" s="16" t="n">
        <x:f>G278/1000/E278</x:f>
        <x:v>3.0823864731152186</x:v>
      </x:c>
    </x:row>
    <x:row r="279">
      <x:c r="A279" s="8" t="d">
        <x:v>2024-09-30T00:00:00.000Z</x:v>
      </x:c>
      <x:c r="B279" t="str">
        <x:v>Good</x:v>
      </x:c>
      <x:c r="C279" t="str">
        <x:v>Workday</x:v>
      </x:c>
      <x:c r="D279" s="10" t="n">
        <x:v>6.12</x:v>
      </x:c>
      <x:c r="E279" s="12" t="n">
        <x:v>186545</x:v>
      </x:c>
      <x:c r="F279" s="12" t="n">
        <x:v>3946834</x:v>
      </x:c>
      <x:c r="G279" s="14" t="n">
        <x:v>454705270.64</x:v>
      </x:c>
      <x:c r="H279" t="n">
        <x:v>0</x:v>
      </x:c>
      <x:c r="I279" t="n">
        <x:f>IF(H279=0,1,0)</x:f>
        <x:v>1</x:v>
      </x:c>
      <x:c r="J279" s="16" t="n">
        <x:f>F279/E279</x:f>
        <x:v>21.157543756198237</x:v>
      </x:c>
      <x:c r="K279" s="16" t="n">
        <x:f>G279/1000/E279</x:f>
        <x:v>2.4375098267978235</x:v>
      </x:c>
    </x:row>
    <x:row r="280">
      <x:c r="A280" s="8" t="d">
        <x:v>2024-10-01T00:00:00.000Z</x:v>
      </x:c>
      <x:c r="B280" t="str">
        <x:v>Good</x:v>
      </x:c>
      <x:c r="C280" t="str">
        <x:v>Day off</x:v>
      </x:c>
      <x:c r="D280" s="10" t="n">
        <x:v>6.6</x:v>
      </x:c>
      <x:c r="E280" s="12" t="n">
        <x:v>131743</x:v>
      </x:c>
      <x:c r="F280" s="12" t="n">
        <x:v>3232374</x:v>
      </x:c>
      <x:c r="G280" s="14" t="n">
        <x:v>361565854.22</x:v>
      </x:c>
      <x:c r="H280" t="n">
        <x:v>0</x:v>
      </x:c>
      <x:c r="I280" t="n">
        <x:f>IF(H280=0,1,0)</x:f>
        <x:v>1</x:v>
      </x:c>
      <x:c r="J280" s="16" t="n">
        <x:f>F280/E280</x:f>
        <x:v>24.535451598946434</x:v>
      </x:c>
      <x:c r="K280" s="16" t="n">
        <x:f>G280/1000/E280</x:f>
        <x:v>2.7444786760586903</x:v>
      </x:c>
    </x:row>
    <x:row r="281">
      <x:c r="A281" s="8" t="d">
        <x:v>2024-10-02T00:00:00.000Z</x:v>
      </x:c>
      <x:c r="B281" t="str">
        <x:v>Good</x:v>
      </x:c>
      <x:c r="C281" t="str">
        <x:v>Workday</x:v>
      </x:c>
      <x:c r="D281" s="10" t="n">
        <x:v>6.36</x:v>
      </x:c>
      <x:c r="E281" s="12" t="n">
        <x:v>176827</x:v>
      </x:c>
      <x:c r="F281" s="12" t="n">
        <x:v>3611644</x:v>
      </x:c>
      <x:c r="G281" s="14" t="n">
        <x:v>404964999.97</x:v>
      </x:c>
      <x:c r="H281" t="n">
        <x:v>0</x:v>
      </x:c>
      <x:c r="I281" t="n">
        <x:f>IF(H281=0,1,0)</x:f>
        <x:v>1</x:v>
      </x:c>
      <x:c r="J281" s="16" t="n">
        <x:f>F281/E281</x:f>
        <x:v>20.424731517245668</x:v>
      </x:c>
      <x:c r="K281" s="16" t="n">
        <x:f>G281/1000/E281</x:f>
        <x:v>2.2901762738156504</x:v>
      </x:c>
    </x:row>
    <x:row r="282">
      <x:c r="A282" s="8" t="d">
        <x:v>2024-10-03T00:00:00.000Z</x:v>
      </x:c>
      <x:c r="B282" t="str">
        <x:v>Good</x:v>
      </x:c>
      <x:c r="C282" t="str">
        <x:v>Day off</x:v>
      </x:c>
      <x:c r="D282" s="10" t="n">
        <x:v>6.52</x:v>
      </x:c>
      <x:c r="E282" s="12" t="n">
        <x:v>154005</x:v>
      </x:c>
      <x:c r="F282" s="12" t="n">
        <x:v>4211075</x:v>
      </x:c>
      <x:c r="G282" s="14" t="n">
        <x:v>468797047.55</x:v>
      </x:c>
      <x:c r="H282" t="n">
        <x:v>0</x:v>
      </x:c>
      <x:c r="I282" t="n">
        <x:f>IF(H282=0,1,0)</x:f>
        <x:v>1</x:v>
      </x:c>
      <x:c r="J282" s="16" t="n">
        <x:f>F282/E282</x:f>
        <x:v>27.343755072887244</x:v>
      </x:c>
      <x:c r="K282" s="16" t="n">
        <x:f>G282/1000/E282</x:f>
        <x:v>3.0440378400051946</x:v>
      </x:c>
    </x:row>
    <x:row r="283">
      <x:c r="A283" s="8" t="d">
        <x:v>2024-10-04T00:00:00.000Z</x:v>
      </x:c>
      <x:c r="B283" t="str">
        <x:v>Good</x:v>
      </x:c>
      <x:c r="C283" t="str">
        <x:v>Workday</x:v>
      </x:c>
      <x:c r="D283" s="10" t="n">
        <x:v>7.28</x:v>
      </x:c>
      <x:c r="E283" s="12" t="n">
        <x:v>181957</x:v>
      </x:c>
      <x:c r="F283" s="12" t="n">
        <x:v>4040509</x:v>
      </x:c>
      <x:c r="G283" s="14" t="n">
        <x:v>447095057.63</x:v>
      </x:c>
      <x:c r="H283" t="n">
        <x:v>0</x:v>
      </x:c>
      <x:c r="I283" t="n">
        <x:f>IF(H283=0,1,0)</x:f>
        <x:v>1</x:v>
      </x:c>
      <x:c r="J283" s="16" t="n">
        <x:f>F283/E283</x:f>
        <x:v>22.205845337085137</x:v>
      </x:c>
      <x:c r="K283" s="16" t="n">
        <x:f>G283/1000/E283</x:f>
        <x:v>2.4571467853943516</x:v>
      </x:c>
    </x:row>
    <x:row r="284">
      <x:c r="A284" s="8" t="d">
        <x:v>2024-10-05T00:00:00.000Z</x:v>
      </x:c>
      <x:c r="B284" t="str">
        <x:v>Good</x:v>
      </x:c>
      <x:c r="C284" t="str">
        <x:v>Day off</x:v>
      </x:c>
      <x:c r="D284" s="10" t="n">
        <x:v>12.32</x:v>
      </x:c>
      <x:c r="E284" s="12" t="n">
        <x:v>165474</x:v>
      </x:c>
      <x:c r="F284" s="12" t="n">
        <x:v>4635774</x:v>
      </x:c>
      <x:c r="G284" s="14" t="n">
        <x:v>484113118.79</x:v>
      </x:c>
      <x:c r="H284" t="n">
        <x:v>0</x:v>
      </x:c>
      <x:c r="I284" t="n">
        <x:f>IF(H284=0,1,0)</x:f>
        <x:v>1</x:v>
      </x:c>
      <x:c r="J284" s="16" t="n">
        <x:f>F284/E284</x:f>
        <x:v>28.01512020015229</x:v>
      </x:c>
      <x:c r="K284" s="16" t="n">
        <x:f>G284/1000/E284</x:f>
        <x:v>2.9256144094540533</x:v>
      </x:c>
    </x:row>
    <x:row r="285">
      <x:c r="A285" s="8" t="d">
        <x:v>2024-10-06T00:00:00.000Z</x:v>
      </x:c>
      <x:c r="B285" t="str">
        <x:v>Good</x:v>
      </x:c>
      <x:c r="C285" t="str">
        <x:v>Day off</x:v>
      </x:c>
      <x:c r="D285" s="10" t="n">
        <x:v>13.04</x:v>
      </x:c>
      <x:c r="E285" s="12" t="n">
        <x:v>108633</x:v>
      </x:c>
      <x:c r="F285" s="12" t="n">
        <x:v>2510939</x:v>
      </x:c>
      <x:c r="G285" s="14" t="n">
        <x:v>283274869.21</x:v>
      </x:c>
      <x:c r="H285" t="n">
        <x:v>0</x:v>
      </x:c>
      <x:c r="I285" t="n">
        <x:f>IF(H285=0,1,0)</x:f>
        <x:v>1</x:v>
      </x:c>
      <x:c r="J285" s="16" t="n">
        <x:f>F285/E285</x:f>
        <x:v>23.113961687516685</x:v>
      </x:c>
      <x:c r="K285" s="16" t="n">
        <x:f>G285/1000/E285</x:f>
        <x:v>2.60763183572211</x:v>
      </x:c>
    </x:row>
    <x:row r="286">
      <x:c r="A286" s="8" t="d">
        <x:v>2024-10-07T00:00:00.000Z</x:v>
      </x:c>
      <x:c r="B286" t="str">
        <x:v>Moderate</x:v>
      </x:c>
      <x:c r="C286" t="str">
        <x:v>Workday</x:v>
      </x:c>
      <x:c r="D286" s="10" t="n">
        <x:v>22.72</x:v>
      </x:c>
      <x:c r="E286" s="12" t="n">
        <x:v>173882</x:v>
      </x:c>
      <x:c r="F286" s="12" t="n">
        <x:v>3485766</x:v>
      </x:c>
      <x:c r="G286" s="14" t="n">
        <x:v>398964707.55</x:v>
      </x:c>
      <x:c r="H286" t="n">
        <x:v>0</x:v>
      </x:c>
      <x:c r="I286" t="n">
        <x:f>IF(H286=0,1,0)</x:f>
        <x:v>1</x:v>
      </x:c>
      <x:c r="J286" s="16" t="n">
        <x:f>F286/E286</x:f>
        <x:v>20.046732841812265</x:v>
      </x:c>
      <x:c r="K286" s="16" t="n">
        <x:f>G286/1000/E286</x:f>
        <x:v>2.2944566289207624</x:v>
      </x:c>
    </x:row>
    <x:row r="287">
      <x:c r="A287" s="8" t="d">
        <x:v>2024-10-08T00:00:00.000Z</x:v>
      </x:c>
      <x:c r="B287" t="str">
        <x:v>Moderate</x:v>
      </x:c>
      <x:c r="C287" t="str">
        <x:v>Workday</x:v>
      </x:c>
      <x:c r="D287" s="10" t="n">
        <x:v>22.64</x:v>
      </x:c>
      <x:c r="E287" s="12" t="n">
        <x:v>182669</x:v>
      </x:c>
      <x:c r="F287" s="12" t="n">
        <x:v>3756034</x:v>
      </x:c>
      <x:c r="G287" s="14" t="n">
        <x:v>425334195.71</x:v>
      </x:c>
      <x:c r="H287" t="n">
        <x:v>0</x:v>
      </x:c>
      <x:c r="I287" t="n">
        <x:f>IF(H287=0,1,0)</x:f>
        <x:v>1</x:v>
      </x:c>
      <x:c r="J287" s="16" t="n">
        <x:f>F287/E287</x:f>
        <x:v>20.56196727414066</x:v>
      </x:c>
      <x:c r="K287" s="16" t="n">
        <x:f>G287/1000/E287</x:f>
        <x:v>2.3284421314508754</x:v>
      </x:c>
    </x:row>
    <x:row r="288">
      <x:c r="A288" s="8" t="d">
        <x:v>2024-10-09T00:00:00.000Z</x:v>
      </x:c>
      <x:c r="B288" t="str">
        <x:v>Good</x:v>
      </x:c>
      <x:c r="C288" t="str">
        <x:v>Day off</x:v>
      </x:c>
      <x:c r="D288" s="10" t="n">
        <x:v>6.4</x:v>
      </x:c>
      <x:c r="E288" s="12" t="n">
        <x:v>160337</x:v>
      </x:c>
      <x:c r="F288" s="12" t="n">
        <x:v>4379332</x:v>
      </x:c>
      <x:c r="G288" s="14" t="n">
        <x:v>487711215.38</x:v>
      </x:c>
      <x:c r="H288" t="n">
        <x:v>0</x:v>
      </x:c>
      <x:c r="I288" t="n">
        <x:f>IF(H288=0,1,0)</x:f>
        <x:v>1</x:v>
      </x:c>
      <x:c r="J288" s="16" t="n">
        <x:f>F288/E288</x:f>
        <x:v>27.313296369521694</x:v>
      </x:c>
      <x:c r="K288" s="16" t="n">
        <x:f>G288/1000/E288</x:f>
        <x:v>3.0417883294560832</x:v>
      </x:c>
    </x:row>
    <x:row r="289">
      <x:c r="A289" s="8" t="d">
        <x:v>2024-10-10T00:00:00.000Z</x:v>
      </x:c>
      <x:c r="B289" t="str">
        <x:v>Good</x:v>
      </x:c>
      <x:c r="C289" t="str">
        <x:v>Workday</x:v>
      </x:c>
      <x:c r="D289" s="10" t="n">
        <x:v>10.16</x:v>
      </x:c>
      <x:c r="E289" s="12" t="n">
        <x:v>180117</x:v>
      </x:c>
      <x:c r="F289" s="12" t="n">
        <x:v>3625254</x:v>
      </x:c>
      <x:c r="G289" s="14" t="n">
        <x:v>411568408.98</x:v>
      </x:c>
      <x:c r="H289" t="n">
        <x:v>0</x:v>
      </x:c>
      <x:c r="I289" t="n">
        <x:f>IF(H289=0,1,0)</x:f>
        <x:v>1</x:v>
      </x:c>
      <x:c r="J289" s="16" t="n">
        <x:f>F289/E289</x:f>
        <x:v>20.127217308749312</x:v>
      </x:c>
      <x:c r="K289" s="16" t="n">
        <x:f>G289/1000/E289</x:f>
        <x:v>2.285005907160346</x:v>
      </x:c>
    </x:row>
    <x:row r="290">
      <x:c r="A290" s="8" t="d">
        <x:v>2024-10-11T00:00:00.000Z</x:v>
      </x:c>
      <x:c r="B290" t="str">
        <x:v>Moderate</x:v>
      </x:c>
      <x:c r="C290" t="str">
        <x:v>Workday</x:v>
      </x:c>
      <x:c r="D290" s="10" t="n">
        <x:v>21.625</x:v>
      </x:c>
      <x:c r="E290" s="12" t="n">
        <x:v>189277</x:v>
      </x:c>
      <x:c r="F290" s="12" t="n">
        <x:v>3987285</x:v>
      </x:c>
      <x:c r="G290" s="14" t="n">
        <x:v>444460948.89</x:v>
      </x:c>
      <x:c r="H290" t="n">
        <x:v>0</x:v>
      </x:c>
      <x:c r="I290" t="n">
        <x:f>IF(H290=0,1,0)</x:f>
        <x:v>1</x:v>
      </x:c>
      <x:c r="J290" s="16" t="n">
        <x:f>F290/E290</x:f>
        <x:v>21.065871711829754</x:v>
      </x:c>
      <x:c r="K290" s="16" t="n">
        <x:f>G290/1000/E290</x:f>
        <x:v>2.3482036850224803</x:v>
      </x:c>
    </x:row>
    <x:row r="291">
      <x:c r="A291" s="8" t="d">
        <x:v>2024-10-12T00:00:00.000Z</x:v>
      </x:c>
      <x:c r="B291" t="str">
        <x:v>Moderate</x:v>
      </x:c>
      <x:c r="C291" t="str">
        <x:v>Day off</x:v>
      </x:c>
      <x:c r="D291" s="10" t="n">
        <x:v>23.541667</x:v>
      </x:c>
      <x:c r="E291" s="12" t="n">
        <x:v>161677</x:v>
      </x:c>
      <x:c r="F291" s="12" t="n">
        <x:v>4159032</x:v>
      </x:c>
      <x:c r="G291" s="14" t="n">
        <x:v>450572782.16</x:v>
      </x:c>
      <x:c r="H291" t="n">
        <x:v>0</x:v>
      </x:c>
      <x:c r="I291" t="n">
        <x:f>IF(H291=0,1,0)</x:f>
        <x:v>1</x:v>
      </x:c>
      <x:c r="J291" s="16" t="n">
        <x:f>F291/E291</x:f>
        <x:v>25.72432689869307</x:v>
      </x:c>
      <x:c r="K291" s="16" t="n">
        <x:f>G291/1000/E291</x:f>
        <x:v>2.786870007236651</x:v>
      </x:c>
    </x:row>
    <x:row r="292">
      <x:c r="A292" s="8" t="d">
        <x:v>2024-10-13T00:00:00.000Z</x:v>
      </x:c>
      <x:c r="B292" t="str">
        <x:v>Moderate</x:v>
      </x:c>
      <x:c r="C292" t="str">
        <x:v>Day off</x:v>
      </x:c>
      <x:c r="D292" s="10" t="n">
        <x:v>17.25</x:v>
      </x:c>
      <x:c r="E292" s="12" t="n">
        <x:v>142161</x:v>
      </x:c>
      <x:c r="F292" s="12" t="n">
        <x:v>3721807</x:v>
      </x:c>
      <x:c r="G292" s="14" t="n">
        <x:v>414114924.25</x:v>
      </x:c>
      <x:c r="H292" t="n">
        <x:v>0</x:v>
      </x:c>
      <x:c r="I292" t="n">
        <x:f>IF(H292=0,1,0)</x:f>
        <x:v>1</x:v>
      </x:c>
      <x:c r="J292" s="16" t="n">
        <x:f>F292/E292</x:f>
        <x:v>26.18022523758274</x:v>
      </x:c>
      <x:c r="K292" s="16" t="n">
        <x:f>G292/1000/E292</x:f>
        <x:v>2.912999516393385</x:v>
      </x:c>
    </x:row>
    <x:row r="293">
      <x:c r="A293" s="8" t="d">
        <x:v>2024-10-14T00:00:00.000Z</x:v>
      </x:c>
      <x:c r="B293" t="str">
        <x:v>Good</x:v>
      </x:c>
      <x:c r="C293" t="str">
        <x:v>Workday</x:v>
      </x:c>
      <x:c r="D293" s="10" t="n">
        <x:v>10.291667</x:v>
      </x:c>
      <x:c r="E293" s="12" t="n">
        <x:v>171308</x:v>
      </x:c>
      <x:c r="F293" s="12" t="n">
        <x:v>3345525</x:v>
      </x:c>
      <x:c r="G293" s="14" t="n">
        <x:v>386221025.95</x:v>
      </x:c>
      <x:c r="H293" t="n">
        <x:v>0</x:v>
      </x:c>
      <x:c r="I293" t="n">
        <x:f>IF(H293=0,1,0)</x:f>
        <x:v>1</x:v>
      </x:c>
      <x:c r="J293" s="16" t="n">
        <x:f>F293/E293</x:f>
        <x:v>19.52929810633479</x:v>
      </x:c>
      <x:c r="K293" s="16" t="n">
        <x:f>G293/1000/E293</x:f>
        <x:v>2.254541679022579</x:v>
      </x:c>
    </x:row>
    <x:row r="294">
      <x:c r="A294" s="8" t="d">
        <x:v>2024-10-15T00:00:00.000Z</x:v>
      </x:c>
      <x:c r="B294" t="str">
        <x:v>Good</x:v>
      </x:c>
      <x:c r="C294" t="str">
        <x:v>Workday</x:v>
      </x:c>
      <x:c r="D294" s="10" t="n">
        <x:v>12.625</x:v>
      </x:c>
      <x:c r="E294" s="12" t="n">
        <x:v>155610</x:v>
      </x:c>
      <x:c r="F294" s="12" t="n">
        <x:v>3039780</x:v>
      </x:c>
      <x:c r="G294" s="14" t="n">
        <x:v>341900574.44</x:v>
      </x:c>
      <x:c r="H294" t="n">
        <x:v>0</x:v>
      </x:c>
      <x:c r="I294" t="n">
        <x:f>IF(H294=0,1,0)</x:f>
        <x:v>1</x:v>
      </x:c>
      <x:c r="J294" s="16" t="n">
        <x:f>F294/E294</x:f>
        <x:v>19.534605745132062</x:v>
      </x:c>
      <x:c r="K294" s="16" t="n">
        <x:f>G294/1000/E294</x:f>
        <x:v>2.1971632571171518</x:v>
      </x:c>
    </x:row>
    <x:row r="295">
      <x:c r="A295" s="8" t="d">
        <x:v>2024-10-16T00:00:00.000Z</x:v>
      </x:c>
      <x:c r="B295" t="str">
        <x:v>Moderate</x:v>
      </x:c>
      <x:c r="C295" t="str">
        <x:v>Workday</x:v>
      </x:c>
      <x:c r="D295" s="10" t="n">
        <x:v>22.791667</x:v>
      </x:c>
      <x:c r="E295" s="12" t="n">
        <x:v>181089</x:v>
      </x:c>
      <x:c r="F295" s="12" t="n">
        <x:v>3663895</x:v>
      </x:c>
      <x:c r="G295" s="14" t="n">
        <x:v>413507566.95</x:v>
      </x:c>
      <x:c r="H295" t="n">
        <x:v>0</x:v>
      </x:c>
      <x:c r="I295" t="n">
        <x:f>IF(H295=0,1,0)</x:f>
        <x:v>1</x:v>
      </x:c>
      <x:c r="J295" s="16" t="n">
        <x:f>F295/E295</x:f>
        <x:v>20.23256520274561</x:v>
      </x:c>
      <x:c r="K295" s="16" t="n">
        <x:f>G295/1000/E295</x:f>
        <x:v>2.2834493920116627</x:v>
      </x:c>
    </x:row>
    <x:row r="296">
      <x:c r="A296" s="8" t="d">
        <x:v>2024-10-17T00:00:00.000Z</x:v>
      </x:c>
      <x:c r="B296" t="str">
        <x:v>Moderate</x:v>
      </x:c>
      <x:c r="C296" t="str">
        <x:v>Workday</x:v>
      </x:c>
      <x:c r="D296" s="10" t="n">
        <x:v>21.6</x:v>
      </x:c>
      <x:c r="E296" s="12" t="n">
        <x:v>181158</x:v>
      </x:c>
      <x:c r="F296" s="12" t="n">
        <x:v>3661908</x:v>
      </x:c>
      <x:c r="G296" s="14" t="n">
        <x:v>417404655.86</x:v>
      </x:c>
      <x:c r="H296" t="n">
        <x:v>0</x:v>
      </x:c>
      <x:c r="I296" t="n">
        <x:f>IF(H296=0,1,0)</x:f>
        <x:v>1</x:v>
      </x:c>
      <x:c r="J296" s="16" t="n">
        <x:f>F296/E296</x:f>
        <x:v>20.213890636902594</x:v>
      </x:c>
      <x:c r="K296" s="16" t="n">
        <x:f>G296/1000/E296</x:f>
        <x:v>2.304091764426633</x:v>
      </x:c>
    </x:row>
    <x:row r="297">
      <x:c r="A297" s="8" t="d">
        <x:v>2024-10-18T00:00:00.000Z</x:v>
      </x:c>
      <x:c r="B297" t="str">
        <x:v>Good</x:v>
      </x:c>
      <x:c r="C297" t="str">
        <x:v>Workday</x:v>
      </x:c>
      <x:c r="D297" s="10" t="n">
        <x:v>11.6</x:v>
      </x:c>
      <x:c r="E297" s="12" t="n">
        <x:v>78673</x:v>
      </x:c>
      <x:c r="F297" s="12" t="n">
        <x:v>1249294</x:v>
      </x:c>
      <x:c r="G297" s="14" t="n">
        <x:v>144935121.56</x:v>
      </x:c>
      <x:c r="H297" t="n">
        <x:v>0</x:v>
      </x:c>
      <x:c r="I297" t="n">
        <x:f>IF(H297=0,1,0)</x:f>
        <x:v>1</x:v>
      </x:c>
      <x:c r="J297" s="16" t="n">
        <x:f>F297/E297</x:f>
        <x:v>15.879577491642621</x:v>
      </x:c>
      <x:c r="K297" s="16" t="n">
        <x:f>G297/1000/E297</x:f>
        <x:v>1.8422472965312116</x:v>
      </x:c>
    </x:row>
    <x:row r="298">
      <x:c r="A298" s="8" t="d">
        <x:v>2024-10-19T00:00:00.000Z</x:v>
      </x:c>
      <x:c r="B298" t="str">
        <x:v>Good</x:v>
      </x:c>
      <x:c r="C298" t="str">
        <x:v>Day off</x:v>
      </x:c>
      <x:c r="D298" s="10" t="n">
        <x:v>3.44</x:v>
      </x:c>
      <x:c r="E298" s="12" t="n">
        <x:v>130839</x:v>
      </x:c>
      <x:c r="F298" s="12" t="n">
        <x:v>3101513</x:v>
      </x:c>
      <x:c r="G298" s="14" t="n">
        <x:v>330421981.03</x:v>
      </x:c>
      <x:c r="H298" t="n">
        <x:v>0</x:v>
      </x:c>
      <x:c r="I298" t="n">
        <x:f>IF(H298=0,1,0)</x:f>
        <x:v>1</x:v>
      </x:c>
      <x:c r="J298" s="16" t="n">
        <x:f>F298/E298</x:f>
        <x:v>23.704805142197664</x:v>
      </x:c>
      <x:c r="K298" s="16" t="n">
        <x:f>G298/1000/E298</x:f>
        <x:v>2.5254089455743314</x:v>
      </x:c>
    </x:row>
    <x:row r="299">
      <x:c r="A299" s="8" t="d">
        <x:v>2024-10-20T00:00:00.000Z</x:v>
      </x:c>
      <x:c r="B299" t="str">
        <x:v>Good</x:v>
      </x:c>
      <x:c r="C299" t="str">
        <x:v>Day off</x:v>
      </x:c>
      <x:c r="D299" s="10" t="n">
        <x:v>3.64</x:v>
      </x:c>
      <x:c r="E299" s="12" t="n">
        <x:v>122486</x:v>
      </x:c>
      <x:c r="F299" s="12" t="n">
        <x:v>3056896</x:v>
      </x:c>
      <x:c r="G299" s="14" t="n">
        <x:v>333575726.26</x:v>
      </x:c>
      <x:c r="H299" t="n">
        <x:v>0</x:v>
      </x:c>
      <x:c r="I299" t="n">
        <x:f>IF(H299=0,1,0)</x:f>
        <x:v>1</x:v>
      </x:c>
      <x:c r="J299" s="16" t="n">
        <x:f>F299/E299</x:f>
        <x:v>24.957105301830413</x:v>
      </x:c>
      <x:c r="K299" s="16" t="n">
        <x:f>G299/1000/E299</x:f>
        <x:v>2.7233783963881586</x:v>
      </x:c>
    </x:row>
    <x:row r="300">
      <x:c r="A300" s="8" t="d">
        <x:v>2024-10-21T00:00:00.000Z</x:v>
      </x:c>
      <x:c r="B300" t="str">
        <x:v>Good</x:v>
      </x:c>
      <x:c r="C300" t="str">
        <x:v>Workday</x:v>
      </x:c>
      <x:c r="D300" s="10" t="n">
        <x:v>5.4</x:v>
      </x:c>
      <x:c r="E300" s="12" t="n">
        <x:v>154399</x:v>
      </x:c>
      <x:c r="F300" s="12" t="n">
        <x:v>2923796</x:v>
      </x:c>
      <x:c r="G300" s="14" t="n">
        <x:v>328508413.07</x:v>
      </x:c>
      <x:c r="H300" t="n">
        <x:v>0</x:v>
      </x:c>
      <x:c r="I300" t="n">
        <x:f>IF(H300=0,1,0)</x:f>
        <x:v>1</x:v>
      </x:c>
      <x:c r="J300" s="16" t="n">
        <x:f>F300/E300</x:f>
        <x:v>18.936625237210084</x:v>
      </x:c>
      <x:c r="K300" s="16" t="n">
        <x:f>G300/1000/E300</x:f>
        <x:v>2.1276589425449646</x:v>
      </x:c>
    </x:row>
    <x:row r="301">
      <x:c r="A301" s="8" t="d">
        <x:v>2024-10-22T00:00:00.000Z</x:v>
      </x:c>
      <x:c r="B301" t="str">
        <x:v>Good</x:v>
      </x:c>
      <x:c r="C301" t="str">
        <x:v>Workday</x:v>
      </x:c>
      <x:c r="D301" s="10" t="n">
        <x:v>5.64</x:v>
      </x:c>
      <x:c r="E301" s="12" t="n">
        <x:v>26814</x:v>
      </x:c>
      <x:c r="F301" s="12" t="n">
        <x:v>424892</x:v>
      </x:c>
      <x:c r="G301" s="14" t="n">
        <x:v>43908642.72</x:v>
      </x:c>
      <x:c r="H301" t="n">
        <x:v>0</x:v>
      </x:c>
      <x:c r="I301" t="n">
        <x:f>IF(H301=0,1,0)</x:f>
        <x:v>1</x:v>
      </x:c>
      <x:c r="J301" s="16" t="n">
        <x:f>F301/E301</x:f>
        <x:v>15.845901394793765</x:v>
      </x:c>
      <x:c r="K301" s="16" t="n">
        <x:f>G301/1000/E301</x:f>
        <x:v>1.637526766614455</x:v>
      </x:c>
    </x:row>
    <x:row r="302">
      <x:c r="A302" s="8" t="d">
        <x:v>2024-10-23T00:00:00.000Z</x:v>
      </x:c>
      <x:c r="B302" t="str">
        <x:v>Good</x:v>
      </x:c>
      <x:c r="C302" t="str">
        <x:v>Workday</x:v>
      </x:c>
      <x:c r="D302" s="10" t="n">
        <x:v>6.56</x:v>
      </x:c>
      <x:c r="E302" s="12" t="n">
        <x:v>143675</x:v>
      </x:c>
      <x:c r="F302" s="12" t="n">
        <x:v>2769561</x:v>
      </x:c>
      <x:c r="G302" s="14" t="n">
        <x:v>301139735.17</x:v>
      </x:c>
      <x:c r="H302" t="n">
        <x:v>0</x:v>
      </x:c>
      <x:c r="I302" t="n">
        <x:f>IF(H302=0,1,0)</x:f>
        <x:v>1</x:v>
      </x:c>
      <x:c r="J302" s="16" t="n">
        <x:f>F302/E302</x:f>
        <x:v>19.276568644510178</x:v>
      </x:c>
      <x:c r="K302" s="16" t="n">
        <x:f>G302/1000/E302</x:f>
        <x:v>2.095978668313903</x:v>
      </x:c>
    </x:row>
    <x:row r="303">
      <x:c r="A303" s="8" t="d">
        <x:v>2024-10-24T00:00:00.000Z</x:v>
      </x:c>
      <x:c r="B303" t="str">
        <x:v>Moderate</x:v>
      </x:c>
      <x:c r="C303" t="str">
        <x:v>Workday</x:v>
      </x:c>
      <x:c r="D303" s="10" t="n">
        <x:v>15.6</x:v>
      </x:c>
      <x:c r="E303" s="12" t="n">
        <x:v>159362</x:v>
      </x:c>
      <x:c r="F303" s="12" t="n">
        <x:v>3099509</x:v>
      </x:c>
      <x:c r="G303" s="14" t="n">
        <x:v>343498613.46</x:v>
      </x:c>
      <x:c r="H303" t="n">
        <x:v>0</x:v>
      </x:c>
      <x:c r="I303" t="n">
        <x:f>IF(H303=0,1,0)</x:f>
        <x:v>1</x:v>
      </x:c>
      <x:c r="J303" s="16" t="n">
        <x:f>F303/E303</x:f>
        <x:v>19.449486075726963</x:v>
      </x:c>
      <x:c r="K303" s="16" t="n">
        <x:f>G303/1000/E303</x:f>
        <x:v>2.1554612358027634</x:v>
      </x:c>
    </x:row>
    <x:row r="304">
      <x:c r="A304" s="8" t="d">
        <x:v>2024-10-25T00:00:00.000Z</x:v>
      </x:c>
      <x:c r="B304" t="str">
        <x:v>Good</x:v>
      </x:c>
      <x:c r="C304" t="str">
        <x:v>Workday</x:v>
      </x:c>
      <x:c r="D304" s="10" t="n">
        <x:v>14.64</x:v>
      </x:c>
      <x:c r="E304" s="12" t="n">
        <x:v>166443</x:v>
      </x:c>
      <x:c r="F304" s="12" t="n">
        <x:v>3388987</x:v>
      </x:c>
      <x:c r="G304" s="14" t="n">
        <x:v>371727320.02</x:v>
      </x:c>
      <x:c r="H304" t="n">
        <x:v>0</x:v>
      </x:c>
      <x:c r="I304" t="n">
        <x:f>IF(H304=0,1,0)</x:f>
        <x:v>1</x:v>
      </x:c>
      <x:c r="J304" s="16" t="n">
        <x:f>F304/E304</x:f>
        <x:v>20.361246793196468</x:v>
      </x:c>
      <x:c r="K304" s="16" t="n">
        <x:f>G304/1000/E304</x:f>
        <x:v>2.2333610907037245</x:v>
      </x:c>
    </x:row>
    <x:row r="305">
      <x:c r="A305" s="8" t="d">
        <x:v>2024-10-26T00:00:00.000Z</x:v>
      </x:c>
      <x:c r="B305" t="str">
        <x:v>Good</x:v>
      </x:c>
      <x:c r="C305" t="str">
        <x:v>Day off</x:v>
      </x:c>
      <x:c r="D305" s="10" t="n">
        <x:v>12</x:v>
      </x:c>
      <x:c r="E305" s="12" t="n">
        <x:v>145489</x:v>
      </x:c>
      <x:c r="F305" s="12" t="n">
        <x:v>3595307</x:v>
      </x:c>
      <x:c r="G305" s="14" t="n">
        <x:v>387871932.52</x:v>
      </x:c>
      <x:c r="H305" t="n">
        <x:v>0</x:v>
      </x:c>
      <x:c r="I305" t="n">
        <x:f>IF(H305=0,1,0)</x:f>
        <x:v>1</x:v>
      </x:c>
      <x:c r="J305" s="16" t="n">
        <x:f>F305/E305</x:f>
        <x:v>24.711881997951735</x:v>
      </x:c>
      <x:c r="K305" s="16" t="n">
        <x:f>G305/1000/E305</x:f>
        <x:v>2.6659880301603556</x:v>
      </x:c>
    </x:row>
    <x:row r="306">
      <x:c r="A306" s="8" t="d">
        <x:v>2024-10-27T00:00:00.000Z</x:v>
      </x:c>
      <x:c r="B306" t="str">
        <x:v>Moderate</x:v>
      </x:c>
      <x:c r="C306" t="str">
        <x:v>Day off</x:v>
      </x:c>
      <x:c r="D306" s="10" t="n">
        <x:v>16.28</x:v>
      </x:c>
      <x:c r="E306" s="12" t="n">
        <x:v>110955</x:v>
      </x:c>
      <x:c r="F306" s="12" t="n">
        <x:v>2611807</x:v>
      </x:c>
      <x:c r="G306" s="14" t="n">
        <x:v>289263441.31</x:v>
      </x:c>
      <x:c r="H306" t="n">
        <x:v>0</x:v>
      </x:c>
      <x:c r="I306" t="n">
        <x:f>IF(H306=0,1,0)</x:f>
        <x:v>1</x:v>
      </x:c>
      <x:c r="J306" s="16" t="n">
        <x:f>F306/E306</x:f>
        <x:v>23.539335766752288</x:v>
      </x:c>
      <x:c r="K306" s="16" t="n">
        <x:f>G306/1000/E306</x:f>
        <x:v>2.6070338543553695</x:v>
      </x:c>
    </x:row>
    <x:row r="307">
      <x:c r="A307" s="8" t="d">
        <x:v>2024-10-28T00:00:00.000Z</x:v>
      </x:c>
      <x:c r="B307" t="str">
        <x:v>Moderate</x:v>
      </x:c>
      <x:c r="C307" t="str">
        <x:v>Workday</x:v>
      </x:c>
      <x:c r="D307" s="10" t="n">
        <x:v>21.68</x:v>
      </x:c>
      <x:c r="E307" s="12" t="n">
        <x:v>159272</x:v>
      </x:c>
      <x:c r="F307" s="12" t="n">
        <x:v>3133695</x:v>
      </x:c>
      <x:c r="G307" s="14" t="n">
        <x:v>350059932.05</x:v>
      </x:c>
      <x:c r="H307" t="n">
        <x:v>0</x:v>
      </x:c>
      <x:c r="I307" t="n">
        <x:f>IF(H307=0,1,0)</x:f>
        <x:v>1</x:v>
      </x:c>
      <x:c r="J307" s="16" t="n">
        <x:f>F307/E307</x:f>
        <x:v>19.67511552564167</x:v>
      </x:c>
      <x:c r="K307" s="16" t="n">
        <x:f>G307/1000/E307</x:f>
        <x:v>2.197874906135416</x:v>
      </x:c>
    </x:row>
    <x:row r="308">
      <x:c r="A308" s="8" t="d">
        <x:v>2024-10-29T00:00:00.000Z</x:v>
      </x:c>
      <x:c r="B308" t="str">
        <x:v>Good</x:v>
      </x:c>
      <x:c r="C308" t="str">
        <x:v>Workday</x:v>
      </x:c>
      <x:c r="D308" s="10" t="n">
        <x:v>6.96</x:v>
      </x:c>
      <x:c r="E308" s="12" t="n">
        <x:v>154496</x:v>
      </x:c>
      <x:c r="F308" s="12" t="n">
        <x:v>2907694</x:v>
      </x:c>
      <x:c r="G308" s="14" t="n">
        <x:v>327014905.43</x:v>
      </x:c>
      <x:c r="H308" t="n">
        <x:v>0</x:v>
      </x:c>
      <x:c r="I308" t="n">
        <x:f>IF(H308=0,1,0)</x:f>
        <x:v>1</x:v>
      </x:c>
      <x:c r="J308" s="16" t="n">
        <x:f>F308/E308</x:f>
        <x:v>18.820513152444075</x:v>
      </x:c>
      <x:c r="K308" s="16" t="n">
        <x:f>G308/1000/E308</x:f>
        <x:v>2.1166561298027133</x:v>
      </x:c>
    </x:row>
    <x:row r="309">
      <x:c r="A309" s="8" t="d">
        <x:v>2024-10-30T00:00:00.000Z</x:v>
      </x:c>
      <x:c r="B309" t="str">
        <x:v>Moderate</x:v>
      </x:c>
      <x:c r="C309" t="str">
        <x:v>Workday</x:v>
      </x:c>
      <x:c r="D309" s="10" t="n">
        <x:v>15.68</x:v>
      </x:c>
      <x:c r="E309" s="12" t="n">
        <x:v>167856</x:v>
      </x:c>
      <x:c r="F309" s="12" t="n">
        <x:v>3302689</x:v>
      </x:c>
      <x:c r="G309" s="14" t="n">
        <x:v>369950897.52</x:v>
      </x:c>
      <x:c r="H309" t="n">
        <x:v>0</x:v>
      </x:c>
      <x:c r="I309" t="n">
        <x:f>IF(H309=0,1,0)</x:f>
        <x:v>1</x:v>
      </x:c>
      <x:c r="J309" s="16" t="n">
        <x:f>F309/E309</x:f>
        <x:v>19.67572800495663</x:v>
      </x:c>
      <x:c r="K309" s="16" t="n">
        <x:f>G309/1000/E309</x:f>
        <x:v>2.2039777995424648</x:v>
      </x:c>
    </x:row>
    <x:row r="310">
      <x:c r="A310" s="8" t="d">
        <x:v>2024-10-31T00:00:00.000Z</x:v>
      </x:c>
      <x:c r="B310" t="str">
        <x:v>Moderate</x:v>
      </x:c>
      <x:c r="C310" t="str">
        <x:v>Workday</x:v>
      </x:c>
      <x:c r="D310" s="10" t="n">
        <x:v>20.28</x:v>
      </x:c>
      <x:c r="E310" s="12" t="n">
        <x:v>167806</x:v>
      </x:c>
      <x:c r="F310" s="12" t="n">
        <x:v>3317020</x:v>
      </x:c>
      <x:c r="G310" s="14" t="n">
        <x:v>370938393.84</x:v>
      </x:c>
      <x:c r="H310" t="n">
        <x:v>0</x:v>
      </x:c>
      <x:c r="I310" t="n">
        <x:f>IF(H310=0,1,0)</x:f>
        <x:v>1</x:v>
      </x:c>
      <x:c r="J310" s="16" t="n">
        <x:f>F310/E310</x:f>
        <x:v>19.766992836966498</x:v>
      </x:c>
      <x:c r="K310" s="16" t="n">
        <x:f>G310/1000/E310</x:f>
        <x:v>2.210519253423596</x:v>
      </x:c>
    </x:row>
    <x:row r="311">
      <x:c r="A311" s="8" t="d">
        <x:v>2024-11-01T00:00:00.000Z</x:v>
      </x:c>
      <x:c r="B311" t="str">
        <x:v>Moderate</x:v>
      </x:c>
      <x:c r="C311" t="str">
        <x:v>Workday</x:v>
      </x:c>
      <x:c r="D311" s="10" t="n">
        <x:v>23.6</x:v>
      </x:c>
      <x:c r="E311" s="12" t="n">
        <x:v>166365</x:v>
      </x:c>
      <x:c r="F311" s="12" t="n">
        <x:v>3309454</x:v>
      </x:c>
      <x:c r="G311" s="14" t="n">
        <x:v>363413499.57</x:v>
      </x:c>
      <x:c r="H311" t="n">
        <x:v>0</x:v>
      </x:c>
      <x:c r="I311" t="n">
        <x:f>IF(H311=0,1,0)</x:f>
        <x:v>1</x:v>
      </x:c>
      <x:c r="J311" s="16" t="n">
        <x:f>F311/E311</x:f>
        <x:v>19.892729841012233</x:v>
      </x:c>
      <x:c r="K311" s="16" t="n">
        <x:f>G311/1000/E311</x:f>
        <x:v>2.1844348244522585</x:v>
      </x:c>
    </x:row>
    <x:row r="312">
      <x:c r="A312" s="8" t="d">
        <x:v>2024-11-02T00:00:00.000Z</x:v>
      </x:c>
      <x:c r="B312" t="str">
        <x:v>Moderate</x:v>
      </x:c>
      <x:c r="C312" t="str">
        <x:v>Day off</x:v>
      </x:c>
      <x:c r="D312" s="10" t="n">
        <x:v>19.68</x:v>
      </x:c>
      <x:c r="E312" s="12" t="n">
        <x:v>146372</x:v>
      </x:c>
      <x:c r="F312" s="12" t="n">
        <x:v>3660782</x:v>
      </x:c>
      <x:c r="G312" s="14" t="n">
        <x:v>393577901.91</x:v>
      </x:c>
      <x:c r="H312" t="n">
        <x:v>0</x:v>
      </x:c>
      <x:c r="I312" t="n">
        <x:f>IF(H312=0,1,0)</x:f>
        <x:v>1</x:v>
      </x:c>
      <x:c r="J312" s="16" t="n">
        <x:f>F312/E312</x:f>
        <x:v>25.010124887273523</x:v>
      </x:c>
      <x:c r="K312" s="16" t="n">
        <x:f>G312/1000/E312</x:f>
        <x:v>2.6888879151067147</x:v>
      </x:c>
    </x:row>
    <x:row r="313">
      <x:c r="A313" s="8" t="d">
        <x:v>2024-11-03T00:00:00.000Z</x:v>
      </x:c>
      <x:c r="B313" t="str">
        <x:v>Good</x:v>
      </x:c>
      <x:c r="C313" t="str">
        <x:v>Day off</x:v>
      </x:c>
      <x:c r="D313" s="10" t="n">
        <x:v>14.84</x:v>
      </x:c>
      <x:c r="E313" s="12" t="n">
        <x:v>132606</x:v>
      </x:c>
      <x:c r="F313" s="12" t="n">
        <x:v>3406861</x:v>
      </x:c>
      <x:c r="G313" s="14" t="n">
        <x:v>372697219.22</x:v>
      </x:c>
      <x:c r="H313" t="n">
        <x:v>0</x:v>
      </x:c>
      <x:c r="I313" t="n">
        <x:f>IF(H313=0,1,0)</x:f>
        <x:v>1</x:v>
      </x:c>
      <x:c r="J313" s="16" t="n">
        <x:f>F313/E313</x:f>
        <x:v>25.69160520640092</x:v>
      </x:c>
      <x:c r="K313" s="16" t="n">
        <x:f>G313/1000/E313</x:f>
        <x:v>2.8105607530579313</x:v>
      </x:c>
    </x:row>
    <x:row r="314">
      <x:c r="A314" s="8" t="d">
        <x:v>2024-11-04T00:00:00.000Z</x:v>
      </x:c>
      <x:c r="B314" t="str">
        <x:v>Good</x:v>
      </x:c>
      <x:c r="C314" t="str">
        <x:v>Workday</x:v>
      </x:c>
      <x:c r="D314" s="10" t="n">
        <x:v>13.04</x:v>
      </x:c>
      <x:c r="E314" s="12" t="n">
        <x:v>153220</x:v>
      </x:c>
      <x:c r="F314" s="12" t="n">
        <x:v>2916901</x:v>
      </x:c>
      <x:c r="G314" s="14" t="n">
        <x:v>323379933.87</x:v>
      </x:c>
      <x:c r="H314" t="n">
        <x:v>0</x:v>
      </x:c>
      <x:c r="I314" t="n">
        <x:f>IF(H314=0,1,0)</x:f>
        <x:v>1</x:v>
      </x:c>
      <x:c r="J314" s="16" t="n">
        <x:f>F314/E314</x:f>
        <x:v>19.037338467562982</x:v>
      </x:c>
      <x:c r="K314" s="16" t="n">
        <x:f>G314/1000/E314</x:f>
        <x:v>2.1105595475133794</x:v>
      </x:c>
    </x:row>
    <x:row r="315">
      <x:c r="A315" s="8" t="d">
        <x:v>2024-11-05T00:00:00.000Z</x:v>
      </x:c>
      <x:c r="B315" t="str">
        <x:v>Good</x:v>
      </x:c>
      <x:c r="C315" t="str">
        <x:v>Workday</x:v>
      </x:c>
      <x:c r="D315" s="10" t="n">
        <x:v>9.96</x:v>
      </x:c>
      <x:c r="E315" s="12" t="n">
        <x:v>145620</x:v>
      </x:c>
      <x:c r="F315" s="12" t="n">
        <x:v>2664690</x:v>
      </x:c>
      <x:c r="G315" s="14" t="n">
        <x:v>292371530.73</x:v>
      </x:c>
      <x:c r="H315" t="n">
        <x:v>0</x:v>
      </x:c>
      <x:c r="I315" t="n">
        <x:f>IF(H315=0,1,0)</x:f>
        <x:v>1</x:v>
      </x:c>
      <x:c r="J315" s="16" t="n">
        <x:f>F315/E315</x:f>
        <x:v>18.298928718582612</x:v>
      </x:c>
      <x:c r="K315" s="16" t="n">
        <x:f>G315/1000/E315</x:f>
        <x:v>2.007770434899052</x:v>
      </x:c>
    </x:row>
    <x:row r="316">
      <x:c r="A316" s="8" t="d">
        <x:v>2024-11-06T00:00:00.000Z</x:v>
      </x:c>
      <x:c r="B316" t="str">
        <x:v>Good</x:v>
      </x:c>
      <x:c r="C316" t="str">
        <x:v>Workday</x:v>
      </x:c>
      <x:c r="D316" s="10" t="n">
        <x:v>12.16</x:v>
      </x:c>
      <x:c r="E316" s="12" t="n">
        <x:v>138896</x:v>
      </x:c>
      <x:c r="F316" s="12" t="n">
        <x:v>2510251</x:v>
      </x:c>
      <x:c r="G316" s="14" t="n">
        <x:v>273137422.11</x:v>
      </x:c>
      <x:c r="H316" t="n">
        <x:v>0</x:v>
      </x:c>
      <x:c r="I316" t="n">
        <x:f>IF(H316=0,1,0)</x:f>
        <x:v>1</x:v>
      </x:c>
      <x:c r="J316" s="16" t="n">
        <x:f>F316/E316</x:f>
        <x:v>18.072881868448334</x:v>
      </x:c>
      <x:c r="K316" s="16" t="n">
        <x:f>G316/1000/E316</x:f>
        <x:v>1.9664887549677459</x:v>
      </x:c>
    </x:row>
    <x:row r="317">
      <x:c r="A317" s="8" t="d">
        <x:v>2024-11-07T00:00:00.000Z</x:v>
      </x:c>
      <x:c r="B317" t="str">
        <x:v>Moderate</x:v>
      </x:c>
      <x:c r="C317" t="str">
        <x:v>Workday</x:v>
      </x:c>
      <x:c r="D317" s="10" t="n">
        <x:v>22.68</x:v>
      </x:c>
      <x:c r="E317" s="12" t="n">
        <x:v>140419</x:v>
      </x:c>
      <x:c r="F317" s="12" t="n">
        <x:v>2546241</x:v>
      </x:c>
      <x:c r="G317" s="14" t="n">
        <x:v>277632288.11</x:v>
      </x:c>
      <x:c r="H317" t="n">
        <x:v>0</x:v>
      </x:c>
      <x:c r="I317" t="n">
        <x:f>IF(H317=0,1,0)</x:f>
        <x:v>1</x:v>
      </x:c>
      <x:c r="J317" s="16" t="n">
        <x:f>F317/E317</x:f>
        <x:v>18.133165739679104</x:v>
      </x:c>
      <x:c r="K317" s="16" t="n">
        <x:f>G317/1000/E317</x:f>
        <x:v>1.9771703837087575</x:v>
      </x:c>
    </x:row>
    <x:row r="318">
      <x:c r="A318" s="8" t="d">
        <x:v>2024-11-08T00:00:00.000Z</x:v>
      </x:c>
      <x:c r="B318" t="str">
        <x:v>Moderate</x:v>
      </x:c>
      <x:c r="C318" t="str">
        <x:v>Workday</x:v>
      </x:c>
      <x:c r="D318" s="10" t="n">
        <x:v>21.72</x:v>
      </x:c>
      <x:c r="E318" s="12" t="n">
        <x:v>146625</x:v>
      </x:c>
      <x:c r="F318" s="12" t="n">
        <x:v>2795690</x:v>
      </x:c>
      <x:c r="G318" s="14" t="n">
        <x:v>301999211.37</x:v>
      </x:c>
      <x:c r="H318" t="n">
        <x:v>0</x:v>
      </x:c>
      <x:c r="I318" t="n">
        <x:f>IF(H318=0,1,0)</x:f>
        <x:v>1</x:v>
      </x:c>
      <x:c r="J318" s="16" t="n">
        <x:f>F318/E318</x:f>
        <x:v>19.06693947144075</x:v>
      </x:c>
      <x:c r="K318" s="16" t="n">
        <x:f>G318/1000/E318</x:f>
        <x:v>2.059670665780051</x:v>
      </x:c>
    </x:row>
    <x:row r="319">
      <x:c r="A319" s="8" t="d">
        <x:v>2024-11-09T00:00:00.000Z</x:v>
      </x:c>
      <x:c r="B319" t="str">
        <x:v>Moderate</x:v>
      </x:c>
      <x:c r="C319" t="str">
        <x:v>Day off</x:v>
      </x:c>
      <x:c r="D319" s="10" t="n">
        <x:v>19.2</x:v>
      </x:c>
      <x:c r="E319" s="12" t="n">
        <x:v>125840</x:v>
      </x:c>
      <x:c r="F319" s="12" t="n">
        <x:v>2945938</x:v>
      </x:c>
      <x:c r="G319" s="14" t="n">
        <x:v>313167370.33</x:v>
      </x:c>
      <x:c r="H319" t="n">
        <x:v>0</x:v>
      </x:c>
      <x:c r="I319" t="n">
        <x:f>IF(H319=0,1,0)</x:f>
        <x:v>1</x:v>
      </x:c>
      <x:c r="J319" s="16" t="n">
        <x:f>F319/E319</x:f>
        <x:v>23.410187539732995</x:v>
      </x:c>
      <x:c r="K319" s="16" t="n">
        <x:f>G319/1000/E319</x:f>
        <x:v>2.488615466703751</x:v>
      </x:c>
    </x:row>
    <x:row r="320">
      <x:c r="A320" s="8" t="d">
        <x:v>2024-11-10T00:00:00.000Z</x:v>
      </x:c>
      <x:c r="B320" t="str">
        <x:v>Moderate</x:v>
      </x:c>
      <x:c r="C320" t="str">
        <x:v>Day off</x:v>
      </x:c>
      <x:c r="D320" s="10" t="n">
        <x:v>15.28</x:v>
      </x:c>
      <x:c r="E320" s="12" t="n">
        <x:v>115684</x:v>
      </x:c>
      <x:c r="F320" s="12" t="n">
        <x:v>2876278</x:v>
      </x:c>
      <x:c r="G320" s="14" t="n">
        <x:v>316356302.56</x:v>
      </x:c>
      <x:c r="H320" t="n">
        <x:v>0</x:v>
      </x:c>
      <x:c r="I320" t="n">
        <x:f>IF(H320=0,1,0)</x:f>
        <x:v>1</x:v>
      </x:c>
      <x:c r="J320" s="16" t="n">
        <x:f>F320/E320</x:f>
        <x:v>24.863230870301855</x:v>
      </x:c>
      <x:c r="K320" s="16" t="n">
        <x:f>G320/1000/E320</x:f>
        <x:v>2.7346590933923447</x:v>
      </x:c>
    </x:row>
    <x:row r="321">
      <x:c r="A321" s="8" t="d">
        <x:v>2024-11-11T00:00:00.000Z</x:v>
      </x:c>
      <x:c r="B321" t="str">
        <x:v>Moderate</x:v>
      </x:c>
      <x:c r="C321" t="str">
        <x:v>Workday</x:v>
      </x:c>
      <x:c r="D321" s="10" t="n">
        <x:v>30.56</x:v>
      </x:c>
      <x:c r="E321" s="12" t="n">
        <x:v>155307</x:v>
      </x:c>
      <x:c r="F321" s="12" t="n">
        <x:v>3039203</x:v>
      </x:c>
      <x:c r="G321" s="14" t="n">
        <x:v>335419715.7</x:v>
      </x:c>
      <x:c r="H321" t="n">
        <x:v>0</x:v>
      </x:c>
      <x:c r="I321" t="n">
        <x:f>IF(H321=0,1,0)</x:f>
        <x:v>1</x:v>
      </x:c>
      <x:c r="J321" s="16" t="n">
        <x:f>F321/E321</x:f>
        <x:v>19.56900204111856</x:v>
      </x:c>
      <x:c r="K321" s="16" t="n">
        <x:f>G321/1000/E321</x:f>
        <x:v>2.159720525797292</x:v>
      </x:c>
    </x:row>
    <x:row r="322">
      <x:c r="A322" s="8" t="d">
        <x:v>2024-11-12T00:00:00.000Z</x:v>
      </x:c>
      <x:c r="B322" t="str">
        <x:v>Moderate</x:v>
      </x:c>
      <x:c r="C322" t="str">
        <x:v>Workday</x:v>
      </x:c>
      <x:c r="D322" s="10" t="n">
        <x:v>23.541667</x:v>
      </x:c>
      <x:c r="E322" s="12" t="n">
        <x:v>158282</x:v>
      </x:c>
      <x:c r="F322" s="12" t="n">
        <x:v>3047618</x:v>
      </x:c>
      <x:c r="G322" s="14" t="n">
        <x:v>339499337.19</x:v>
      </x:c>
      <x:c r="H322" t="n">
        <x:v>0</x:v>
      </x:c>
      <x:c r="I322" t="n">
        <x:f>IF(H322=0,1,0)</x:f>
        <x:v>1</x:v>
      </x:c>
      <x:c r="J322" s="16" t="n">
        <x:f>F322/E322</x:f>
        <x:v>19.254356149151516</x:v>
      </x:c>
      <x:c r="K322" s="16" t="n">
        <x:f>G322/1000/E322</x:f>
        <x:v>2.144901739869347</x:v>
      </x:c>
    </x:row>
    <x:row r="323">
      <x:c r="A323" s="8" t="d">
        <x:v>2024-11-13T00:00:00.000Z</x:v>
      </x:c>
      <x:c r="B323" t="str">
        <x:v>Moderate</x:v>
      </x:c>
      <x:c r="C323" t="str">
        <x:v>Workday</x:v>
      </x:c>
      <x:c r="D323" s="10" t="n">
        <x:v>21.458333</x:v>
      </x:c>
      <x:c r="E323" s="12" t="n">
        <x:v>162962</x:v>
      </x:c>
      <x:c r="F323" s="12" t="n">
        <x:v>3168107</x:v>
      </x:c>
      <x:c r="G323" s="14" t="n">
        <x:v>352233010.42</x:v>
      </x:c>
      <x:c r="H323" t="n">
        <x:v>0</x:v>
      </x:c>
      <x:c r="I323" t="n">
        <x:f>IF(H323=0,1,0)</x:f>
        <x:v>1</x:v>
      </x:c>
      <x:c r="J323" s="16" t="n">
        <x:f>F323/E323</x:f>
        <x:v>19.440771468195038</x:v>
      </x:c>
      <x:c r="K323" s="16" t="n">
        <x:f>G323/1000/E323</x:f>
        <x:v>2.161442608829052</x:v>
      </x:c>
    </x:row>
    <x:row r="324">
      <x:c r="A324" s="8" t="d">
        <x:v>2024-11-14T00:00:00.000Z</x:v>
      </x:c>
      <x:c r="B324" t="str">
        <x:v>Moderate</x:v>
      </x:c>
      <x:c r="C324" t="str">
        <x:v>Workday</x:v>
      </x:c>
      <x:c r="D324" s="10" t="n">
        <x:v>17.125</x:v>
      </x:c>
      <x:c r="E324" s="12" t="n">
        <x:v>137465</x:v>
      </x:c>
      <x:c r="F324" s="12" t="n">
        <x:v>2489151</x:v>
      </x:c>
      <x:c r="G324" s="14" t="n">
        <x:v>277297164.13</x:v>
      </x:c>
      <x:c r="H324" t="n">
        <x:v>0</x:v>
      </x:c>
      <x:c r="I324" t="n">
        <x:f>IF(H324=0,1,0)</x:f>
        <x:v>1</x:v>
      </x:c>
      <x:c r="J324" s="16" t="n">
        <x:f>F324/E324</x:f>
        <x:v>18.10752555195868</x:v>
      </x:c>
      <x:c r="K324" s="16" t="n">
        <x:f>G324/1000/E324</x:f>
        <x:v>2.0172201224311643</x:v>
      </x:c>
    </x:row>
    <x:row r="325">
      <x:c r="A325" s="8" t="d">
        <x:v>2024-11-15T00:00:00.000Z</x:v>
      </x:c>
      <x:c r="B325" t="str">
        <x:v>Moderate</x:v>
      </x:c>
      <x:c r="C325" t="str">
        <x:v>Workday</x:v>
      </x:c>
      <x:c r="D325" s="10" t="n">
        <x:v>16.25</x:v>
      </x:c>
      <x:c r="E325" s="12" t="n">
        <x:v>158829</x:v>
      </x:c>
      <x:c r="F325" s="12" t="n">
        <x:v>3234315</x:v>
      </x:c>
      <x:c r="G325" s="14" t="n">
        <x:v>358423020.66</x:v>
      </x:c>
      <x:c r="H325" t="n">
        <x:v>0</x:v>
      </x:c>
      <x:c r="I325" t="n">
        <x:f>IF(H325=0,1,0)</x:f>
        <x:v>1</x:v>
      </x:c>
      <x:c r="J325" s="16" t="n">
        <x:f>F325/E325</x:f>
        <x:v>20.363504145968307</x:v>
      </x:c>
      <x:c r="K325" s="16" t="n">
        <x:f>G325/1000/E325</x:f>
        <x:v>2.2566598080954994</x:v>
      </x:c>
    </x:row>
    <x:row r="326">
      <x:c r="A326" s="8" t="d">
        <x:v>2024-11-16T00:00:00.000Z</x:v>
      </x:c>
      <x:c r="B326" t="str">
        <x:v>Good</x:v>
      </x:c>
      <x:c r="C326" t="str">
        <x:v>Day off</x:v>
      </x:c>
      <x:c r="D326" s="10" t="n">
        <x:v>13.416667</x:v>
      </x:c>
      <x:c r="E326" s="12" t="n">
        <x:v>80370</x:v>
      </x:c>
      <x:c r="F326" s="12" t="n">
        <x:v>1733699</x:v>
      </x:c>
      <x:c r="G326" s="14" t="n">
        <x:v>187839549.4</x:v>
      </x:c>
      <x:c r="H326" t="n">
        <x:v>0</x:v>
      </x:c>
      <x:c r="I326" t="n">
        <x:f>IF(H326=0,1,0)</x:f>
        <x:v>1</x:v>
      </x:c>
      <x:c r="J326" s="16" t="n">
        <x:f>F326/E326</x:f>
        <x:v>21.571469453776285</x:v>
      </x:c>
      <x:c r="K326" s="16" t="n">
        <x:f>G326/1000/E326</x:f>
        <x:v>2.3371848873957948</x:v>
      </x:c>
    </x:row>
    <x:row r="327">
      <x:c r="A327" s="8" t="d">
        <x:v>2024-11-17T00:00:00.000Z</x:v>
      </x:c>
      <x:c r="B327" t="str">
        <x:v>Good</x:v>
      </x:c>
      <x:c r="C327" t="str">
        <x:v>Day off</x:v>
      </x:c>
      <x:c r="D327" s="10" t="n">
        <x:v>8.875</x:v>
      </x:c>
      <x:c r="E327" s="12" t="n">
        <x:v>78601</x:v>
      </x:c>
      <x:c r="F327" s="12" t="n">
        <x:v>1669441</x:v>
      </x:c>
      <x:c r="G327" s="14" t="n">
        <x:v>180308664.99</x:v>
      </x:c>
      <x:c r="H327" t="n">
        <x:v>0</x:v>
      </x:c>
      <x:c r="I327" t="n">
        <x:f>IF(H327=0,1,0)</x:f>
        <x:v>1</x:v>
      </x:c>
      <x:c r="J327" s="16" t="n">
        <x:f>F327/E327</x:f>
        <x:v>21.239437157288076</x:v>
      </x:c>
      <x:c r="K327" s="16" t="n">
        <x:f>G327/1000/E327</x:f>
        <x:v>2.293974185951833</x:v>
      </x:c>
    </x:row>
    <x:row r="328">
      <x:c r="A328" s="8" t="d">
        <x:v>2024-11-18T00:00:00.000Z</x:v>
      </x:c>
      <x:c r="B328" t="str">
        <x:v>Good</x:v>
      </x:c>
      <x:c r="C328" t="str">
        <x:v>Workday</x:v>
      </x:c>
      <x:c r="D328" s="10" t="n">
        <x:v>6.96</x:v>
      </x:c>
      <x:c r="E328" s="12" t="n">
        <x:v>109664</x:v>
      </x:c>
      <x:c r="F328" s="12" t="n">
        <x:v>1905240</x:v>
      </x:c>
      <x:c r="G328" s="14" t="n">
        <x:v>205997628.45</x:v>
      </x:c>
      <x:c r="H328" t="n">
        <x:v>0</x:v>
      </x:c>
      <x:c r="I328" t="n">
        <x:f>IF(H328=0,1,0)</x:f>
        <x:v>1</x:v>
      </x:c>
      <x:c r="J328" s="16" t="n">
        <x:f>F328/E328</x:f>
        <x:v>17.3734315728042</x:v>
      </x:c>
      <x:c r="K328" s="16" t="n">
        <x:f>G328/1000/E328</x:f>
        <x:v>1.8784435042493433</x:v>
      </x:c>
    </x:row>
    <x:row r="329">
      <x:c r="A329" s="8" t="d">
        <x:v>2024-11-19T00:00:00.000Z</x:v>
      </x:c>
      <x:c r="B329" t="str">
        <x:v>Good</x:v>
      </x:c>
      <x:c r="C329" t="str">
        <x:v>Workday</x:v>
      </x:c>
      <x:c r="D329" s="10" t="n">
        <x:v>12.36</x:v>
      </x:c>
      <x:c r="E329" s="12" t="n">
        <x:v>124648</x:v>
      </x:c>
      <x:c r="F329" s="12" t="n">
        <x:v>2222905</x:v>
      </x:c>
      <x:c r="G329" s="14" t="n">
        <x:v>241142197.79</x:v>
      </x:c>
      <x:c r="H329" t="n">
        <x:v>0</x:v>
      </x:c>
      <x:c r="I329" t="n">
        <x:f>IF(H329=0,1,0)</x:f>
        <x:v>1</x:v>
      </x:c>
      <x:c r="J329" s="16" t="n">
        <x:f>F329/E329</x:f>
        <x:v>17.833459020602014</x:v>
      </x:c>
      <x:c r="K329" s="16" t="n">
        <x:f>G329/1000/E329</x:f>
        <x:v>1.9345853747352546</x:v>
      </x:c>
    </x:row>
    <x:row r="330">
      <x:c r="A330" s="8" t="d">
        <x:v>2024-11-20T00:00:00.000Z</x:v>
      </x:c>
      <x:c r="B330" t="str">
        <x:v>Moderate</x:v>
      </x:c>
      <x:c r="C330" t="str">
        <x:v>Workday</x:v>
      </x:c>
      <x:c r="D330" s="10" t="n">
        <x:v>23.92</x:v>
      </x:c>
      <x:c r="E330" s="12" t="n">
        <x:v>124089</x:v>
      </x:c>
      <x:c r="F330" s="12" t="n">
        <x:v>2189782</x:v>
      </x:c>
      <x:c r="G330" s="14" t="n">
        <x:v>235878078.32</x:v>
      </x:c>
      <x:c r="H330" t="n">
        <x:v>0</x:v>
      </x:c>
      <x:c r="I330" t="n">
        <x:f>IF(H330=0,1,0)</x:f>
        <x:v>1</x:v>
      </x:c>
      <x:c r="J330" s="16" t="n">
        <x:f>F330/E330</x:f>
        <x:v>17.646866362046595</x:v>
      </x:c>
      <x:c r="K330" s="16" t="n">
        <x:f>G330/1000/E330</x:f>
        <x:v>1.9008782270789515</x:v>
      </x:c>
    </x:row>
    <x:row r="331">
      <x:c r="A331" s="8" t="d">
        <x:v>2024-11-21T00:00:00.000Z</x:v>
      </x:c>
      <x:c r="B331" t="str">
        <x:v>Bad</x:v>
      </x:c>
      <x:c r="C331" t="str">
        <x:v>Workday</x:v>
      </x:c>
      <x:c r="D331" s="10" t="n">
        <x:v>36.32</x:v>
      </x:c>
      <x:c r="E331" s="12" t="n">
        <x:v>127456</x:v>
      </x:c>
      <x:c r="F331" s="12" t="n">
        <x:v>2279487</x:v>
      </x:c>
      <x:c r="G331" s="14" t="n">
        <x:v>248664663.53</x:v>
      </x:c>
      <x:c r="H331" t="n">
        <x:v>0</x:v>
      </x:c>
      <x:c r="I331" t="n">
        <x:f>IF(H331=0,1,0)</x:f>
        <x:v>1</x:v>
      </x:c>
      <x:c r="J331" s="16" t="n">
        <x:f>F331/E331</x:f>
        <x:v>17.884501318101933</x:v>
      </x:c>
      <x:c r="K331" s="16" t="n">
        <x:f>G331/1000/E331</x:f>
        <x:v>1.9509843673895304</x:v>
      </x:c>
    </x:row>
    <x:row r="332">
      <x:c r="A332" s="8" t="d">
        <x:v>2024-11-22T00:00:00.000Z</x:v>
      </x:c>
      <x:c r="B332" t="str">
        <x:v>Moderate</x:v>
      </x:c>
      <x:c r="C332" t="str">
        <x:v>Workday</x:v>
      </x:c>
      <x:c r="D332" s="10" t="n">
        <x:v>19.44</x:v>
      </x:c>
      <x:c r="E332" s="12" t="n">
        <x:v>127408</x:v>
      </x:c>
      <x:c r="F332" s="12" t="n">
        <x:v>2305994</x:v>
      </x:c>
      <x:c r="G332" s="14" t="n">
        <x:v>248666024.71</x:v>
      </x:c>
      <x:c r="H332" t="n">
        <x:v>0</x:v>
      </x:c>
      <x:c r="I332" t="n">
        <x:f>IF(H332=0,1,0)</x:f>
        <x:v>1</x:v>
      </x:c>
      <x:c r="J332" s="16" t="n">
        <x:f>F332/E332</x:f>
        <x:v>18.099287328896146</x:v>
      </x:c>
      <x:c r="K332" s="16" t="n">
        <x:f>G332/1000/E332</x:f>
        <x:v>1.9517300696188622</x:v>
      </x:c>
    </x:row>
    <x:row r="333">
      <x:c r="A333" s="8" t="d">
        <x:v>2024-11-23T00:00:00.000Z</x:v>
      </x:c>
      <x:c r="B333" t="str">
        <x:v>Good</x:v>
      </x:c>
      <x:c r="C333" t="str">
        <x:v>Day off</x:v>
      </x:c>
      <x:c r="D333" s="10" t="n">
        <x:v>13.6</x:v>
      </x:c>
      <x:c r="E333" s="12" t="n">
        <x:v>95075</x:v>
      </x:c>
      <x:c r="F333" s="12" t="n">
        <x:v>1991986</x:v>
      </x:c>
      <x:c r="G333" s="14" t="n">
        <x:v>209348288</x:v>
      </x:c>
      <x:c r="H333" t="n">
        <x:v>0</x:v>
      </x:c>
      <x:c r="I333" t="n">
        <x:f>IF(H333=0,1,0)</x:f>
        <x:v>1</x:v>
      </x:c>
      <x:c r="J333" s="16" t="n">
        <x:f>F333/E333</x:f>
        <x:v>20.95173284249277</x:v>
      </x:c>
      <x:c r="K333" s="16" t="n">
        <x:f>G333/1000/E333</x:f>
        <x:v>2.201927825400999</x:v>
      </x:c>
    </x:row>
    <x:row r="334">
      <x:c r="A334" s="8" t="d">
        <x:v>2024-11-24T00:00:00.000Z</x:v>
      </x:c>
      <x:c r="B334" t="str">
        <x:v>Good</x:v>
      </x:c>
      <x:c r="C334" t="str">
        <x:v>Day off</x:v>
      </x:c>
      <x:c r="D334" s="10" t="n">
        <x:v>10.68</x:v>
      </x:c>
      <x:c r="E334" s="12" t="n">
        <x:v>85897</x:v>
      </x:c>
      <x:c r="F334" s="12" t="n">
        <x:v>1891290</x:v>
      </x:c>
      <x:c r="G334" s="14" t="n">
        <x:v>207099323.54</x:v>
      </x:c>
      <x:c r="H334" t="n">
        <x:v>0</x:v>
      </x:c>
      <x:c r="I334" t="n">
        <x:f>IF(H334=0,1,0)</x:f>
        <x:v>1</x:v>
      </x:c>
      <x:c r="J334" s="16" t="n">
        <x:f>F334/E334</x:f>
        <x:v>22.01811471879111</x:v>
      </x:c>
      <x:c r="K334" s="16" t="n">
        <x:f>G334/1000/E334</x:f>
        <x:v>2.4110192851904024</x:v>
      </x:c>
    </x:row>
    <x:row r="335">
      <x:c r="A335" s="8" t="d">
        <x:v>2024-11-25T00:00:00.000Z</x:v>
      </x:c>
      <x:c r="B335" t="str">
        <x:v>Good</x:v>
      </x:c>
      <x:c r="C335" t="str">
        <x:v>Workday</x:v>
      </x:c>
      <x:c r="D335" s="10" t="n">
        <x:v>12.36</x:v>
      </x:c>
      <x:c r="E335" s="12" t="n">
        <x:v>130573</x:v>
      </x:c>
      <x:c r="F335" s="12" t="n">
        <x:v>2420281</x:v>
      </x:c>
      <x:c r="G335" s="14" t="n">
        <x:v>264789933.62</x:v>
      </x:c>
      <x:c r="H335" t="n">
        <x:v>0</x:v>
      </x:c>
      <x:c r="I335" t="n">
        <x:f>IF(H335=0,1,0)</x:f>
        <x:v>1</x:v>
      </x:c>
      <x:c r="J335" s="16" t="n">
        <x:f>F335/E335</x:f>
        <x:v>18.535845848682346</x:v>
      </x:c>
      <x:c r="K335" s="16" t="n">
        <x:f>G335/1000/E335</x:f>
        <x:v>2.02790725203526</x:v>
      </x:c>
    </x:row>
    <x:row r="336">
      <x:c r="A336" s="8" t="d">
        <x:v>2024-11-26T00:00:00.000Z</x:v>
      </x:c>
      <x:c r="B336" t="str">
        <x:v>Good</x:v>
      </x:c>
      <x:c r="C336" t="str">
        <x:v>Workday</x:v>
      </x:c>
      <x:c r="D336" s="10" t="n">
        <x:v>4.68</x:v>
      </x:c>
      <x:c r="E336" s="12" t="n">
        <x:v>35379</x:v>
      </x:c>
      <x:c r="F336" s="12" t="n">
        <x:v>603156</x:v>
      </x:c>
      <x:c r="G336" s="14" t="n">
        <x:v>56440939.87</x:v>
      </x:c>
      <x:c r="H336" t="n">
        <x:v>0</x:v>
      </x:c>
      <x:c r="I336" t="n">
        <x:f>IF(H336=0,1,0)</x:f>
        <x:v>1</x:v>
      </x:c>
      <x:c r="J336" s="16" t="n">
        <x:f>F336/E336</x:f>
        <x:v>17.048418553379122</x:v>
      </x:c>
      <x:c r="K336" s="16" t="n">
        <x:f>G336/1000/E336</x:f>
        <x:v>1.595323210661692</x:v>
      </x:c>
    </x:row>
    <x:row r="337">
      <x:c r="A337" s="8" t="d">
        <x:v>2024-11-27T00:00:00.000Z</x:v>
      </x:c>
      <x:c r="B337" t="str">
        <x:v>Good</x:v>
      </x:c>
      <x:c r="C337" t="str">
        <x:v>Workday</x:v>
      </x:c>
      <x:c r="D337" s="10" t="n">
        <x:v>6.08</x:v>
      </x:c>
      <x:c r="E337" s="12" t="n">
        <x:v>20902</x:v>
      </x:c>
      <x:c r="F337" s="12" t="n">
        <x:v>406037</x:v>
      </x:c>
      <x:c r="G337" s="14" t="n">
        <x:v>35594973.96</x:v>
      </x:c>
      <x:c r="H337" t="n">
        <x:v>0</x:v>
      </x:c>
      <x:c r="I337" t="n">
        <x:f>IF(H337=0,1,0)</x:f>
        <x:v>1</x:v>
      </x:c>
      <x:c r="J337" s="16" t="n">
        <x:f>F337/E337</x:f>
        <x:v>19.42574873217874</x:v>
      </x:c>
      <x:c r="K337" s="16" t="n">
        <x:f>G337/1000/E337</x:f>
        <x:v>1.7029458405894173</x:v>
      </x:c>
    </x:row>
    <x:row r="338">
      <x:c r="A338" s="8" t="d">
        <x:v>2024-11-28T00:00:00.000Z</x:v>
      </x:c>
      <x:c r="B338" t="str">
        <x:v>Good</x:v>
      </x:c>
      <x:c r="C338" t="str">
        <x:v>Workday</x:v>
      </x:c>
      <x:c r="D338" s="10" t="n">
        <x:v>12.08</x:v>
      </x:c>
      <x:c r="E338" s="12" t="n">
        <x:v>42954</x:v>
      </x:c>
      <x:c r="F338" s="12" t="n">
        <x:v>817144</x:v>
      </x:c>
      <x:c r="G338" s="14" t="n">
        <x:v>74205402.91</x:v>
      </x:c>
      <x:c r="H338" t="n">
        <x:v>0</x:v>
      </x:c>
      <x:c r="I338" t="n">
        <x:f>IF(H338=0,1,0)</x:f>
        <x:v>1</x:v>
      </x:c>
      <x:c r="J338" s="16" t="n">
        <x:f>F338/E338</x:f>
        <x:v>19.023699771848953</x:v>
      </x:c>
      <x:c r="K338" s="16" t="n">
        <x:f>G338/1000/E338</x:f>
        <x:v>1.7275551266471105</x:v>
      </x:c>
    </x:row>
    <x:row r="339">
      <x:c r="A339" s="8" t="d">
        <x:v>2024-11-29T00:00:00.000Z</x:v>
      </x:c>
      <x:c r="B339" t="str">
        <x:v>Moderate</x:v>
      </x:c>
      <x:c r="C339" t="str">
        <x:v>Workday</x:v>
      </x:c>
      <x:c r="D339" s="10" t="n">
        <x:v>17.72</x:v>
      </x:c>
      <x:c r="E339" s="12" t="n">
        <x:v>73901</x:v>
      </x:c>
      <x:c r="F339" s="12" t="n">
        <x:v>1312687</x:v>
      </x:c>
      <x:c r="G339" s="14" t="n">
        <x:v>127916083.03</x:v>
      </x:c>
      <x:c r="H339" t="n">
        <x:v>0</x:v>
      </x:c>
      <x:c r="I339" t="n">
        <x:f>IF(H339=0,1,0)</x:f>
        <x:v>1</x:v>
      </x:c>
      <x:c r="J339" s="16" t="n">
        <x:f>F339/E339</x:f>
        <x:v>17.76277722899555</x:v>
      </x:c>
      <x:c r="K339" s="16" t="n">
        <x:f>G339/1000/E339</x:f>
        <x:v>1.730911395380306</x:v>
      </x:c>
    </x:row>
    <x:row r="340">
      <x:c r="A340" s="8" t="d">
        <x:v>2024-11-30T00:00:00.000Z</x:v>
      </x:c>
      <x:c r="B340" t="str">
        <x:v>Moderate</x:v>
      </x:c>
      <x:c r="C340" t="str">
        <x:v>Day off</x:v>
      </x:c>
      <x:c r="D340" s="10" t="n">
        <x:v>15.72</x:v>
      </x:c>
      <x:c r="E340" s="12" t="n">
        <x:v>57419</x:v>
      </x:c>
      <x:c r="F340" s="12" t="n">
        <x:v>1122475</x:v>
      </x:c>
      <x:c r="G340" s="14" t="n">
        <x:v>112082619.03</x:v>
      </x:c>
      <x:c r="H340" t="n">
        <x:v>0</x:v>
      </x:c>
      <x:c r="I340" t="n">
        <x:f>IF(H340=0,1,0)</x:f>
        <x:v>1</x:v>
      </x:c>
      <x:c r="J340" s="16" t="n">
        <x:f>F340/E340</x:f>
        <x:v>19.548842717567357</x:v>
      </x:c>
      <x:c r="K340" s="16" t="n">
        <x:f>G340/1000/E340</x:f>
        <x:v>1.9520127315000262</x:v>
      </x:c>
    </x:row>
    <x:row r="341">
      <x:c r="A341" s="8" t="d">
        <x:v>2024-12-01T00:00:00.000Z</x:v>
      </x:c>
      <x:c r="B341" t="str">
        <x:v>Moderate</x:v>
      </x:c>
      <x:c r="C341" t="str">
        <x:v>Day off</x:v>
      </x:c>
      <x:c r="D341" s="10" t="n">
        <x:v>23</x:v>
      </x:c>
      <x:c r="E341" s="12" t="n">
        <x:v>58682</x:v>
      </x:c>
      <x:c r="F341" s="12" t="n">
        <x:v>1223801</x:v>
      </x:c>
      <x:c r="G341" s="14" t="n">
        <x:v>128289661.73</x:v>
      </x:c>
      <x:c r="H341" t="n">
        <x:v>0</x:v>
      </x:c>
      <x:c r="I341" t="n">
        <x:f>IF(H341=0,1,0)</x:f>
        <x:v>1</x:v>
      </x:c>
      <x:c r="J341" s="16" t="n">
        <x:f>F341/E341</x:f>
        <x:v>20.854793633482156</x:v>
      </x:c>
      <x:c r="K341" s="16" t="n">
        <x:f>G341/1000/E341</x:f>
        <x:v>2.18618420861593</x:v>
      </x:c>
    </x:row>
    <x:row r="342">
      <x:c r="A342" s="8" t="d">
        <x:v>2024-12-02T00:00:00.000Z</x:v>
      </x:c>
      <x:c r="B342" t="str">
        <x:v>Moderate</x:v>
      </x:c>
      <x:c r="C342" t="str">
        <x:v>Workday</x:v>
      </x:c>
      <x:c r="D342" s="10" t="n">
        <x:v>26.8</x:v>
      </x:c>
      <x:c r="E342" s="12" t="n">
        <x:v>100402</x:v>
      </x:c>
      <x:c r="F342" s="12" t="n">
        <x:v>1837231</x:v>
      </x:c>
      <x:c r="G342" s="14" t="n">
        <x:v>193517341.16</x:v>
      </x:c>
      <x:c r="H342" t="n">
        <x:v>0</x:v>
      </x:c>
      <x:c r="I342" t="n">
        <x:f>IF(H342=0,1,0)</x:f>
        <x:v>1</x:v>
      </x:c>
      <x:c r="J342" s="16" t="n">
        <x:f>F342/E342</x:f>
        <x:v>18.298749028903806</x:v>
      </x:c>
      <x:c r="K342" s="16" t="n">
        <x:f>G342/1000/E342</x:f>
        <x:v>1.9274251624469634</x:v>
      </x:c>
    </x:row>
    <x:row r="343">
      <x:c r="A343" s="8" t="d">
        <x:v>2024-12-03T00:00:00.000Z</x:v>
      </x:c>
      <x:c r="B343" t="str">
        <x:v>Good</x:v>
      </x:c>
      <x:c r="C343" t="str">
        <x:v>Workday</x:v>
      </x:c>
      <x:c r="D343" s="10" t="n">
        <x:v>7.12</x:v>
      </x:c>
      <x:c r="E343" s="12" t="n">
        <x:v>94706</x:v>
      </x:c>
      <x:c r="F343" s="12" t="n">
        <x:v>1617699</x:v>
      </x:c>
      <x:c r="G343" s="14" t="n">
        <x:v>170735830.55</x:v>
      </x:c>
      <x:c r="H343" t="n">
        <x:v>0</x:v>
      </x:c>
      <x:c r="I343" t="n">
        <x:f>IF(H343=0,1,0)</x:f>
        <x:v>1</x:v>
      </x:c>
      <x:c r="J343" s="16" t="n">
        <x:f>F343/E343</x:f>
        <x:v>17.08127256984774</x:v>
      </x:c>
      <x:c r="K343" s="16" t="n">
        <x:f>G343/1000/E343</x:f>
        <x:v>1.80279845574726</x:v>
      </x:c>
    </x:row>
    <x:row r="344">
      <x:c r="A344" s="8" t="d">
        <x:v>2024-12-04T00:00:00.000Z</x:v>
      </x:c>
      <x:c r="B344" t="str">
        <x:v>Good</x:v>
      </x:c>
      <x:c r="C344" t="str">
        <x:v>Workday</x:v>
      </x:c>
      <x:c r="D344" s="10" t="n">
        <x:v>10.96</x:v>
      </x:c>
      <x:c r="E344" s="12" t="n">
        <x:v>97362</x:v>
      </x:c>
      <x:c r="F344" s="12" t="n">
        <x:v>1675186</x:v>
      </x:c>
      <x:c r="G344" s="14" t="n">
        <x:v>178377557.84</x:v>
      </x:c>
      <x:c r="H344" t="n">
        <x:v>0</x:v>
      </x:c>
      <x:c r="I344" t="n">
        <x:f>IF(H344=0,1,0)</x:f>
        <x:v>1</x:v>
      </x:c>
      <x:c r="J344" s="16" t="n">
        <x:f>F344/E344</x:f>
        <x:v>17.20574762227563</x:v>
      </x:c>
      <x:c r="K344" s="16" t="n">
        <x:f>G344/1000/E344</x:f>
        <x:v>1.832106549167026</x:v>
      </x:c>
    </x:row>
    <x:row r="345">
      <x:c r="A345" s="8" t="d">
        <x:v>2024-12-05T00:00:00.000Z</x:v>
      </x:c>
      <x:c r="B345" t="str">
        <x:v>Good</x:v>
      </x:c>
      <x:c r="C345" t="str">
        <x:v>Workday</x:v>
      </x:c>
      <x:c r="D345" s="10" t="n">
        <x:v>10.68</x:v>
      </x:c>
      <x:c r="E345" s="12" t="n">
        <x:v>83581</x:v>
      </x:c>
      <x:c r="F345" s="12" t="n">
        <x:v>1439398</x:v>
      </x:c>
      <x:c r="G345" s="14" t="n">
        <x:v>151387254.06</x:v>
      </x:c>
      <x:c r="H345" t="n">
        <x:v>0</x:v>
      </x:c>
      <x:c r="I345" t="n">
        <x:f>IF(H345=0,1,0)</x:f>
        <x:v>1</x:v>
      </x:c>
      <x:c r="J345" s="16" t="n">
        <x:f>F345/E345</x:f>
        <x:v>17.221593424342853</x:v>
      </x:c>
      <x:c r="K345" s="16" t="n">
        <x:f>G345/1000/E345</x:f>
        <x:v>1.8112639721946375</x:v>
      </x:c>
    </x:row>
    <x:row r="346">
      <x:c r="A346" s="8" t="d">
        <x:v>2024-12-06T00:00:00.000Z</x:v>
      </x:c>
      <x:c r="B346" t="str">
        <x:v>Good</x:v>
      </x:c>
      <x:c r="C346" t="str">
        <x:v>Workday</x:v>
      </x:c>
      <x:c r="D346" s="10" t="n">
        <x:v>8.68</x:v>
      </x:c>
      <x:c r="E346" s="12" t="n">
        <x:v>92777</x:v>
      </x:c>
      <x:c r="F346" s="12" t="n">
        <x:v>1597898</x:v>
      </x:c>
      <x:c r="G346" s="14" t="n">
        <x:v>168838134.26</x:v>
      </x:c>
      <x:c r="H346" t="n">
        <x:v>0</x:v>
      </x:c>
      <x:c r="I346" t="n">
        <x:f>IF(H346=0,1,0)</x:f>
        <x:v>1</x:v>
      </x:c>
      <x:c r="J346" s="16" t="n">
        <x:f>F346/E346</x:f>
        <x:v>17.22299707901743</x:v>
      </x:c>
      <x:c r="K346" s="16" t="n">
        <x:f>G346/1000/E346</x:f>
        <x:v>1.819827481595654</x:v>
      </x:c>
    </x:row>
    <x:row r="347">
      <x:c r="A347" s="8" t="d">
        <x:v>2024-12-07T00:00:00.000Z</x:v>
      </x:c>
      <x:c r="B347" t="str">
        <x:v>Good</x:v>
      </x:c>
      <x:c r="C347" t="str">
        <x:v>Day off</x:v>
      </x:c>
      <x:c r="D347" s="10" t="n">
        <x:v>11.64</x:v>
      </x:c>
      <x:c r="E347" s="12" t="n">
        <x:v>66498</x:v>
      </x:c>
      <x:c r="F347" s="12" t="n">
        <x:v>1301450</x:v>
      </x:c>
      <x:c r="G347" s="14" t="n">
        <x:v>134032220.09</x:v>
      </x:c>
      <x:c r="H347" t="n">
        <x:v>0</x:v>
      </x:c>
      <x:c r="I347" t="n">
        <x:f>IF(H347=0,1,0)</x:f>
        <x:v>1</x:v>
      </x:c>
      <x:c r="J347" s="16" t="n">
        <x:f>F347/E347</x:f>
        <x:v>19.571265301212065</x:v>
      </x:c>
      <x:c r="K347" s="16" t="n">
        <x:f>G347/1000/E347</x:f>
        <x:v>2.0155827256458845</x:v>
      </x:c>
    </x:row>
    <x:row r="348">
      <x:c r="A348" s="8" t="d">
        <x:v>2024-12-08T00:00:00.000Z</x:v>
      </x:c>
      <x:c r="B348" t="str">
        <x:v>Good</x:v>
      </x:c>
      <x:c r="C348" t="str">
        <x:v>Day off</x:v>
      </x:c>
      <x:c r="D348" s="10" t="n">
        <x:v>11.92</x:v>
      </x:c>
      <x:c r="E348" s="12" t="n">
        <x:v>50136</x:v>
      </x:c>
      <x:c r="F348" s="12" t="n">
        <x:v>949907</x:v>
      </x:c>
      <x:c r="G348" s="14" t="n">
        <x:v>101567144.22</x:v>
      </x:c>
      <x:c r="H348" t="n">
        <x:v>0</x:v>
      </x:c>
      <x:c r="I348" t="n">
        <x:f>IF(H348=0,1,0)</x:f>
        <x:v>1</x:v>
      </x:c>
      <x:c r="J348" s="16" t="n">
        <x:f>F348/E348</x:f>
        <x:v>18.94660523376416</x:v>
      </x:c>
      <x:c r="K348" s="16" t="n">
        <x:f>G348/1000/E348</x:f>
        <x:v>2.0258326196744854</x:v>
      </x:c>
    </x:row>
    <x:row r="349">
      <x:c r="A349" s="8" t="d">
        <x:v>2024-12-09T00:00:00.000Z</x:v>
      </x:c>
      <x:c r="B349" t="str">
        <x:v>Moderate</x:v>
      </x:c>
      <x:c r="C349" t="str">
        <x:v>Workday</x:v>
      </x:c>
      <x:c r="D349" s="10" t="n">
        <x:v>17.16</x:v>
      </x:c>
      <x:c r="E349" s="12" t="n">
        <x:v>89574</x:v>
      </x:c>
      <x:c r="F349" s="12" t="n">
        <x:v>1565769</x:v>
      </x:c>
      <x:c r="G349" s="14" t="n">
        <x:v>165808463.16</x:v>
      </x:c>
      <x:c r="H349" t="n">
        <x:v>0</x:v>
      </x:c>
      <x:c r="I349" t="n">
        <x:f>IF(H349=0,1,0)</x:f>
        <x:v>1</x:v>
      </x:c>
      <x:c r="J349" s="16" t="n">
        <x:f>F349/E349</x:f>
        <x:v>17.480172818005226</x:v>
      </x:c>
      <x:c r="K349" s="16" t="n">
        <x:f>G349/1000/E349</x:f>
        <x:v>1.8510780266595215</x:v>
      </x:c>
    </x:row>
    <x:row r="350">
      <x:c r="A350" s="8" t="d">
        <x:v>2024-12-10T00:00:00.000Z</x:v>
      </x:c>
      <x:c r="B350" t="str">
        <x:v>Moderate</x:v>
      </x:c>
      <x:c r="C350" t="str">
        <x:v>Workday</x:v>
      </x:c>
      <x:c r="D350" s="10" t="n">
        <x:v>26.68</x:v>
      </x:c>
      <x:c r="E350" s="12" t="n">
        <x:v>95363</x:v>
      </x:c>
      <x:c r="F350" s="12" t="n">
        <x:v>1663289</x:v>
      </x:c>
      <x:c r="G350" s="14" t="n">
        <x:v>178788016.91</x:v>
      </x:c>
      <x:c r="H350" t="n">
        <x:v>0</x:v>
      </x:c>
      <x:c r="I350" t="n">
        <x:f>IF(H350=0,1,0)</x:f>
        <x:v>1</x:v>
      </x:c>
      <x:c r="J350" s="16" t="n">
        <x:f>F350/E350</x:f>
        <x:v>17.441659763220535</x:v>
      </x:c>
      <x:c r="K350" s="16" t="n">
        <x:f>G350/1000/E350</x:f>
        <x:v>1.8748153572140138</x:v>
      </x:c>
    </x:row>
    <x:row r="351">
      <x:c r="A351" s="8" t="d">
        <x:v>2024-12-11T00:00:00.000Z</x:v>
      </x:c>
      <x:c r="B351" t="str">
        <x:v>Bad</x:v>
      </x:c>
      <x:c r="C351" t="str">
        <x:v>Workday</x:v>
      </x:c>
      <x:c r="D351" s="10" t="n">
        <x:v>38.32</x:v>
      </x:c>
      <x:c r="E351" s="12" t="n">
        <x:v>98559</x:v>
      </x:c>
      <x:c r="F351" s="12" t="n">
        <x:v>1716113</x:v>
      </x:c>
      <x:c r="G351" s="14" t="n">
        <x:v>183525618.58</x:v>
      </x:c>
      <x:c r="H351" t="n">
        <x:v>0</x:v>
      </x:c>
      <x:c r="I351" t="n">
        <x:f>IF(H351=0,1,0)</x:f>
        <x:v>1</x:v>
      </x:c>
      <x:c r="J351" s="16" t="n">
        <x:f>F351/E351</x:f>
        <x:v>17.412037459795656</x:v>
      </x:c>
      <x:c r="K351" s="16" t="n">
        <x:f>G351/1000/E351</x:f>
        <x:v>1.8620888866567236</x:v>
      </x:c>
    </x:row>
    <x:row r="352">
      <x:c r="A352" s="8" t="d">
        <x:v>2024-12-12T00:00:00.000Z</x:v>
      </x:c>
      <x:c r="B352" t="str">
        <x:v>Moderate</x:v>
      </x:c>
      <x:c r="C352" t="str">
        <x:v>Workday</x:v>
      </x:c>
      <x:c r="D352" s="10" t="n">
        <x:v>22.12</x:v>
      </x:c>
      <x:c r="E352" s="12" t="n">
        <x:v>91964</x:v>
      </x:c>
      <x:c r="F352" s="12" t="n">
        <x:v>1565276</x:v>
      </x:c>
      <x:c r="G352" s="14" t="n">
        <x:v>168105855.44</x:v>
      </x:c>
      <x:c r="H352" t="n">
        <x:v>0</x:v>
      </x:c>
      <x:c r="I352" t="n">
        <x:f>IF(H352=0,1,0)</x:f>
        <x:v>1</x:v>
      </x:c>
      <x:c r="J352" s="16" t="n">
        <x:f>F352/E352</x:f>
        <x:v>17.02052977251968</x:v>
      </x:c>
      <x:c r="K352" s="16" t="n">
        <x:f>G352/1000/E352</x:f>
        <x:v>1.8279528450263145</x:v>
      </x:c>
    </x:row>
    <x:row r="353">
      <x:c r="A353" s="8" t="d">
        <x:v>2024-12-13T00:00:00.000Z</x:v>
      </x:c>
      <x:c r="B353" t="str">
        <x:v>Moderate</x:v>
      </x:c>
      <x:c r="C353" t="str">
        <x:v>Workday</x:v>
      </x:c>
      <x:c r="D353" s="10" t="n">
        <x:v>15.52</x:v>
      </x:c>
      <x:c r="E353" s="12" t="n">
        <x:v>89559</x:v>
      </x:c>
      <x:c r="F353" s="12" t="n">
        <x:v>1547739</x:v>
      </x:c>
      <x:c r="G353" s="14" t="n">
        <x:v>163262675.39</x:v>
      </x:c>
      <x:c r="H353" t="n">
        <x:v>0</x:v>
      </x:c>
      <x:c r="I353" t="n">
        <x:f>IF(H353=0,1,0)</x:f>
        <x:v>1</x:v>
      </x:c>
      <x:c r="J353" s="16" t="n">
        <x:f>F353/E353</x:f>
        <x:v>17.28178072555522</x:v>
      </x:c>
      <x:c r="K353" s="16" t="n">
        <x:f>G353/1000/E353</x:f>
        <x:v>1.822962241539097</x:v>
      </x:c>
    </x:row>
    <x:row r="354">
      <x:c r="A354" s="8" t="d">
        <x:v>2024-12-14T00:00:00.000Z</x:v>
      </x:c>
      <x:c r="B354" t="str">
        <x:v>Good</x:v>
      </x:c>
      <x:c r="C354" t="str">
        <x:v>Day off</x:v>
      </x:c>
      <x:c r="D354" s="10" t="n">
        <x:v>14.96</x:v>
      </x:c>
      <x:c r="E354" s="12" t="n">
        <x:v>64501</x:v>
      </x:c>
      <x:c r="F354" s="12" t="n">
        <x:v>1295615</x:v>
      </x:c>
      <x:c r="G354" s="14" t="n">
        <x:v>134500124.67</x:v>
      </x:c>
      <x:c r="H354" t="n">
        <x:v>0</x:v>
      </x:c>
      <x:c r="I354" t="n">
        <x:f>IF(H354=0,1,0)</x:f>
        <x:v>1</x:v>
      </x:c>
      <x:c r="J354" s="16" t="n">
        <x:f>F354/E354</x:f>
        <x:v>20.086742841196262</x:v>
      </x:c>
      <x:c r="K354" s="16" t="n">
        <x:f>G354/1000/E354</x:f>
        <x:v>2.0852409213810637</x:v>
      </x:c>
    </x:row>
    <x:row r="355">
      <x:c r="A355" s="8" t="d">
        <x:v>2024-12-15T00:00:00.000Z</x:v>
      </x:c>
      <x:c r="B355" t="str">
        <x:v>Good</x:v>
      </x:c>
      <x:c r="C355" t="str">
        <x:v>Day off</x:v>
      </x:c>
      <x:c r="D355" s="10" t="n">
        <x:v>9.48</x:v>
      </x:c>
      <x:c r="E355" s="12" t="n">
        <x:v>51238</x:v>
      </x:c>
      <x:c r="F355" s="12" t="n">
        <x:v>982422</x:v>
      </x:c>
      <x:c r="G355" s="14" t="n">
        <x:v>104525831.85</x:v>
      </x:c>
      <x:c r="H355" t="n">
        <x:v>0</x:v>
      </x:c>
      <x:c r="I355" t="n">
        <x:f>IF(H355=0,1,0)</x:f>
        <x:v>1</x:v>
      </x:c>
      <x:c r="J355" s="16" t="n">
        <x:f>F355/E355</x:f>
        <x:v>19.173699207619347</x:v>
      </x:c>
      <x:c r="K355" s="16" t="n">
        <x:f>G355/1000/E355</x:f>
        <x:v>2.040006086303134</x:v>
      </x:c>
    </x:row>
    <x:row r="356">
      <x:c r="A356" s="8" t="d">
        <x:v>2024-12-16T00:00:00.000Z</x:v>
      </x:c>
      <x:c r="B356" t="str">
        <x:v>Moderate</x:v>
      </x:c>
      <x:c r="C356" t="str">
        <x:v>Workday</x:v>
      </x:c>
      <x:c r="D356" s="10" t="n">
        <x:v>16.12</x:v>
      </x:c>
      <x:c r="E356" s="12" t="n">
        <x:v>78056</x:v>
      </x:c>
      <x:c r="F356" s="12" t="n">
        <x:v>1330902</x:v>
      </x:c>
      <x:c r="G356" s="14" t="n">
        <x:v>140249249.01</x:v>
      </x:c>
      <x:c r="H356" t="n">
        <x:v>0</x:v>
      </x:c>
      <x:c r="I356" t="n">
        <x:f>IF(H356=0,1,0)</x:f>
        <x:v>1</x:v>
      </x:c>
      <x:c r="J356" s="16" t="n">
        <x:f>F356/E356</x:f>
        <x:v>17.0506046940658</x:v>
      </x:c>
      <x:c r="K356" s="16" t="n">
        <x:f>G356/1000/E356</x:f>
        <x:v>1.7967773010402788</x:v>
      </x:c>
    </x:row>
    <x:row r="357">
      <x:c r="A357" s="8" t="d">
        <x:v>2024-12-17T00:00:00.000Z</x:v>
      </x:c>
      <x:c r="B357" t="str">
        <x:v>Good</x:v>
      </x:c>
      <x:c r="C357" t="str">
        <x:v>Workday</x:v>
      </x:c>
      <x:c r="D357" s="10" t="n">
        <x:v>13.92</x:v>
      </x:c>
      <x:c r="E357" s="12" t="n">
        <x:v>83410</x:v>
      </x:c>
      <x:c r="F357" s="12" t="n">
        <x:v>1418657</x:v>
      </x:c>
      <x:c r="G357" s="14" t="n">
        <x:v>150094088.87</x:v>
      </x:c>
      <x:c r="H357" t="n">
        <x:v>0</x:v>
      </x:c>
      <x:c r="I357" t="n">
        <x:f>IF(H357=0,1,0)</x:f>
        <x:v>1</x:v>
      </x:c>
      <x:c r="J357" s="16" t="n">
        <x:f>F357/E357</x:f>
        <x:v>17.008236422491308</x:v>
      </x:c>
      <x:c r="K357" s="16" t="n">
        <x:f>G357/1000/E357</x:f>
        <x:v>1.7994735507732886</x:v>
      </x:c>
    </x:row>
    <x:row r="358">
      <x:c r="A358" s="8" t="d">
        <x:v>2024-12-18T00:00:00.000Z</x:v>
      </x:c>
      <x:c r="B358" t="str">
        <x:v>Moderate</x:v>
      </x:c>
      <x:c r="C358" t="str">
        <x:v>Workday</x:v>
      </x:c>
      <x:c r="D358" s="10" t="n">
        <x:v>16.4</x:v>
      </x:c>
      <x:c r="E358" s="12" t="n">
        <x:v>76127</x:v>
      </x:c>
      <x:c r="F358" s="12" t="n">
        <x:v>1259134</x:v>
      </x:c>
      <x:c r="G358" s="14" t="n">
        <x:v>132941767.53</x:v>
      </x:c>
      <x:c r="H358" t="n">
        <x:v>0</x:v>
      </x:c>
      <x:c r="I358" t="n">
        <x:f>IF(H358=0,1,0)</x:f>
        <x:v>1</x:v>
      </x:c>
      <x:c r="J358" s="16" t="n">
        <x:f>F358/E358</x:f>
        <x:v>16.539913565489247</x:v>
      </x:c>
      <x:c r="K358" s="16" t="n">
        <x:f>G358/1000/E358</x:f>
        <x:v>1.7463155980138454</x:v>
      </x:c>
    </x:row>
    <x:row r="359">
      <x:c r="A359" s="8" t="d">
        <x:v>2024-12-19T00:00:00.000Z</x:v>
      </x:c>
      <x:c r="B359" t="str">
        <x:v>Moderate</x:v>
      </x:c>
      <x:c r="C359" t="str">
        <x:v>Workday</x:v>
      </x:c>
      <x:c r="D359" s="10" t="n">
        <x:v>30.56</x:v>
      </x:c>
      <x:c r="E359" s="12" t="n">
        <x:v>79353</x:v>
      </x:c>
      <x:c r="F359" s="12" t="n">
        <x:v>1330802</x:v>
      </x:c>
      <x:c r="G359" s="14" t="n">
        <x:v>141938732.9</x:v>
      </x:c>
      <x:c r="H359" t="n">
        <x:v>0</x:v>
      </x:c>
      <x:c r="I359" t="n">
        <x:f>IF(H359=0,1,0)</x:f>
        <x:v>1</x:v>
      </x:c>
      <x:c r="J359" s="16" t="n">
        <x:f>F359/E359</x:f>
        <x:v>16.770657694101043</x:v>
      </x:c>
      <x:c r="K359" s="16" t="n">
        <x:f>G359/1000/E359</x:f>
        <x:v>1.7887002747218126</x:v>
      </x:c>
    </x:row>
    <x:row r="360">
      <x:c r="A360" s="8" t="d">
        <x:v>2024-12-20T00:00:00.000Z</x:v>
      </x:c>
      <x:c r="B360" t="str">
        <x:v>Bad</x:v>
      </x:c>
      <x:c r="C360" t="str">
        <x:v>Workday</x:v>
      </x:c>
      <x:c r="D360" s="10" t="n">
        <x:v>38.68</x:v>
      </x:c>
      <x:c r="E360" s="12" t="n">
        <x:v>80200</x:v>
      </x:c>
      <x:c r="F360" s="12" t="n">
        <x:v>1410010</x:v>
      </x:c>
      <x:c r="G360" s="14" t="n">
        <x:v>145976040.66</x:v>
      </x:c>
      <x:c r="H360" t="n">
        <x:v>0</x:v>
      </x:c>
      <x:c r="I360" t="n">
        <x:f>IF(H360=0,1,0)</x:f>
        <x:v>1</x:v>
      </x:c>
      <x:c r="J360" s="16" t="n">
        <x:f>F360/E360</x:f>
        <x:v>17.581172069825435</x:v>
      </x:c>
      <x:c r="K360" s="16" t="n">
        <x:f>G360/1000/E360</x:f>
        <x:v>1.8201501329177057</x:v>
      </x:c>
    </x:row>
    <x:row r="361">
      <x:c r="A361" s="8" t="d">
        <x:v>2024-12-21T00:00:00.000Z</x:v>
      </x:c>
      <x:c r="B361" t="str">
        <x:v>Bad</x:v>
      </x:c>
      <x:c r="C361" t="str">
        <x:v>Day off</x:v>
      </x:c>
      <x:c r="D361" s="10" t="n">
        <x:v>38.72</x:v>
      </x:c>
      <x:c r="E361" s="12" t="n">
        <x:v>39452</x:v>
      </x:c>
      <x:c r="F361" s="12" t="n">
        <x:v>732214</x:v>
      </x:c>
      <x:c r="G361" s="14" t="n">
        <x:v>71171649.99</x:v>
      </x:c>
      <x:c r="H361" t="n">
        <x:v>0</x:v>
      </x:c>
      <x:c r="I361" t="n">
        <x:f>IF(H361=0,1,0)</x:f>
        <x:v>1</x:v>
      </x:c>
      <x:c r="J361" s="16" t="n">
        <x:f>F361/E361</x:f>
        <x:v>18.559616749467708</x:v>
      </x:c>
      <x:c r="K361" s="16" t="n">
        <x:f>G361/1000/E361</x:f>
        <x:v>1.8040061337828244</x:v>
      </x:c>
    </x:row>
    <x:row r="362">
      <x:c r="A362" s="8" t="d">
        <x:v>2024-12-22T00:00:00.000Z</x:v>
      </x:c>
      <x:c r="B362" t="str">
        <x:v>Good</x:v>
      </x:c>
      <x:c r="C362" t="str">
        <x:v>Day off</x:v>
      </x:c>
      <x:c r="D362" s="10" t="n">
        <x:v>9.791667</x:v>
      </x:c>
      <x:c r="E362" s="12" t="n">
        <x:v>37978</x:v>
      </x:c>
      <x:c r="F362" s="12" t="n">
        <x:v>698793</x:v>
      </x:c>
      <x:c r="G362" s="14" t="n">
        <x:v>72424068.56</x:v>
      </x:c>
      <x:c r="H362" t="n">
        <x:v>0</x:v>
      </x:c>
      <x:c r="I362" t="n">
        <x:f>IF(H362=0,1,0)</x:f>
        <x:v>1</x:v>
      </x:c>
      <x:c r="J362" s="16" t="n">
        <x:f>F362/E362</x:f>
        <x:v>18.399942071725736</x:v>
      </x:c>
      <x:c r="K362" s="16" t="n">
        <x:f>G362/1000/E362</x:f>
        <x:v>1.9070005940281216</x:v>
      </x:c>
    </x:row>
    <x:row r="363">
      <x:c r="A363" s="8" t="d">
        <x:v>2024-12-23T00:00:00.000Z</x:v>
      </x:c>
      <x:c r="B363" t="str">
        <x:v>Moderate</x:v>
      </x:c>
      <x:c r="C363" t="str">
        <x:v>Workday</x:v>
      </x:c>
      <x:c r="D363" s="10" t="n">
        <x:v>16.76</x:v>
      </x:c>
      <x:c r="E363" s="12" t="n">
        <x:v>76138</x:v>
      </x:c>
      <x:c r="F363" s="12" t="n">
        <x:v>1339379</x:v>
      </x:c>
      <x:c r="G363" s="14" t="n">
        <x:v>138139832.76</x:v>
      </x:c>
      <x:c r="H363" t="n">
        <x:v>0</x:v>
      </x:c>
      <x:c r="I363" t="n">
        <x:f>IF(H363=0,1,0)</x:f>
        <x:v>1</x:v>
      </x:c>
      <x:c r="J363" s="16" t="n">
        <x:f>F363/E363</x:f>
        <x:v>17.591465496860963</x:v>
      </x:c>
      <x:c r="K363" s="16" t="n">
        <x:f>G363/1000/E363</x:f>
        <x:v>1.8143349281567678</x:v>
      </x:c>
    </x:row>
    <x:row r="364">
      <x:c r="A364" s="8" t="d">
        <x:v>2024-12-24T00:00:00.000Z</x:v>
      </x:c>
      <x:c r="B364" t="str">
        <x:v>Moderate</x:v>
      </x:c>
      <x:c r="C364" t="str">
        <x:v>Workday</x:v>
      </x:c>
      <x:c r="D364" s="10" t="n">
        <x:v>19.08</x:v>
      </x:c>
      <x:c r="E364" s="12" t="n">
        <x:v>77776</x:v>
      </x:c>
      <x:c r="F364" s="12" t="n">
        <x:v>1367852</x:v>
      </x:c>
      <x:c r="G364" s="14" t="n">
        <x:v>140884382.83</x:v>
      </x:c>
      <x:c r="H364" t="n">
        <x:v>0</x:v>
      </x:c>
      <x:c r="I364" t="n">
        <x:f>IF(H364=0,1,0)</x:f>
        <x:v>1</x:v>
      </x:c>
      <x:c r="J364" s="16" t="n">
        <x:f>F364/E364</x:f>
        <x:v>17.587070561612837</x:v>
      </x:c>
      <x:c r="K364" s="16" t="n">
        <x:f>G364/1000/E364</x:f>
        <x:v>1.811412040089488</x:v>
      </x:c>
    </x:row>
    <x:row r="365">
      <x:c r="A365" s="8" t="d">
        <x:v>2024-12-25T00:00:00.000Z</x:v>
      </x:c>
      <x:c r="B365" t="str">
        <x:v>Moderate</x:v>
      </x:c>
      <x:c r="C365" t="str">
        <x:v>Day off</x:v>
      </x:c>
      <x:c r="D365" s="10" t="n">
        <x:v>21.24</x:v>
      </x:c>
      <x:c r="E365" s="12" t="n">
        <x:v>45243</x:v>
      </x:c>
      <x:c r="F365" s="12" t="n">
        <x:v>911606</x:v>
      </x:c>
      <x:c r="G365" s="14" t="n">
        <x:v>96099606.45</x:v>
      </x:c>
      <x:c r="H365" t="n">
        <x:v>0</x:v>
      </x:c>
      <x:c r="I365" t="n">
        <x:f>IF(H365=0,1,0)</x:f>
        <x:v>1</x:v>
      </x:c>
      <x:c r="J365" s="16" t="n">
        <x:f>F365/E365</x:f>
        <x:v>20.149105939040293</x:v>
      </x:c>
      <x:c r="K365" s="16" t="n">
        <x:f>G365/1000/E365</x:f>
        <x:v>2.1240767953053514</x:v>
      </x:c>
    </x:row>
    <x:row r="366">
      <x:c r="A366" s="8" t="d">
        <x:v>2024-12-26T00:00:00.000Z</x:v>
      </x:c>
      <x:c r="B366" t="str">
        <x:v>Moderate</x:v>
      </x:c>
      <x:c r="C366" t="str">
        <x:v>Workday</x:v>
      </x:c>
      <x:c r="D366" s="10" t="n">
        <x:v>33.08</x:v>
      </x:c>
      <x:c r="E366" s="12" t="n">
        <x:v>69106</x:v>
      </x:c>
      <x:c r="F366" s="12" t="n">
        <x:v>1181956</x:v>
      </x:c>
      <x:c r="G366" s="14" t="n">
        <x:v>123104602.19</x:v>
      </x:c>
      <x:c r="H366" t="n">
        <x:v>0</x:v>
      </x:c>
      <x:c r="I366" t="n">
        <x:f>IF(H366=0,1,0)</x:f>
        <x:v>1</x:v>
      </x:c>
      <x:c r="J366" s="16" t="n">
        <x:f>F366/E366</x:f>
        <x:v>17.103522125430498</x:v>
      </x:c>
      <x:c r="K366" s="16" t="n">
        <x:f>G366/1000/E366</x:f>
        <x:v>1.7813880443087429</x:v>
      </x:c>
    </x:row>
    <x:row r="367">
      <x:c r="A367" s="8" t="d">
        <x:v>2024-12-27T00:00:00.000Z</x:v>
      </x:c>
      <x:c r="B367" t="str">
        <x:v>Good</x:v>
      </x:c>
      <x:c r="C367" t="str">
        <x:v>Workday</x:v>
      </x:c>
      <x:c r="D367" s="10" t="n">
        <x:v>13.12</x:v>
      </x:c>
      <x:c r="E367" s="12" t="n">
        <x:v>68320</x:v>
      </x:c>
      <x:c r="F367" s="12" t="n">
        <x:v>1155611</x:v>
      </x:c>
      <x:c r="G367" s="14" t="n">
        <x:v>118897663.74</x:v>
      </x:c>
      <x:c r="H367" t="n">
        <x:v>0</x:v>
      </x:c>
      <x:c r="I367" t="n">
        <x:f>IF(H367=0,1,0)</x:f>
        <x:v>1</x:v>
      </x:c>
      <x:c r="J367" s="16" t="n">
        <x:f>F367/E367</x:f>
        <x:v>16.914680913348946</x:v>
      </x:c>
      <x:c r="K367" s="16" t="n">
        <x:f>G367/1000/E367</x:f>
        <x:v>1.7403053826112411</x:v>
      </x:c>
    </x:row>
    <x:row r="368">
      <x:c r="A368" s="8" t="d">
        <x:v>2024-12-28T00:00:00.000Z</x:v>
      </x:c>
      <x:c r="B368" t="str">
        <x:v>Good</x:v>
      </x:c>
      <x:c r="C368" t="str">
        <x:v>Day off</x:v>
      </x:c>
      <x:c r="D368" s="10" t="n">
        <x:v>13.44</x:v>
      </x:c>
      <x:c r="E368" s="12" t="n">
        <x:v>45723</x:v>
      </x:c>
      <x:c r="F368" s="12" t="n">
        <x:v>822969</x:v>
      </x:c>
      <x:c r="G368" s="14" t="n">
        <x:v>84568918.31</x:v>
      </x:c>
      <x:c r="H368" t="n">
        <x:v>0</x:v>
      </x:c>
      <x:c r="I368" t="n">
        <x:f>IF(H368=0,1,0)</x:f>
        <x:v>1</x:v>
      </x:c>
      <x:c r="J368" s="16" t="n">
        <x:f>F368/E368</x:f>
        <x:v>17.999015812610722</x:v>
      </x:c>
      <x:c r="K368" s="16" t="n">
        <x:f>G368/1000/E368</x:f>
        <x:v>1.8495925094591346</x:v>
      </x:c>
    </x:row>
    <x:row r="369">
      <x:c r="A369" s="8" t="d">
        <x:v>2024-12-29T00:00:00.000Z</x:v>
      </x:c>
      <x:c r="B369" t="str">
        <x:v>Good</x:v>
      </x:c>
      <x:c r="C369" t="str">
        <x:v>Day off</x:v>
      </x:c>
      <x:c r="D369" s="10" t="n">
        <x:v>14.48</x:v>
      </x:c>
      <x:c r="E369" s="12" t="n">
        <x:v>43608</x:v>
      </x:c>
      <x:c r="F369" s="12" t="n">
        <x:v>847541</x:v>
      </x:c>
      <x:c r="G369" s="14" t="n">
        <x:v>90214135.16</x:v>
      </x:c>
      <x:c r="H369" t="n">
        <x:v>0</x:v>
      </x:c>
      <x:c r="I369" t="n">
        <x:f>IF(H369=0,1,0)</x:f>
        <x:v>1</x:v>
      </x:c>
      <x:c r="J369" s="16" t="n">
        <x:f>F369/E369</x:f>
        <x:v>19.43544762428912</x:v>
      </x:c>
      <x:c r="K369" s="16" t="n">
        <x:f>G369/1000/E369</x:f>
        <x:v>2.068751952852687</x:v>
      </x:c>
    </x:row>
    <x:row r="370">
      <x:c r="A370" s="8" t="d">
        <x:v>2024-12-30T00:00:00.000Z</x:v>
      </x:c>
      <x:c r="B370" t="str">
        <x:v>Moderate</x:v>
      </x:c>
      <x:c r="C370" t="str">
        <x:v>Workday</x:v>
      </x:c>
      <x:c r="D370" s="10" t="n">
        <x:v>32.36</x:v>
      </x:c>
      <x:c r="E370" s="12" t="n">
        <x:v>79477</x:v>
      </x:c>
      <x:c r="F370" s="12" t="n">
        <x:v>1441212</x:v>
      </x:c>
      <x:c r="G370" s="14" t="n">
        <x:v>152464726.82</x:v>
      </x:c>
      <x:c r="H370" t="n">
        <x:v>0</x:v>
      </x:c>
      <x:c r="I370" t="n">
        <x:f>IF(H370=0,1,0)</x:f>
        <x:v>1</x:v>
      </x:c>
      <x:c r="J370" s="16" t="n">
        <x:f>F370/E370</x:f>
        <x:v>18.133699057588988</x:v>
      </x:c>
      <x:c r="K370" s="16" t="n">
        <x:f>G370/1000/E370</x:f>
        <x:v>1.9183503003384625</x:v>
      </x:c>
    </x:row>
    <x:row r="371">
      <x:c r="A371" s="8" t="d">
        <x:v>2024-12-31T00:00:00.000Z</x:v>
      </x:c>
      <x:c r="B371" t="str">
        <x:v>Moderate</x:v>
      </x:c>
      <x:c r="C371" t="str">
        <x:v>Workday</x:v>
      </x:c>
      <x:c r="D371" s="10" t="n">
        <x:v>18.36</x:v>
      </x:c>
      <x:c r="E371" s="12" t="n">
        <x:v>72939</x:v>
      </x:c>
      <x:c r="F371" s="12" t="n">
        <x:v>1308505</x:v>
      </x:c>
      <x:c r="G371" s="14" t="n">
        <x:v>134672815.14</x:v>
      </x:c>
      <x:c r="H371" t="n">
        <x:v>0</x:v>
      </x:c>
      <x:c r="I371" t="n">
        <x:f>IF(H371=0,1,0)</x:f>
        <x:v>1</x:v>
      </x:c>
      <x:c r="J371" s="16" t="n">
        <x:f>F371/E371</x:f>
        <x:v>17.93971674961269</x:v>
      </x:c>
      <x:c r="K371" s="16" t="n">
        <x:f>G371/1000/E371</x:f>
        <x:v>1.8463759462016205</x:v>
      </x:c>
    </x:row>
    <x:row r="372">
      <x:c r="A372" s="8" t="d">
        <x:v>2025-01-01T00:00:00.000Z</x:v>
      </x:c>
      <x:c r="B372" t="str">
        <x:v>Moderate</x:v>
      </x:c>
      <x:c r="C372" t="str">
        <x:v>Day off</x:v>
      </x:c>
      <x:c r="D372" s="10" t="n">
        <x:v>20.92</x:v>
      </x:c>
      <x:c r="E372" s="12" t="n">
        <x:v>48639</x:v>
      </x:c>
      <x:c r="F372" s="12" t="n">
        <x:v>1042885</x:v>
      </x:c>
      <x:c r="G372" s="14" t="n">
        <x:v>114981109.94</x:v>
      </x:c>
      <x:c r="H372" t="n">
        <x:v>0</x:v>
      </x:c>
      <x:c r="I372" t="n">
        <x:f>IF(H372=0,1,0)</x:f>
        <x:v>1</x:v>
      </x:c>
      <x:c r="J372" s="16" t="n">
        <x:f>F372/E372</x:f>
        <x:v>21.441333086617735</x:v>
      </x:c>
      <x:c r="K372" s="16" t="n">
        <x:f>G372/1000/E372</x:f>
        <x:v>2.3639694471514625</x:v>
      </x:c>
    </x:row>
    <x:row r="373">
      <x:c r="A373" s="8" t="d">
        <x:v>2025-01-02T00:00:00.000Z</x:v>
      </x:c>
      <x:c r="B373" t="str">
        <x:v>Moderate</x:v>
      </x:c>
      <x:c r="C373" t="str">
        <x:v>Workday</x:v>
      </x:c>
      <x:c r="D373" s="10" t="n">
        <x:v>18.6</x:v>
      </x:c>
      <x:c r="E373" s="12" t="n">
        <x:v>77709</x:v>
      </x:c>
      <x:c r="F373" s="12" t="n">
        <x:v>1353327</x:v>
      </x:c>
      <x:c r="G373" s="14" t="n">
        <x:v>145014247.65</x:v>
      </x:c>
      <x:c r="H373" t="n">
        <x:v>0</x:v>
      </x:c>
      <x:c r="I373" t="n">
        <x:f>IF(H373=0,1,0)</x:f>
        <x:v>1</x:v>
      </x:c>
      <x:c r="J373" s="16" t="n">
        <x:f>F373/E373</x:f>
        <x:v>17.415318688954947</x:v>
      </x:c>
      <x:c r="K373" s="16" t="n">
        <x:f>G373/1000/E373</x:f>
        <x:v>1.8661190808014516</x:v>
      </x:c>
    </x:row>
    <x:row r="374">
      <x:c r="A374" s="8" t="d">
        <x:v>2025-01-03T00:00:00.000Z</x:v>
      </x:c>
      <x:c r="B374" t="str">
        <x:v>Good</x:v>
      </x:c>
      <x:c r="C374" t="str">
        <x:v>Workday</x:v>
      </x:c>
      <x:c r="D374" s="10" t="n">
        <x:v>13.4</x:v>
      </x:c>
      <x:c r="E374" s="12" t="n">
        <x:v>77046</x:v>
      </x:c>
      <x:c r="F374" s="12" t="n">
        <x:v>1323382</x:v>
      </x:c>
      <x:c r="G374" s="14" t="n">
        <x:v>138267559.38</x:v>
      </x:c>
      <x:c r="H374" t="n">
        <x:v>0</x:v>
      </x:c>
      <x:c r="I374" t="n">
        <x:f>IF(H374=0,1,0)</x:f>
        <x:v>1</x:v>
      </x:c>
      <x:c r="J374" s="16" t="n">
        <x:f>F374/E374</x:f>
        <x:v>17.176517924356876</x:v>
      </x:c>
      <x:c r="K374" s="16" t="n">
        <x:f>G374/1000/E374</x:f>
        <x:v>1.7946104843859512</x:v>
      </x:c>
    </x:row>
    <x:row r="375">
      <x:c r="A375" s="8" t="d">
        <x:v>2025-01-04T00:00:00.000Z</x:v>
      </x:c>
      <x:c r="B375" t="str">
        <x:v>Moderate</x:v>
      </x:c>
      <x:c r="C375" t="str">
        <x:v>Day off</x:v>
      </x:c>
      <x:c r="D375" s="10" t="n">
        <x:v>19.24</x:v>
      </x:c>
      <x:c r="E375" s="12" t="n">
        <x:v>56590</x:v>
      </x:c>
      <x:c r="F375" s="12" t="n">
        <x:v>1097929</x:v>
      </x:c>
      <x:c r="G375" s="14" t="n">
        <x:v>113295530.76</x:v>
      </x:c>
      <x:c r="H375" t="n">
        <x:v>0</x:v>
      </x:c>
      <x:c r="I375" t="n">
        <x:f>IF(H375=0,1,0)</x:f>
        <x:v>1</x:v>
      </x:c>
      <x:c r="J375" s="16" t="n">
        <x:f>F375/E375</x:f>
        <x:v>19.401466690227956</x:v>
      </x:c>
      <x:c r="K375" s="16" t="n">
        <x:f>G375/1000/E375</x:f>
        <x:v>2.002041540201449</x:v>
      </x:c>
    </x:row>
    <x:row r="376">
      <x:c r="A376" s="8" t="d">
        <x:v>2025-01-05T00:00:00.000Z</x:v>
      </x:c>
      <x:c r="B376" t="str">
        <x:v>Moderate</x:v>
      </x:c>
      <x:c r="C376" t="str">
        <x:v>Day off</x:v>
      </x:c>
      <x:c r="D376" s="10" t="n">
        <x:v>25.16</x:v>
      </x:c>
      <x:c r="E376" s="12" t="n">
        <x:v>19711</x:v>
      </x:c>
      <x:c r="F376" s="12" t="n">
        <x:v>371954</x:v>
      </x:c>
      <x:c r="G376" s="14" t="n">
        <x:v>37194657.23</x:v>
      </x:c>
      <x:c r="H376" t="n">
        <x:v>0</x:v>
      </x:c>
      <x:c r="I376" t="n">
        <x:f>IF(H376=0,1,0)</x:f>
        <x:v>1</x:v>
      </x:c>
      <x:c r="J376" s="16" t="n">
        <x:f>F376/E376</x:f>
        <x:v>18.870376946882452</x:v>
      </x:c>
      <x:c r="K376" s="16" t="n">
        <x:f>G376/1000/E376</x:f>
        <x:v>1.8870000116686112</x:v>
      </x:c>
    </x:row>
    <x:row r="377">
      <x:c r="A377" s="8" t="d">
        <x:v>2025-01-06T00:00:00.000Z</x:v>
      </x:c>
      <x:c r="B377" t="str">
        <x:v>Bad</x:v>
      </x:c>
      <x:c r="C377" t="str">
        <x:v>Workday</x:v>
      </x:c>
      <x:c r="D377" s="10" t="n">
        <x:v>42.32</x:v>
      </x:c>
      <x:c r="E377" s="12" t="n">
        <x:v>62519</x:v>
      </x:c>
      <x:c r="F377" s="12" t="n">
        <x:v>1077660</x:v>
      </x:c>
      <x:c r="G377" s="14" t="n">
        <x:v>108449762.77</x:v>
      </x:c>
      <x:c r="H377" t="n">
        <x:v>0</x:v>
      </x:c>
      <x:c r="I377" t="n">
        <x:f>IF(H377=0,1,0)</x:f>
        <x:v>1</x:v>
      </x:c>
      <x:c r="J377" s="16" t="n">
        <x:f>F377/E377</x:f>
        <x:v>17.237319854764152</x:v>
      </x:c>
      <x:c r="K377" s="16" t="n">
        <x:f>G377/1000/E377</x:f>
        <x:v>1.7346688649850446</x:v>
      </x:c>
    </x:row>
    <x:row r="378">
      <x:c r="A378" s="8" t="d">
        <x:v>2025-01-07T00:00:00.000Z</x:v>
      </x:c>
      <x:c r="B378" t="str">
        <x:v>Good</x:v>
      </x:c>
      <x:c r="C378" t="str">
        <x:v>Workday</x:v>
      </x:c>
      <x:c r="D378" s="10" t="n">
        <x:v>13.6</x:v>
      </x:c>
      <x:c r="E378" s="12" t="n">
        <x:v>68396</x:v>
      </x:c>
      <x:c r="F378" s="12" t="n">
        <x:v>1124949</x:v>
      </x:c>
      <x:c r="G378" s="14" t="n">
        <x:v>117246454.02</x:v>
      </x:c>
      <x:c r="H378" t="n">
        <x:v>0</x:v>
      </x:c>
      <x:c r="I378" t="n">
        <x:f>IF(H378=0,1,0)</x:f>
        <x:v>1</x:v>
      </x:c>
      <x:c r="J378" s="16" t="n">
        <x:f>F378/E378</x:f>
        <x:v>16.44758465407334</x:v>
      </x:c>
      <x:c r="K378" s="16" t="n">
        <x:f>G378/1000/E378</x:f>
        <x:v>1.7142296920872564</x:v>
      </x:c>
    </x:row>
    <x:row r="379">
      <x:c r="A379" s="8" t="d">
        <x:v>2025-01-08T00:00:00.000Z</x:v>
      </x:c>
      <x:c r="B379" t="str">
        <x:v>Moderate</x:v>
      </x:c>
      <x:c r="C379" t="str">
        <x:v>Workday</x:v>
      </x:c>
      <x:c r="D379" s="10" t="n">
        <x:v>16.24</x:v>
      </x:c>
      <x:c r="E379" s="12" t="n">
        <x:v>66707</x:v>
      </x:c>
      <x:c r="F379" s="12" t="n">
        <x:v>1085408</x:v>
      </x:c>
      <x:c r="G379" s="14" t="n">
        <x:v>112348679.71</x:v>
      </x:c>
      <x:c r="H379" t="n">
        <x:v>0</x:v>
      </x:c>
      <x:c r="I379" t="n">
        <x:f>IF(H379=0,1,0)</x:f>
        <x:v>1</x:v>
      </x:c>
      <x:c r="J379" s="16" t="n">
        <x:f>F379/E379</x:f>
        <x:v>16.271275878093753</x:v>
      </x:c>
      <x:c r="K379" s="16" t="n">
        <x:f>G379/1000/E379</x:f>
        <x:v>1.6842112478450537</x:v>
      </x:c>
    </x:row>
    <x:row r="380">
      <x:c r="A380" s="8" t="d">
        <x:v>2025-01-09T00:00:00.000Z</x:v>
      </x:c>
      <x:c r="B380" t="str">
        <x:v>Good</x:v>
      </x:c>
      <x:c r="C380" t="str">
        <x:v>Workday</x:v>
      </x:c>
      <x:c r="D380" s="10" t="n">
        <x:v>9</x:v>
      </x:c>
      <x:c r="E380" s="12" t="n">
        <x:v>47963</x:v>
      </x:c>
      <x:c r="F380" s="12" t="n">
        <x:v>716762</x:v>
      </x:c>
      <x:c r="G380" s="14" t="n">
        <x:v>72623855.44</x:v>
      </x:c>
      <x:c r="H380" t="n">
        <x:v>0</x:v>
      </x:c>
      <x:c r="I380" t="n">
        <x:f>IF(H380=0,1,0)</x:f>
        <x:v>1</x:v>
      </x:c>
      <x:c r="J380" s="16" t="n">
        <x:f>F380/E380</x:f>
        <x:v>14.944061047057106</x:v>
      </x:c>
      <x:c r="K380" s="16" t="n">
        <x:f>G380/1000/E380</x:f>
        <x:v>1.514164156537331</x:v>
      </x:c>
    </x:row>
    <x:row r="381">
      <x:c r="A381" s="8" t="d">
        <x:v>2025-01-10T00:00:00.000Z</x:v>
      </x:c>
      <x:c r="B381" t="str">
        <x:v>Good</x:v>
      </x:c>
      <x:c r="C381" t="str">
        <x:v>Workday</x:v>
      </x:c>
      <x:c r="D381" s="10" t="n">
        <x:v>13.36</x:v>
      </x:c>
      <x:c r="E381" s="12" t="n">
        <x:v>54563</x:v>
      </x:c>
      <x:c r="F381" s="12" t="n">
        <x:v>891590</x:v>
      </x:c>
      <x:c r="G381" s="14" t="n">
        <x:v>88207807.77</x:v>
      </x:c>
      <x:c r="H381" t="n">
        <x:v>0</x:v>
      </x:c>
      <x:c r="I381" t="n">
        <x:f>IF(H381=0,1,0)</x:f>
        <x:v>1</x:v>
      </x:c>
      <x:c r="J381" s="16" t="n">
        <x:f>F381/E381</x:f>
        <x:v>16.340560453054266</x:v>
      </x:c>
      <x:c r="K381" s="16" t="n">
        <x:f>G381/1000/E381</x:f>
        <x:v>1.6166231286769421</x:v>
      </x:c>
    </x:row>
    <x:row r="382">
      <x:c r="A382" s="8" t="d">
        <x:v>2025-01-11T00:00:00.000Z</x:v>
      </x:c>
      <x:c r="B382" t="str">
        <x:v>Moderate</x:v>
      </x:c>
      <x:c r="C382" t="str">
        <x:v>Day off</x:v>
      </x:c>
      <x:c r="D382" s="10" t="n">
        <x:v>21.44</x:v>
      </x:c>
      <x:c r="E382" s="12" t="n">
        <x:v>42547</x:v>
      </x:c>
      <x:c r="F382" s="12" t="n">
        <x:v>776983</x:v>
      </x:c>
      <x:c r="G382" s="14" t="n">
        <x:v>77884931.3</x:v>
      </x:c>
      <x:c r="H382" t="n">
        <x:v>0</x:v>
      </x:c>
      <x:c r="I382" t="n">
        <x:f>IF(H382=0,1,0)</x:f>
        <x:v>1</x:v>
      </x:c>
      <x:c r="J382" s="16" t="n">
        <x:f>F382/E382</x:f>
        <x:v>18.261757585728724</x:v>
      </x:c>
      <x:c r="K382" s="16" t="n">
        <x:f>G382/1000/E382</x:f>
        <x:v>1.8305622323548076</x:v>
      </x:c>
    </x:row>
    <x:row r="383">
      <x:c r="A383" s="8" t="d">
        <x:v>2025-01-12T00:00:00.000Z</x:v>
      </x:c>
      <x:c r="B383" t="str">
        <x:v>Moderate</x:v>
      </x:c>
      <x:c r="C383" t="str">
        <x:v>Day off</x:v>
      </x:c>
      <x:c r="D383" s="10" t="n">
        <x:v>29.56</x:v>
      </x:c>
      <x:c r="E383" s="12" t="n">
        <x:v>38305</x:v>
      </x:c>
      <x:c r="F383" s="12" t="n">
        <x:v>727623</x:v>
      </x:c>
      <x:c r="G383" s="14" t="n">
        <x:v>76846936.81</x:v>
      </x:c>
      <x:c r="H383" t="n">
        <x:v>0</x:v>
      </x:c>
      <x:c r="I383" t="n">
        <x:f>IF(H383=0,1,0)</x:f>
        <x:v>1</x:v>
      </x:c>
      <x:c r="J383" s="16" t="n">
        <x:f>F383/E383</x:f>
        <x:v>18.995509724579037</x:v>
      </x:c>
      <x:c r="K383" s="16" t="n">
        <x:f>G383/1000/E383</x:f>
        <x:v>2.006185532175956</x:v>
      </x:c>
    </x:row>
    <x:row r="384">
      <x:c r="A384" s="8" t="d">
        <x:v>2025-01-13T00:00:00.000Z</x:v>
      </x:c>
      <x:c r="B384" t="str">
        <x:v>Bad</x:v>
      </x:c>
      <x:c r="C384" t="str">
        <x:v>Workday</x:v>
      </x:c>
      <x:c r="D384" s="10" t="n">
        <x:v>40.64</x:v>
      </x:c>
      <x:c r="E384" s="12" t="n">
        <x:v>50939</x:v>
      </x:c>
      <x:c r="F384" s="12" t="n">
        <x:v>862033</x:v>
      </x:c>
      <x:c r="G384" s="14" t="n">
        <x:v>87044105.88</x:v>
      </x:c>
      <x:c r="H384" t="n">
        <x:v>0</x:v>
      </x:c>
      <x:c r="I384" t="n">
        <x:f>IF(H384=0,1,0)</x:f>
        <x:v>1</x:v>
      </x:c>
      <x:c r="J384" s="16" t="n">
        <x:f>F384/E384</x:f>
        <x:v>16.922848897701172</x:v>
      </x:c>
      <x:c r="K384" s="16" t="n">
        <x:f>G384/1000/E384</x:f>
        <x:v>1.708791022203027</x:v>
      </x:c>
    </x:row>
    <x:row r="385">
      <x:c r="A385" s="8" t="d">
        <x:v>2025-01-14T00:00:00.000Z</x:v>
      </x:c>
      <x:c r="B385" t="str">
        <x:v>Bad</x:v>
      </x:c>
      <x:c r="C385" t="str">
        <x:v>Workday</x:v>
      </x:c>
      <x:c r="D385" s="10" t="n">
        <x:v>43.08</x:v>
      </x:c>
      <x:c r="E385" s="12" t="n">
        <x:v>61048</x:v>
      </x:c>
      <x:c r="F385" s="12" t="n">
        <x:v>1096884</x:v>
      </x:c>
      <x:c r="G385" s="14" t="n">
        <x:v>109656411.98</x:v>
      </x:c>
      <x:c r="H385" t="n">
        <x:v>0</x:v>
      </x:c>
      <x:c r="I385" t="n">
        <x:f>IF(H385=0,1,0)</x:f>
        <x:v>1</x:v>
      </x:c>
      <x:c r="J385" s="16" t="n">
        <x:f>F385/E385</x:f>
        <x:v>17.96756650504521</x:v>
      </x:c>
      <x:c r="K385" s="16" t="n">
        <x:f>G385/1000/E385</x:f>
        <x:v>1.7962326690473072</x:v>
      </x:c>
    </x:row>
    <x:row r="386">
      <x:c r="A386" s="8" t="d">
        <x:v>2025-01-15T00:00:00.000Z</x:v>
      </x:c>
      <x:c r="B386" t="str">
        <x:v>Good</x:v>
      </x:c>
      <x:c r="C386" t="str">
        <x:v>Workday</x:v>
      </x:c>
      <x:c r="D386" s="10" t="n">
        <x:v>11.52</x:v>
      </x:c>
      <x:c r="E386" s="12" t="n">
        <x:v>64297</x:v>
      </x:c>
      <x:c r="F386" s="12" t="n">
        <x:v>1059092</x:v>
      </x:c>
      <x:c r="G386" s="14" t="n">
        <x:v>110518162.37</x:v>
      </x:c>
      <x:c r="H386" t="n">
        <x:v>0</x:v>
      </x:c>
      <x:c r="I386" t="n">
        <x:f>IF(H386=0,1,0)</x:f>
        <x:v>1</x:v>
      </x:c>
      <x:c r="J386" s="16" t="n">
        <x:f>F386/E386</x:f>
        <x:v>16.471872715678803</x:v>
      </x:c>
      <x:c r="K386" s="16" t="n">
        <x:f>G386/1000/E386</x:f>
        <x:v>1.7188696575267899</x:v>
      </x:c>
    </x:row>
    <x:row r="387">
      <x:c r="A387" s="8" t="d">
        <x:v>2025-01-16T00:00:00.000Z</x:v>
      </x:c>
      <x:c r="B387" t="str">
        <x:v>Moderate</x:v>
      </x:c>
      <x:c r="C387" t="str">
        <x:v>Workday</x:v>
      </x:c>
      <x:c r="D387" s="10" t="n">
        <x:v>19.6</x:v>
      </x:c>
      <x:c r="E387" s="12" t="n">
        <x:v>68289</x:v>
      </x:c>
      <x:c r="F387" s="12" t="n">
        <x:v>1135916</x:v>
      </x:c>
      <x:c r="G387" s="14" t="n">
        <x:v>118835810.78</x:v>
      </x:c>
      <x:c r="H387" t="n">
        <x:v>0</x:v>
      </x:c>
      <x:c r="I387" t="n">
        <x:f>IF(H387=0,1,0)</x:f>
        <x:v>1</x:v>
      </x:c>
      <x:c r="J387" s="16" t="n">
        <x:f>F387/E387</x:f>
        <x:v>16.63395275959525</x:v>
      </x:c>
      <x:c r="K387" s="16" t="n">
        <x:f>G387/1000/E387</x:f>
        <x:v>1.7401896466488014</x:v>
      </x:c>
    </x:row>
    <x:row r="388">
      <x:c r="A388" s="8" t="d">
        <x:v>2025-01-17T00:00:00.000Z</x:v>
      </x:c>
      <x:c r="B388" t="str">
        <x:v>Moderate</x:v>
      </x:c>
      <x:c r="C388" t="str">
        <x:v>Workday</x:v>
      </x:c>
      <x:c r="D388" s="10" t="n">
        <x:v>33.16</x:v>
      </x:c>
      <x:c r="E388" s="12" t="n">
        <x:v>73506</x:v>
      </x:c>
      <x:c r="F388" s="12" t="n">
        <x:v>1297352</x:v>
      </x:c>
      <x:c r="G388" s="14" t="n">
        <x:v>133264146</x:v>
      </x:c>
      <x:c r="H388" t="n">
        <x:v>0</x:v>
      </x:c>
      <x:c r="I388" t="n">
        <x:f>IF(H388=0,1,0)</x:f>
        <x:v>1</x:v>
      </x:c>
      <x:c r="J388" s="16" t="n">
        <x:f>F388/E388</x:f>
        <x:v>17.649606834816204</x:v>
      </x:c>
      <x:c r="K388" s="16" t="n">
        <x:f>G388/1000/E388</x:f>
        <x:v>1.812969635131826</x:v>
      </x:c>
    </x:row>
    <x:row r="389">
      <x:c r="A389" s="8" t="d">
        <x:v>2025-01-18T00:00:00.000Z</x:v>
      </x:c>
      <x:c r="B389" t="str">
        <x:v>Moderate</x:v>
      </x:c>
      <x:c r="C389" t="str">
        <x:v>Day off</x:v>
      </x:c>
      <x:c r="D389" s="10" t="n">
        <x:v>28.6</x:v>
      </x:c>
      <x:c r="E389" s="12" t="n">
        <x:v>56924</x:v>
      </x:c>
      <x:c r="F389" s="12" t="n">
        <x:v>1126778</x:v>
      </x:c>
      <x:c r="G389" s="14" t="n">
        <x:v>116404121.11</x:v>
      </x:c>
      <x:c r="H389" t="n">
        <x:v>0</x:v>
      </x:c>
      <x:c r="I389" t="n">
        <x:f>IF(H389=0,1,0)</x:f>
        <x:v>1</x:v>
      </x:c>
      <x:c r="J389" s="16" t="n">
        <x:f>F389/E389</x:f>
        <x:v>19.794427657929873</x:v>
      </x:c>
      <x:c r="K389" s="16" t="n">
        <x:f>G389/1000/E389</x:f>
        <x:v>2.0449041021361816</x:v>
      </x:c>
    </x:row>
    <x:row r="390">
      <x:c r="A390" s="8" t="d">
        <x:v>2025-01-19T00:00:00.000Z</x:v>
      </x:c>
      <x:c r="B390" t="str">
        <x:v>Moderate</x:v>
      </x:c>
      <x:c r="C390" t="str">
        <x:v>Day off</x:v>
      </x:c>
      <x:c r="D390" s="10" t="n">
        <x:v>32.2</x:v>
      </x:c>
      <x:c r="E390" s="12" t="n">
        <x:v>51394</x:v>
      </x:c>
      <x:c r="F390" s="12" t="n">
        <x:v>1072634</x:v>
      </x:c>
      <x:c r="G390" s="14" t="n">
        <x:v>114611680.99</x:v>
      </x:c>
      <x:c r="H390" t="n">
        <x:v>0</x:v>
      </x:c>
      <x:c r="I390" t="n">
        <x:f>IF(H390=0,1,0)</x:f>
        <x:v>1</x:v>
      </x:c>
      <x:c r="J390" s="16" t="n">
        <x:f>F390/E390</x:f>
        <x:v>20.87080203914854</x:v>
      </x:c>
      <x:c r="K390" s="16" t="n">
        <x:f>G390/1000/E390</x:f>
        <x:v>2.230059559287076</x:v>
      </x:c>
    </x:row>
    <x:row r="391">
      <x:c r="A391" s="8" t="d">
        <x:v>2025-01-20T00:00:00.000Z</x:v>
      </x:c>
      <x:c r="B391" t="str">
        <x:v>Bad</x:v>
      </x:c>
      <x:c r="C391" t="str">
        <x:v>Workday</x:v>
      </x:c>
      <x:c r="D391" s="10" t="n">
        <x:v>72.68</x:v>
      </x:c>
      <x:c r="E391" s="12" t="n">
        <x:v>76898</x:v>
      </x:c>
      <x:c r="F391" s="12" t="n">
        <x:v>1356787</x:v>
      </x:c>
      <x:c r="G391" s="14" t="n">
        <x:v>141750804.62</x:v>
      </x:c>
      <x:c r="H391" t="n">
        <x:v>0</x:v>
      </x:c>
      <x:c r="I391" t="n">
        <x:f>IF(H391=0,1,0)</x:f>
        <x:v>1</x:v>
      </x:c>
      <x:c r="J391" s="16" t="n">
        <x:f>F391/E391</x:f>
        <x:v>17.64398293843793</x:v>
      </x:c>
      <x:c r="K391" s="16" t="n">
        <x:f>G391/1000/E391</x:f>
        <x:v>1.8433613958750554</x:v>
      </x:c>
    </x:row>
    <x:row r="392">
      <x:c r="A392" s="8" t="d">
        <x:v>2025-01-21T00:00:00.000Z</x:v>
      </x:c>
      <x:c r="B392" t="str">
        <x:v>Very Bad</x:v>
      </x:c>
      <x:c r="C392" t="str">
        <x:v>Workday</x:v>
      </x:c>
      <x:c r="D392" s="10" t="n">
        <x:v>91.76</x:v>
      </x:c>
      <x:c r="E392" s="12" t="n">
        <x:v>76557</x:v>
      </x:c>
      <x:c r="F392" s="12" t="n">
        <x:v>1310180</x:v>
      </x:c>
      <x:c r="G392" s="14" t="n">
        <x:v>135530239.22</x:v>
      </x:c>
      <x:c r="H392" t="n">
        <x:v>0</x:v>
      </x:c>
      <x:c r="I392" t="n">
        <x:f>IF(H392=0,1,0)</x:f>
        <x:v>1</x:v>
      </x:c>
      <x:c r="J392" s="16" t="n">
        <x:f>F392/E392</x:f>
        <x:v>17.113784500437582</x:v>
      </x:c>
      <x:c r="K392" s="16" t="n">
        <x:f>G392/1000/E392</x:f>
        <x:v>1.7703180534764944</x:v>
      </x:c>
    </x:row>
    <x:row r="393">
      <x:c r="A393" s="8" t="d">
        <x:v>2025-01-22T00:00:00.000Z</x:v>
      </x:c>
      <x:c r="B393" t="str">
        <x:v>Bad</x:v>
      </x:c>
      <x:c r="C393" t="str">
        <x:v>Workday</x:v>
      </x:c>
      <x:c r="D393" s="10" t="n">
        <x:v>64.84</x:v>
      </x:c>
      <x:c r="E393" s="12" t="n">
        <x:v>80515</x:v>
      </x:c>
      <x:c r="F393" s="12" t="n">
        <x:v>1399236</x:v>
      </x:c>
      <x:c r="G393" s="14" t="n">
        <x:v>145664083.13</x:v>
      </x:c>
      <x:c r="H393" t="n">
        <x:v>0</x:v>
      </x:c>
      <x:c r="I393" t="n">
        <x:f>IF(H393=0,1,0)</x:f>
        <x:v>1</x:v>
      </x:c>
      <x:c r="J393" s="16" t="n">
        <x:f>F393/E393</x:f>
        <x:v>17.378575420729057</x:v>
      </x:c>
      <x:c r="K393" s="16" t="n">
        <x:f>G393/1000/E393</x:f>
        <x:v>1.8091546063466433</x:v>
      </x:c>
    </x:row>
    <x:row r="394">
      <x:c r="A394" s="8" t="d">
        <x:v>2025-01-23T00:00:00.000Z</x:v>
      </x:c>
      <x:c r="B394" t="str">
        <x:v>Bad</x:v>
      </x:c>
      <x:c r="C394" t="str">
        <x:v>Workday</x:v>
      </x:c>
      <x:c r="D394" s="10" t="n">
        <x:v>36.04</x:v>
      </x:c>
      <x:c r="E394" s="12" t="n">
        <x:v>81294</x:v>
      </x:c>
      <x:c r="F394" s="12" t="n">
        <x:v>1445500</x:v>
      </x:c>
      <x:c r="G394" s="14" t="n">
        <x:v>151132726.8</x:v>
      </x:c>
      <x:c r="H394" t="n">
        <x:v>0</x:v>
      </x:c>
      <x:c r="I394" t="n">
        <x:f>IF(H394=0,1,0)</x:f>
        <x:v>1</x:v>
      </x:c>
      <x:c r="J394" s="16" t="n">
        <x:f>F394/E394</x:f>
        <x:v>17.781140059536988</x:v>
      </x:c>
      <x:c r="K394" s="16" t="n">
        <x:f>G394/1000/E394</x:f>
        <x:v>1.8590883312421582</x:v>
      </x:c>
    </x:row>
    <x:row r="395">
      <x:c r="A395" s="8" t="d">
        <x:v>2025-01-24T00:00:00.000Z</x:v>
      </x:c>
      <x:c r="B395" t="str">
        <x:v>Moderate</x:v>
      </x:c>
      <x:c r="C395" t="str">
        <x:v>Workday</x:v>
      </x:c>
      <x:c r="D395" s="10" t="n">
        <x:v>28.56</x:v>
      </x:c>
      <x:c r="E395" s="12" t="n">
        <x:v>85262</x:v>
      </x:c>
      <x:c r="F395" s="12" t="n">
        <x:v>1581733</x:v>
      </x:c>
      <x:c r="G395" s="14" t="n">
        <x:v>164786454.68</x:v>
      </x:c>
      <x:c r="H395" t="n">
        <x:v>0</x:v>
      </x:c>
      <x:c r="I395" t="n">
        <x:f>IF(H395=0,1,0)</x:f>
        <x:v>1</x:v>
      </x:c>
      <x:c r="J395" s="16" t="n">
        <x:f>F395/E395</x:f>
        <x:v>18.551441439328187</x:v>
      </x:c>
      <x:c r="K395" s="16" t="n">
        <x:f>G395/1000/E395</x:f>
        <x:v>1.9327068879453917</x:v>
      </x:c>
    </x:row>
    <x:row r="396">
      <x:c r="A396" s="8" t="d">
        <x:v>2025-01-25T00:00:00.000Z</x:v>
      </x:c>
      <x:c r="B396" t="str">
        <x:v>Good</x:v>
      </x:c>
      <x:c r="C396" t="str">
        <x:v>Day off</x:v>
      </x:c>
      <x:c r="D396" s="10" t="n">
        <x:v>12.12</x:v>
      </x:c>
      <x:c r="E396" s="12" t="n">
        <x:v>63693</x:v>
      </x:c>
      <x:c r="F396" s="12" t="n">
        <x:v>1374257</x:v>
      </x:c>
      <x:c r="G396" s="14" t="n">
        <x:v>144684444.14</x:v>
      </x:c>
      <x:c r="H396" t="n">
        <x:v>0</x:v>
      </x:c>
      <x:c r="I396" t="n">
        <x:f>IF(H396=0,1,0)</x:f>
        <x:v>1</x:v>
      </x:c>
      <x:c r="J396" s="16" t="n">
        <x:f>F396/E396</x:f>
        <x:v>21.576264267658928</x:v>
      </x:c>
      <x:c r="K396" s="16" t="n">
        <x:f>G396/1000/E396</x:f>
        <x:v>2.271590977658455</x:v>
      </x:c>
    </x:row>
    <x:row r="397">
      <x:c r="A397" s="8" t="d">
        <x:v>2025-01-26T00:00:00.000Z</x:v>
      </x:c>
      <x:c r="B397" t="str">
        <x:v>Good</x:v>
      </x:c>
      <x:c r="C397" t="str">
        <x:v>Day off</x:v>
      </x:c>
      <x:c r="D397" s="10" t="n">
        <x:v>6.44</x:v>
      </x:c>
      <x:c r="E397" s="12" t="n">
        <x:v>49381</x:v>
      </x:c>
      <x:c r="F397" s="12" t="n">
        <x:v>1061607</x:v>
      </x:c>
      <x:c r="G397" s="14" t="n">
        <x:v>115411695.14</x:v>
      </x:c>
      <x:c r="H397" t="n">
        <x:v>0</x:v>
      </x:c>
      <x:c r="I397" t="n">
        <x:f>IF(H397=0,1,0)</x:f>
        <x:v>1</x:v>
      </x:c>
      <x:c r="J397" s="16" t="n">
        <x:f>F397/E397</x:f>
        <x:v>21.49828881553634</x:v>
      </x:c>
      <x:c r="K397" s="16" t="n">
        <x:f>G397/1000/E397</x:f>
        <x:v>2.3371680431745</x:v>
      </x:c>
    </x:row>
    <x:row r="398">
      <x:c r="A398" s="8" t="d">
        <x:v>2025-01-27T00:00:00.000Z</x:v>
      </x:c>
      <x:c r="B398" t="str">
        <x:v>Moderate</x:v>
      </x:c>
      <x:c r="C398" t="str">
        <x:v>Day off</x:v>
      </x:c>
      <x:c r="D398" s="10" t="n">
        <x:v>17.12</x:v>
      </x:c>
      <x:c r="E398" s="12" t="n">
        <x:v>16744</x:v>
      </x:c>
      <x:c r="F398" s="12" t="n">
        <x:v>320237</x:v>
      </x:c>
      <x:c r="G398" s="14" t="n">
        <x:v>31088320.24</x:v>
      </x:c>
      <x:c r="H398" t="n">
        <x:v>0</x:v>
      </x:c>
      <x:c r="I398" t="n">
        <x:f>IF(H398=0,1,0)</x:f>
        <x:v>1</x:v>
      </x:c>
      <x:c r="J398" s="16" t="n">
        <x:f>F398/E398</x:f>
        <x:v>19.125477783086478</x:v>
      </x:c>
      <x:c r="K398" s="16" t="n">
        <x:f>G398/1000/E398</x:f>
        <x:v>1.85668419971333</x:v>
      </x:c>
    </x:row>
    <x:row r="399">
      <x:c r="A399" s="8" t="d">
        <x:v>2025-01-28T00:00:00.000Z</x:v>
      </x:c>
      <x:c r="B399" t="str">
        <x:v>Moderate</x:v>
      </x:c>
      <x:c r="C399" t="str">
        <x:v>Day off</x:v>
      </x:c>
      <x:c r="D399" s="10" t="n">
        <x:v>20.88</x:v>
      </x:c>
      <x:c r="E399" s="12" t="n">
        <x:v>15070</x:v>
      </x:c>
      <x:c r="F399" s="12" t="n">
        <x:v>273209</x:v>
      </x:c>
      <x:c r="G399" s="14" t="n">
        <x:v>26731300.22</x:v>
      </x:c>
      <x:c r="H399" t="n">
        <x:v>0</x:v>
      </x:c>
      <x:c r="I399" t="n">
        <x:f>IF(H399=0,1,0)</x:f>
        <x:v>1</x:v>
      </x:c>
      <x:c r="J399" s="16" t="n">
        <x:f>F399/E399</x:f>
        <x:v>18.129329794293298</x:v>
      </x:c>
      <x:c r="K399" s="16" t="n">
        <x:f>G399/1000/E399</x:f>
        <x:v>1.773808906436629</x:v>
      </x:c>
    </x:row>
    <x:row r="400">
      <x:c r="A400" s="8" t="d">
        <x:v>2025-01-29T00:00:00.000Z</x:v>
      </x:c>
      <x:c r="B400" t="str">
        <x:v>Moderate</x:v>
      </x:c>
      <x:c r="C400" t="str">
        <x:v>Day off</x:v>
      </x:c>
      <x:c r="D400" s="10" t="n">
        <x:v>19.92</x:v>
      </x:c>
      <x:c r="E400" s="12" t="n">
        <x:v>16396</x:v>
      </x:c>
      <x:c r="F400" s="12" t="n">
        <x:v>306791</x:v>
      </x:c>
      <x:c r="G400" s="14" t="n">
        <x:v>32847587.71</x:v>
      </x:c>
      <x:c r="H400" t="n">
        <x:v>0</x:v>
      </x:c>
      <x:c r="I400" t="n">
        <x:f>IF(H400=0,1,0)</x:f>
        <x:v>1</x:v>
      </x:c>
      <x:c r="J400" s="16" t="n">
        <x:f>F400/E400</x:f>
        <x:v>18.711332032202975</x:v>
      </x:c>
      <x:c r="K400" s="16" t="n">
        <x:f>G400/1000/E400</x:f>
        <x:v>2.0033903214198583</x:v>
      </x:c>
    </x:row>
    <x:row r="401">
      <x:c r="A401" s="8" t="d">
        <x:v>2025-01-30T00:00:00.000Z</x:v>
      </x:c>
      <x:c r="B401" t="str">
        <x:v>Good</x:v>
      </x:c>
      <x:c r="C401" t="str">
        <x:v>Day off</x:v>
      </x:c>
      <x:c r="D401" s="10" t="n">
        <x:v>13.04</x:v>
      </x:c>
      <x:c r="E401" s="12" t="n">
        <x:v>28782</x:v>
      </x:c>
      <x:c r="F401" s="12" t="n">
        <x:v>543520</x:v>
      </x:c>
      <x:c r="G401" s="14" t="n">
        <x:v>57572649.28</x:v>
      </x:c>
      <x:c r="H401" t="n">
        <x:v>0</x:v>
      </x:c>
      <x:c r="I401" t="n">
        <x:f>IF(H401=0,1,0)</x:f>
        <x:v>1</x:v>
      </x:c>
      <x:c r="J401" s="16" t="n">
        <x:f>F401/E401</x:f>
        <x:v>18.884024737683273</x:v>
      </x:c>
      <x:c r="K401" s="16" t="n">
        <x:f>G401/1000/E401</x:f>
        <x:v>2.0003005100409976</x:v>
      </x:c>
    </x:row>
    <x:row r="402">
      <x:c r="A402" s="8" t="d">
        <x:v>2025-01-31T00:00:00.000Z</x:v>
      </x:c>
      <x:c r="B402" t="str">
        <x:v>Moderate</x:v>
      </x:c>
      <x:c r="C402" t="str">
        <x:v>Workday</x:v>
      </x:c>
      <x:c r="D402" s="10" t="n">
        <x:v>24.36</x:v>
      </x:c>
      <x:c r="E402" s="12" t="n">
        <x:v>26433</x:v>
      </x:c>
      <x:c r="F402" s="12" t="n">
        <x:v>465010</x:v>
      </x:c>
      <x:c r="G402" s="14" t="n">
        <x:v>44575370.52</x:v>
      </x:c>
      <x:c r="H402" t="n">
        <x:v>0</x:v>
      </x:c>
      <x:c r="I402" t="n">
        <x:f>IF(H402=0,1,0)</x:f>
        <x:v>1</x:v>
      </x:c>
      <x:c r="J402" s="16" t="n">
        <x:f>F402/E402</x:f>
        <x:v>17.592025120115007</x:v>
      </x:c>
      <x:c r="K402" s="16" t="n">
        <x:f>G402/1000/E402</x:f>
        <x:v>1.686353063216434</x:v>
      </x:c>
    </x:row>
    <x:row r="403">
      <x:c r="A403" s="8" t="d">
        <x:v>2025-02-01T00:00:00.000Z</x:v>
      </x:c>
      <x:c r="B403" t="str">
        <x:v>Bad</x:v>
      </x:c>
      <x:c r="C403" t="str">
        <x:v>Day off</x:v>
      </x:c>
      <x:c r="D403" s="10" t="n">
        <x:v>35.92</x:v>
      </x:c>
      <x:c r="E403" s="12" t="n">
        <x:v>42900</x:v>
      </x:c>
      <x:c r="F403" s="12" t="n">
        <x:v>913238</x:v>
      </x:c>
      <x:c r="G403" s="14" t="n">
        <x:v>90818109.43</x:v>
      </x:c>
      <x:c r="H403" t="n">
        <x:v>0</x:v>
      </x:c>
      <x:c r="I403" t="n">
        <x:f>IF(H403=0,1,0)</x:f>
        <x:v>1</x:v>
      </x:c>
      <x:c r="J403" s="16" t="n">
        <x:f>F403/E403</x:f>
        <x:v>21.287599067599068</x:v>
      </x:c>
      <x:c r="K403" s="16" t="n">
        <x:f>G403/1000/E403</x:f>
        <x:v>2.116972247785548</x:v>
      </x:c>
    </x:row>
    <x:row r="404">
      <x:c r="A404" s="8" t="d">
        <x:v>2025-02-02T00:00:00.000Z</x:v>
      </x:c>
      <x:c r="B404" t="str">
        <x:v>Moderate</x:v>
      </x:c>
      <x:c r="C404" t="str">
        <x:v>Day off</x:v>
      </x:c>
      <x:c r="D404" s="10" t="n">
        <x:v>29.4</x:v>
      </x:c>
      <x:c r="E404" s="12" t="n">
        <x:v>47224</x:v>
      </x:c>
      <x:c r="F404" s="12" t="n">
        <x:v>1007399</x:v>
      </x:c>
      <x:c r="G404" s="14" t="n">
        <x:v>107066174.23</x:v>
      </x:c>
      <x:c r="H404" t="n">
        <x:v>0</x:v>
      </x:c>
      <x:c r="I404" t="n">
        <x:f>IF(H404=0,1,0)</x:f>
        <x:v>1</x:v>
      </x:c>
      <x:c r="J404" s="16" t="n">
        <x:f>F404/E404</x:f>
        <x:v>21.332352193799764</x:v>
      </x:c>
      <x:c r="K404" s="16" t="n">
        <x:f>G404/1000/E404</x:f>
        <x:v>2.267198336227342</x:v>
      </x:c>
    </x:row>
    <x:row r="405">
      <x:c r="A405" s="8" t="d">
        <x:v>2025-02-03T00:00:00.000Z</x:v>
      </x:c>
      <x:c r="B405" t="str">
        <x:v>Moderate</x:v>
      </x:c>
      <x:c r="C405" t="str">
        <x:v>Workday</x:v>
      </x:c>
      <x:c r="D405" s="10" t="n">
        <x:v>18.16</x:v>
      </x:c>
      <x:c r="E405" s="12" t="n">
        <x:v>58096</x:v>
      </x:c>
      <x:c r="F405" s="12" t="n">
        <x:v>971957</x:v>
      </x:c>
      <x:c r="G405" s="14" t="n">
        <x:v>98558489.76</x:v>
      </x:c>
      <x:c r="H405" t="n">
        <x:v>0</x:v>
      </x:c>
      <x:c r="I405" t="n">
        <x:f>IF(H405=0,1,0)</x:f>
        <x:v>1</x:v>
      </x:c>
      <x:c r="J405" s="16" t="n">
        <x:f>F405/E405</x:f>
        <x:v>16.730187964748005</x:v>
      </x:c>
      <x:c r="K405" s="16" t="n">
        <x:f>G405/1000/E405</x:f>
        <x:v>1.6964763453594054</x:v>
      </x:c>
    </x:row>
    <x:row r="406">
      <x:c r="A406" s="8" t="d">
        <x:v>2025-02-04T00:00:00.000Z</x:v>
      </x:c>
      <x:c r="B406" t="str">
        <x:v>Good</x:v>
      </x:c>
      <x:c r="C406" t="str">
        <x:v>Workday</x:v>
      </x:c>
      <x:c r="D406" s="10" t="n">
        <x:v>10.8</x:v>
      </x:c>
      <x:c r="E406" s="12" t="n">
        <x:v>49323</x:v>
      </x:c>
      <x:c r="F406" s="12" t="n">
        <x:v>775411</x:v>
      </x:c>
      <x:c r="G406" s="14" t="n">
        <x:v>77060691.18</x:v>
      </x:c>
      <x:c r="H406" t="n">
        <x:v>0</x:v>
      </x:c>
      <x:c r="I406" t="n">
        <x:f>IF(H406=0,1,0)</x:f>
        <x:v>1</x:v>
      </x:c>
      <x:c r="J406" s="16" t="n">
        <x:f>F406/E406</x:f>
        <x:v>15.721083470186322</x:v>
      </x:c>
      <x:c r="K406" s="16" t="n">
        <x:f>G406/1000/E406</x:f>
        <x:v>1.562368290249985</x:v>
      </x:c>
    </x:row>
    <x:row r="407">
      <x:c r="A407" s="8" t="d">
        <x:v>2025-02-05T00:00:00.000Z</x:v>
      </x:c>
      <x:c r="B407" t="str">
        <x:v>Good</x:v>
      </x:c>
      <x:c r="C407" t="str">
        <x:v>Workday</x:v>
      </x:c>
      <x:c r="D407" s="10" t="n">
        <x:v>9.2</x:v>
      </x:c>
      <x:c r="E407" s="12" t="n">
        <x:v>50827</x:v>
      </x:c>
      <x:c r="F407" s="12" t="n">
        <x:v>811182</x:v>
      </x:c>
      <x:c r="G407" s="14" t="n">
        <x:v>79805417.72</x:v>
      </x:c>
      <x:c r="H407" t="n">
        <x:v>0</x:v>
      </x:c>
      <x:c r="I407" t="n">
        <x:f>IF(H407=0,1,0)</x:f>
        <x:v>1</x:v>
      </x:c>
      <x:c r="J407" s="16" t="n">
        <x:f>F407/E407</x:f>
        <x:v>15.959667106065673</x:v>
      </x:c>
      <x:c r="K407" s="16" t="n">
        <x:f>G407/1000/E407</x:f>
        <x:v>1.5701382674562732</x:v>
      </x:c>
    </x:row>
    <x:row r="408">
      <x:c r="A408" s="8" t="d">
        <x:v>2025-02-06T00:00:00.000Z</x:v>
      </x:c>
      <x:c r="B408" t="str">
        <x:v>Good</x:v>
      </x:c>
      <x:c r="C408" t="str">
        <x:v>Workday</x:v>
      </x:c>
      <x:c r="D408" s="10" t="n">
        <x:v>12.8</x:v>
      </x:c>
      <x:c r="E408" s="12" t="n">
        <x:v>37900</x:v>
      </x:c>
      <x:c r="F408" s="12" t="n">
        <x:v>629790</x:v>
      </x:c>
      <x:c r="G408" s="14" t="n">
        <x:v>60673205.39</x:v>
      </x:c>
      <x:c r="H408" t="n">
        <x:v>0</x:v>
      </x:c>
      <x:c r="I408" t="n">
        <x:f>IF(H408=0,1,0)</x:f>
        <x:v>1</x:v>
      </x:c>
      <x:c r="J408" s="16" t="n">
        <x:f>F408/E408</x:f>
        <x:v>16.617150395778364</x:v>
      </x:c>
      <x:c r="K408" s="16" t="n">
        <x:f>G408/1000/E408</x:f>
        <x:v>1.6008761316622693</x:v>
      </x:c>
    </x:row>
    <x:row r="409">
      <x:c r="A409" s="8" t="d">
        <x:v>2025-02-07T00:00:00.000Z</x:v>
      </x:c>
      <x:c r="B409" t="str">
        <x:v>Good</x:v>
      </x:c>
      <x:c r="C409" t="str">
        <x:v>Workday</x:v>
      </x:c>
      <x:c r="D409" s="10" t="n">
        <x:v>13.64</x:v>
      </x:c>
      <x:c r="E409" s="12" t="n">
        <x:v>25537</x:v>
      </x:c>
      <x:c r="F409" s="12" t="n">
        <x:v>446279</x:v>
      </x:c>
      <x:c r="G409" s="14" t="n">
        <x:v>39276561.88</x:v>
      </x:c>
      <x:c r="H409" t="n">
        <x:v>0</x:v>
      </x:c>
      <x:c r="I409" t="n">
        <x:f>IF(H409=0,1,0)</x:f>
        <x:v>1</x:v>
      </x:c>
      <x:c r="J409" s="16" t="n">
        <x:f>F409/E409</x:f>
        <x:v>17.475780240435448</x:v>
      </x:c>
      <x:c r="K409" s="16" t="n">
        <x:f>G409/1000/E409</x:f>
        <x:v>1.5380256835180326</x:v>
      </x:c>
    </x:row>
    <x:row r="410">
      <x:c r="A410" s="8" t="d">
        <x:v>2025-02-08T00:00:00.000Z</x:v>
      </x:c>
      <x:c r="B410" t="str">
        <x:v>Good</x:v>
      </x:c>
      <x:c r="C410" t="str">
        <x:v>Day off</x:v>
      </x:c>
      <x:c r="D410" s="10" t="n">
        <x:v>11.36</x:v>
      </x:c>
      <x:c r="E410" s="12" t="n">
        <x:v>29052</x:v>
      </x:c>
      <x:c r="F410" s="12" t="n">
        <x:v>547115</x:v>
      </x:c>
      <x:c r="G410" s="14" t="n">
        <x:v>50443462.74</x:v>
      </x:c>
      <x:c r="H410" t="n">
        <x:v>0</x:v>
      </x:c>
      <x:c r="I410" t="n">
        <x:f>IF(H410=0,1,0)</x:f>
        <x:v>1</x:v>
      </x:c>
      <x:c r="J410" s="16" t="n">
        <x:f>F410/E410</x:f>
        <x:v>18.83226628115104</x:v>
      </x:c>
      <x:c r="K410" s="16" t="n">
        <x:f>G410/1000/E410</x:f>
        <x:v>1.7363163548120613</x:v>
      </x:c>
    </x:row>
    <x:row r="411">
      <x:c r="A411" s="8" t="d">
        <x:v>2025-02-09T00:00:00.000Z</x:v>
      </x:c>
      <x:c r="B411" t="str">
        <x:v>Good</x:v>
      </x:c>
      <x:c r="C411" t="str">
        <x:v>Day off</x:v>
      </x:c>
      <x:c r="D411" s="10" t="n">
        <x:v>15</x:v>
      </x:c>
      <x:c r="E411" s="12" t="n">
        <x:v>30720</x:v>
      </x:c>
      <x:c r="F411" s="12" t="n">
        <x:v>602257</x:v>
      </x:c>
      <x:c r="G411" s="14" t="n">
        <x:v>60382402.57</x:v>
      </x:c>
      <x:c r="H411" t="n">
        <x:v>0</x:v>
      </x:c>
      <x:c r="I411" t="n">
        <x:f>IF(H411=0,1,0)</x:f>
        <x:v>1</x:v>
      </x:c>
      <x:c r="J411" s="16" t="n">
        <x:f>F411/E411</x:f>
        <x:v>19.604720052083334</x:v>
      </x:c>
      <x:c r="K411" s="16" t="n">
        <x:f>G411/1000/E411</x:f>
        <x:v>1.9655730003255207</x:v>
      </x:c>
    </x:row>
    <x:row r="412">
      <x:c r="A412" s="8" t="d">
        <x:v>2025-02-10T00:00:00.000Z</x:v>
      </x:c>
      <x:c r="B412" t="str">
        <x:v>Moderate</x:v>
      </x:c>
      <x:c r="C412" t="str">
        <x:v>Workday</x:v>
      </x:c>
      <x:c r="D412" s="10" t="n">
        <x:v>18.6</x:v>
      </x:c>
      <x:c r="E412" s="12" t="n">
        <x:v>59298</x:v>
      </x:c>
      <x:c r="F412" s="12" t="n">
        <x:v>1048525</x:v>
      </x:c>
      <x:c r="G412" s="14" t="n">
        <x:v>106496065.6</x:v>
      </x:c>
      <x:c r="H412" t="n">
        <x:v>0</x:v>
      </x:c>
      <x:c r="I412" t="n">
        <x:f>IF(H412=0,1,0)</x:f>
        <x:v>1</x:v>
      </x:c>
      <x:c r="J412" s="16" t="n">
        <x:f>F412/E412</x:f>
        <x:v>17.68229957165503</x:v>
      </x:c>
      <x:c r="K412" s="16" t="n">
        <x:f>G412/1000/E412</x:f>
        <x:v>1.795947006644406</x:v>
      </x:c>
    </x:row>
    <x:row r="413">
      <x:c r="A413" s="8" t="d">
        <x:v>2025-02-11T00:00:00.000Z</x:v>
      </x:c>
      <x:c r="B413" t="str">
        <x:v>Moderate</x:v>
      </x:c>
      <x:c r="C413" t="str">
        <x:v>Workday</x:v>
      </x:c>
      <x:c r="D413" s="10" t="n">
        <x:v>33.36</x:v>
      </x:c>
      <x:c r="E413" s="12" t="n">
        <x:v>70882</x:v>
      </x:c>
      <x:c r="F413" s="12" t="n">
        <x:v>1290830</x:v>
      </x:c>
      <x:c r="G413" s="14" t="n">
        <x:v>133408146.38</x:v>
      </x:c>
      <x:c r="H413" t="n">
        <x:v>0</x:v>
      </x:c>
      <x:c r="I413" t="n">
        <x:f>IF(H413=0,1,0)</x:f>
        <x:v>1</x:v>
      </x:c>
      <x:c r="J413" s="16" t="n">
        <x:f>F413/E413</x:f>
        <x:v>18.210970345080558</x:v>
      </x:c>
      <x:c r="K413" s="16" t="n">
        <x:f>G413/1000/E413</x:f>
        <x:v>1.8821160009593407</x:v>
      </x:c>
    </x:row>
    <x:row r="414">
      <x:c r="A414" s="8" t="d">
        <x:v>2025-02-12T00:00:00.000Z</x:v>
      </x:c>
      <x:c r="B414" t="str">
        <x:v>Moderate</x:v>
      </x:c>
      <x:c r="C414" t="str">
        <x:v>Workday</x:v>
      </x:c>
      <x:c r="D414" s="10" t="n">
        <x:v>29.52</x:v>
      </x:c>
      <x:c r="E414" s="12" t="n">
        <x:v>35466</x:v>
      </x:c>
      <x:c r="F414" s="12" t="n">
        <x:v>614664</x:v>
      </x:c>
      <x:c r="G414" s="14" t="n">
        <x:v>61360835.24</x:v>
      </x:c>
      <x:c r="H414" t="n">
        <x:v>0</x:v>
      </x:c>
      <x:c r="I414" t="n">
        <x:f>IF(H414=0,1,0)</x:f>
        <x:v>1</x:v>
      </x:c>
      <x:c r="J414" s="16" t="n">
        <x:f>F414/E414</x:f>
        <x:v>17.33107765183556</x:v>
      </x:c>
      <x:c r="K414" s="16" t="n">
        <x:f>G414/1000/E414</x:f>
        <x:v>1.7301312592341962</x:v>
      </x:c>
    </x:row>
    <x:row r="415">
      <x:c r="A415" s="8" t="d">
        <x:v>2025-02-13T00:00:00.000Z</x:v>
      </x:c>
      <x:c r="B415" t="str">
        <x:v>Good</x:v>
      </x:c>
      <x:c r="C415" t="str">
        <x:v>Workday</x:v>
      </x:c>
      <x:c r="D415" s="10" t="n">
        <x:v>10.56</x:v>
      </x:c>
      <x:c r="E415" s="12" t="n">
        <x:v>68731</x:v>
      </x:c>
      <x:c r="F415" s="12" t="n">
        <x:v>1239521</x:v>
      </x:c>
      <x:c r="G415" s="14" t="n">
        <x:v>128892651.08</x:v>
      </x:c>
      <x:c r="H415" t="n">
        <x:v>0</x:v>
      </x:c>
      <x:c r="I415" t="n">
        <x:f>IF(H415=0,1,0)</x:f>
        <x:v>1</x:v>
      </x:c>
      <x:c r="J415" s="16" t="n">
        <x:f>F415/E415</x:f>
        <x:v>18.0343804105862</x:v>
      </x:c>
      <x:c r="K415" s="16" t="n">
        <x:f>G415/1000/E415</x:f>
        <x:v>1.8753204679111317</x:v>
      </x:c>
    </x:row>
    <x:row r="416">
      <x:c r="A416" s="8" t="d">
        <x:v>2025-02-14T00:00:00.000Z</x:v>
      </x:c>
      <x:c r="B416" t="str">
        <x:v>Bad</x:v>
      </x:c>
      <x:c r="C416" t="str">
        <x:v>Workday</x:v>
      </x:c>
      <x:c r="D416" s="10" t="n">
        <x:v>35.04</x:v>
      </x:c>
      <x:c r="E416" s="12" t="n">
        <x:v>79241</x:v>
      </x:c>
      <x:c r="F416" s="12" t="n">
        <x:v>1514848</x:v>
      </x:c>
      <x:c r="G416" s="14" t="n">
        <x:v>157647623.44</x:v>
      </x:c>
      <x:c r="H416" t="n">
        <x:v>0</x:v>
      </x:c>
      <x:c r="I416" t="n">
        <x:f>IF(H416=0,1,0)</x:f>
        <x:v>1</x:v>
      </x:c>
      <x:c r="J416" s="16" t="n">
        <x:f>F416/E416</x:f>
        <x:v>19.116972274453882</x:v>
      </x:c>
      <x:c r="K416" s="16" t="n">
        <x:f>G416/1000/E416</x:f>
        <x:v>1.9894703933569742</x:v>
      </x:c>
    </x:row>
    <x:row r="417">
      <x:c r="A417" s="8" t="d">
        <x:v>2025-02-15T00:00:00.000Z</x:v>
      </x:c>
      <x:c r="B417" t="str">
        <x:v>Bad</x:v>
      </x:c>
      <x:c r="C417" t="str">
        <x:v>Day off</x:v>
      </x:c>
      <x:c r="D417" s="10" t="n">
        <x:v>44.16</x:v>
      </x:c>
      <x:c r="E417" s="12" t="n">
        <x:v>60406</x:v>
      </x:c>
      <x:c r="F417" s="12" t="n">
        <x:v>1267878</x:v>
      </x:c>
      <x:c r="G417" s="14" t="n">
        <x:v>132334857.94</x:v>
      </x:c>
      <x:c r="H417" t="n">
        <x:v>0</x:v>
      </x:c>
      <x:c r="I417" t="n">
        <x:f>IF(H417=0,1,0)</x:f>
        <x:v>1</x:v>
      </x:c>
      <x:c r="J417" s="16" t="n">
        <x:f>F417/E417</x:f>
        <x:v>20.98927258881568</x:v>
      </x:c>
      <x:c r="K417" s="16" t="n">
        <x:f>G417/1000/E417</x:f>
        <x:v>2.19075684435321</x:v>
      </x:c>
    </x:row>
    <x:row r="418">
      <x:c r="A418" s="8" t="d">
        <x:v>2025-02-16T00:00:00.000Z</x:v>
      </x:c>
      <x:c r="B418" t="str">
        <x:v>Bad</x:v>
      </x:c>
      <x:c r="C418" t="str">
        <x:v>Day off</x:v>
      </x:c>
      <x:c r="D418" s="10" t="n">
        <x:v>49.32</x:v>
      </x:c>
      <x:c r="E418" s="12" t="n">
        <x:v>53209</x:v>
      </x:c>
      <x:c r="F418" s="12" t="n">
        <x:v>1160540</x:v>
      </x:c>
      <x:c r="G418" s="14" t="n">
        <x:v>124959419.8</x:v>
      </x:c>
      <x:c r="H418" t="n">
        <x:v>0</x:v>
      </x:c>
      <x:c r="I418" t="n">
        <x:f>IF(H418=0,1,0)</x:f>
        <x:v>1</x:v>
      </x:c>
      <x:c r="J418" s="16" t="n">
        <x:f>F418/E418</x:f>
        <x:v>21.810971828074198</x:v>
      </x:c>
      <x:c r="K418" s="16" t="n">
        <x:f>G418/1000/E418</x:f>
        <x:v>2.3484639778984757</x:v>
      </x:c>
    </x:row>
    <x:row r="419">
      <x:c r="A419" s="8" t="d">
        <x:v>2025-02-17T00:00:00.000Z</x:v>
      </x:c>
      <x:c r="B419" t="str">
        <x:v>Good</x:v>
      </x:c>
      <x:c r="C419" t="str">
        <x:v>Workday</x:v>
      </x:c>
      <x:c r="D419" s="10" t="n">
        <x:v>9.72</x:v>
      </x:c>
      <x:c r="E419" s="12" t="n">
        <x:v>68686</x:v>
      </x:c>
      <x:c r="F419" s="12" t="n">
        <x:v>1203463</x:v>
      </x:c>
      <x:c r="G419" s="14" t="n">
        <x:v>128329030.82</x:v>
      </x:c>
      <x:c r="H419" t="n">
        <x:v>0</x:v>
      </x:c>
      <x:c r="I419" t="n">
        <x:f>IF(H419=0,1,0)</x:f>
        <x:v>1</x:v>
      </x:c>
      <x:c r="J419" s="16" t="n">
        <x:f>F419/E419</x:f>
        <x:v>17.52122703316542</x:v>
      </x:c>
      <x:c r="K419" s="16" t="n">
        <x:f>G419/1000/E419</x:f>
        <x:v>1.8683433424569782</x:v>
      </x:c>
    </x:row>
    <x:row r="420">
      <x:c r="A420" s="8" t="d">
        <x:v>2025-02-18T00:00:00.000Z</x:v>
      </x:c>
      <x:c r="B420" t="str">
        <x:v>Good</x:v>
      </x:c>
      <x:c r="C420" t="str">
        <x:v>Workday</x:v>
      </x:c>
      <x:c r="D420" s="10" t="n">
        <x:v>10.24</x:v>
      </x:c>
      <x:c r="E420" s="12" t="n">
        <x:v>66559</x:v>
      </x:c>
      <x:c r="F420" s="12" t="n">
        <x:v>1139710</x:v>
      </x:c>
      <x:c r="G420" s="14" t="n">
        <x:v>119634723.42</x:v>
      </x:c>
      <x:c r="H420" t="n">
        <x:v>0</x:v>
      </x:c>
      <x:c r="I420" t="n">
        <x:f>IF(H420=0,1,0)</x:f>
        <x:v>1</x:v>
      </x:c>
      <x:c r="J420" s="16" t="n">
        <x:f>F420/E420</x:f>
        <x:v>17.123304136179932</x:v>
      </x:c>
      <x:c r="K420" s="16" t="n">
        <x:f>G420/1000/E420</x:f>
        <x:v>1.7974236905602547</x:v>
      </x:c>
    </x:row>
    <x:row r="421">
      <x:c r="A421" s="8" t="d">
        <x:v>2025-02-19T00:00:00.000Z</x:v>
      </x:c>
      <x:c r="B421" t="str">
        <x:v>Good</x:v>
      </x:c>
      <x:c r="C421" t="str">
        <x:v>Workday</x:v>
      </x:c>
      <x:c r="D421" s="10" t="n">
        <x:v>11.64</x:v>
      </x:c>
      <x:c r="E421" s="12" t="n">
        <x:v>65341</x:v>
      </x:c>
      <x:c r="F421" s="12" t="n">
        <x:v>1119054</x:v>
      </x:c>
      <x:c r="G421" s="14" t="n">
        <x:v>116592608.55</x:v>
      </x:c>
      <x:c r="H421" t="n">
        <x:v>0</x:v>
      </x:c>
      <x:c r="I421" t="n">
        <x:f>IF(H421=0,1,0)</x:f>
        <x:v>1</x:v>
      </x:c>
      <x:c r="J421" s="16" t="n">
        <x:f>F421/E421</x:f>
        <x:v>17.126367824183898</x:v>
      </x:c>
      <x:c r="K421" s="16" t="n">
        <x:f>G421/1000/E421</x:f>
        <x:v>1.784371352596379</x:v>
      </x:c>
    </x:row>
    <x:row r="422">
      <x:c r="A422" s="8" t="d">
        <x:v>2025-02-20T00:00:00.000Z</x:v>
      </x:c>
      <x:c r="B422" t="str">
        <x:v>Good</x:v>
      </x:c>
      <x:c r="C422" t="str">
        <x:v>Workday</x:v>
      </x:c>
      <x:c r="D422" s="10" t="n">
        <x:v>13.24</x:v>
      </x:c>
      <x:c r="E422" s="12" t="n">
        <x:v>65449</x:v>
      </x:c>
      <x:c r="F422" s="12" t="n">
        <x:v>1122543</x:v>
      </x:c>
      <x:c r="G422" s="14" t="n">
        <x:v>116316895.78</x:v>
      </x:c>
      <x:c r="H422" t="n">
        <x:v>0</x:v>
      </x:c>
      <x:c r="I422" t="n">
        <x:f>IF(H422=0,1,0)</x:f>
        <x:v>1</x:v>
      </x:c>
      <x:c r="J422" s="16" t="n">
        <x:f>F422/E422</x:f>
        <x:v>17.151415606044402</x:v>
      </x:c>
      <x:c r="K422" s="16" t="n">
        <x:f>G422/1000/E422</x:f>
        <x:v>1.7772142550688323</x:v>
      </x:c>
    </x:row>
    <x:row r="423">
      <x:c r="A423" s="8" t="d">
        <x:v>2025-02-21T00:00:00.000Z</x:v>
      </x:c>
      <x:c r="B423" t="str">
        <x:v>Moderate</x:v>
      </x:c>
      <x:c r="C423" t="str">
        <x:v>Workday</x:v>
      </x:c>
      <x:c r="D423" s="10" t="n">
        <x:v>16.08</x:v>
      </x:c>
      <x:c r="E423" s="12" t="n">
        <x:v>66488</x:v>
      </x:c>
      <x:c r="F423" s="12" t="n">
        <x:v>1159710</x:v>
      </x:c>
      <x:c r="G423" s="14" t="n">
        <x:v>119876997.17</x:v>
      </x:c>
      <x:c r="H423" t="n">
        <x:v>0</x:v>
      </x:c>
      <x:c r="I423" t="n">
        <x:f>IF(H423=0,1,0)</x:f>
        <x:v>1</x:v>
      </x:c>
      <x:c r="J423" s="16" t="n">
        <x:f>F423/E423</x:f>
        <x:v>17.442395620262303</x:v>
      </x:c>
      <x:c r="K423" s="16" t="n">
        <x:f>G423/1000/E423</x:f>
        <x:v>1.8029869626097943</x:v>
      </x:c>
    </x:row>
    <x:row r="424">
      <x:c r="A424" s="8" t="d">
        <x:v>2025-02-22T00:00:00.000Z</x:v>
      </x:c>
      <x:c r="B424" t="str">
        <x:v>Moderate</x:v>
      </x:c>
      <x:c r="C424" t="str">
        <x:v>Day off</x:v>
      </x:c>
      <x:c r="D424" s="10" t="n">
        <x:v>18</x:v>
      </x:c>
      <x:c r="E424" s="12" t="n">
        <x:v>49411</x:v>
      </x:c>
      <x:c r="F424" s="12" t="n">
        <x:v>965264</x:v>
      </x:c>
      <x:c r="G424" s="14" t="n">
        <x:v>99069995.38</x:v>
      </x:c>
      <x:c r="H424" t="n">
        <x:v>0</x:v>
      </x:c>
      <x:c r="I424" t="n">
        <x:f>IF(H424=0,1,0)</x:f>
        <x:v>1</x:v>
      </x:c>
      <x:c r="J424" s="16" t="n">
        <x:f>F424/E424</x:f>
        <x:v>19.535407095586002</x:v>
      </x:c>
      <x:c r="K424" s="16" t="n">
        <x:f>G424/1000/E424</x:f>
        <x:v>2.0050190317945393</x:v>
      </x:c>
    </x:row>
    <x:row r="425">
      <x:c r="A425" s="8" t="d">
        <x:v>2025-02-23T00:00:00.000Z</x:v>
      </x:c>
      <x:c r="B425" t="str">
        <x:v>Moderate</x:v>
      </x:c>
      <x:c r="C425" t="str">
        <x:v>Day off</x:v>
      </x:c>
      <x:c r="D425" s="10" t="n">
        <x:v>16.4</x:v>
      </x:c>
      <x:c r="E425" s="12" t="n">
        <x:v>37830</x:v>
      </x:c>
      <x:c r="F425" s="12" t="n">
        <x:v>732181</x:v>
      </x:c>
      <x:c r="G425" s="14" t="n">
        <x:v>77787137.22</x:v>
      </x:c>
      <x:c r="H425" t="n">
        <x:v>0</x:v>
      </x:c>
      <x:c r="I425" t="n">
        <x:f>IF(H425=0,1,0)</x:f>
        <x:v>1</x:v>
      </x:c>
      <x:c r="J425" s="16" t="n">
        <x:f>F425/E425</x:f>
        <x:v>19.35450700502247</x:v>
      </x:c>
      <x:c r="K425" s="16" t="n">
        <x:f>G425/1000/E425</x:f>
        <x:v>2.056228845360825</x:v>
      </x:c>
    </x:row>
    <x:row r="426">
      <x:c r="A426" s="8" t="d">
        <x:v>2025-02-24T00:00:00.000Z</x:v>
      </x:c>
      <x:c r="B426" t="str">
        <x:v>Moderate</x:v>
      </x:c>
      <x:c r="C426" t="str">
        <x:v>Workday</x:v>
      </x:c>
      <x:c r="D426" s="10" t="n">
        <x:v>16.08</x:v>
      </x:c>
      <x:c r="E426" s="12" t="n">
        <x:v>68740</x:v>
      </x:c>
      <x:c r="F426" s="12" t="n">
        <x:v>1234806</x:v>
      </x:c>
      <x:c r="G426" s="14" t="n">
        <x:v>128841443.76</x:v>
      </x:c>
      <x:c r="H426" t="n">
        <x:v>0</x:v>
      </x:c>
      <x:c r="I426" t="n">
        <x:f>IF(H426=0,1,0)</x:f>
        <x:v>1</x:v>
      </x:c>
      <x:c r="J426" s="16" t="n">
        <x:f>F426/E426</x:f>
        <x:v>17.963427407622927</x:v>
      </x:c>
      <x:c r="K426" s="16" t="n">
        <x:f>G426/1000/E426</x:f>
        <x:v>1.8743299935990692</x:v>
      </x:c>
    </x:row>
    <x:row r="427">
      <x:c r="A427" s="8" t="d">
        <x:v>2025-02-25T00:00:00.000Z</x:v>
      </x:c>
      <x:c r="B427" t="str">
        <x:v>Moderate</x:v>
      </x:c>
      <x:c r="C427" t="str">
        <x:v>Workday</x:v>
      </x:c>
      <x:c r="D427" s="10" t="n">
        <x:v>17.48</x:v>
      </x:c>
      <x:c r="E427" s="12" t="n">
        <x:v>75269</x:v>
      </x:c>
      <x:c r="F427" s="12" t="n">
        <x:v>1355562</x:v>
      </x:c>
      <x:c r="G427" s="14" t="n">
        <x:v>143277325.29</x:v>
      </x:c>
      <x:c r="H427" t="n">
        <x:v>0</x:v>
      </x:c>
      <x:c r="I427" t="n">
        <x:f>IF(H427=0,1,0)</x:f>
        <x:v>1</x:v>
      </x:c>
      <x:c r="J427" s="16" t="n">
        <x:f>F427/E427</x:f>
        <x:v>18.00956569105475</x:v>
      </x:c>
      <x:c r="K427" s="16" t="n">
        <x:f>G427/1000/E427</x:f>
        <x:v>1.9035369845487515</x:v>
      </x:c>
    </x:row>
    <x:row r="428">
      <x:c r="A428" s="8" t="d">
        <x:v>2025-02-26T00:00:00.000Z</x:v>
      </x:c>
      <x:c r="B428" t="str">
        <x:v>Moderate</x:v>
      </x:c>
      <x:c r="C428" t="str">
        <x:v>Workday</x:v>
      </x:c>
      <x:c r="D428" s="10" t="n">
        <x:v>32.76</x:v>
      </x:c>
      <x:c r="E428" s="12" t="n">
        <x:v>81377</x:v>
      </x:c>
      <x:c r="F428" s="12" t="n">
        <x:v>1502448</x:v>
      </x:c>
      <x:c r="G428" s="14" t="n">
        <x:v>161499429.96</x:v>
      </x:c>
      <x:c r="H428" t="n">
        <x:v>0</x:v>
      </x:c>
      <x:c r="I428" t="n">
        <x:f>IF(H428=0,1,0)</x:f>
        <x:v>1</x:v>
      </x:c>
      <x:c r="J428" s="16" t="n">
        <x:f>F428/E428</x:f>
        <x:v>18.462808901778143</x:v>
      </x:c>
      <x:c r="K428" s="16" t="n">
        <x:f>G428/1000/E428</x:f>
        <x:v>1.9845832355579587</x:v>
      </x:c>
    </x:row>
    <x:row r="429">
      <x:c r="A429" s="8" t="d">
        <x:v>2025-02-27T00:00:00.000Z</x:v>
      </x:c>
      <x:c r="B429" t="str">
        <x:v>Moderate</x:v>
      </x:c>
      <x:c r="C429" t="str">
        <x:v>Workday</x:v>
      </x:c>
      <x:c r="D429" s="10" t="n">
        <x:v>15.32</x:v>
      </x:c>
      <x:c r="E429" s="12" t="n">
        <x:v>91202</x:v>
      </x:c>
      <x:c r="F429" s="12" t="n">
        <x:v>1803942</x:v>
      </x:c>
      <x:c r="G429" s="14" t="n">
        <x:v>199431827.72</x:v>
      </x:c>
      <x:c r="H429" t="n">
        <x:v>0</x:v>
      </x:c>
      <x:c r="I429" t="n">
        <x:f>IF(H429=0,1,0)</x:f>
        <x:v>1</x:v>
      </x:c>
      <x:c r="J429" s="16" t="n">
        <x:f>F429/E429</x:f>
        <x:v>19.779632025613473</x:v>
      </x:c>
      <x:c r="K429" s="16" t="n">
        <x:f>G429/1000/E429</x:f>
        <x:v>2.1867045428828313</x:v>
      </x:c>
    </x:row>
    <x:row r="430">
      <x:c r="A430" s="9" t="d">
        <x:v>2025-02-28T00:00:00.000Z</x:v>
      </x:c>
      <x:c r="B430" s="7" t="str">
        <x:v>Moderate</x:v>
      </x:c>
      <x:c r="C430" s="7" t="str">
        <x:v>Workday</x:v>
      </x:c>
      <x:c r="D430" s="11" t="n">
        <x:v>32.08</x:v>
      </x:c>
      <x:c r="E430" s="13" t="n">
        <x:v>47221</x:v>
      </x:c>
      <x:c r="F430" s="13" t="n">
        <x:v>627928</x:v>
      </x:c>
      <x:c r="G430" s="15" t="n">
        <x:v>80687211.94</x:v>
      </x:c>
      <x:c r="H430" s="7" t="n">
        <x:v>1</x:v>
      </x:c>
      <x:c r="I430" s="7" t="n">
        <x:f>IF(H430=0,1,0)</x:f>
        <x:v>0</x:v>
      </x:c>
      <x:c r="J430" s="17" t="n">
        <x:f>F430/E430</x:f>
        <x:v>13.297642997818768</x:v>
      </x:c>
      <x:c r="K430" s="17" t="n">
        <x:f>G430/1000/E430</x:f>
        <x:v>1.7087145960483683</x:v>
      </x:c>
      <x:c r="L430" s="7" t="str">
        <x:v>Possible source truncation</x:v>
      </x:c>
    </x:row>
    <x:row r="431">
      <x:c r="A431" s="8" t="d">
        <x:v>2025-03-01T00:00:00.000Z</x:v>
      </x:c>
      <x:c r="B431" t="str">
        <x:v>Bad</x:v>
      </x:c>
      <x:c r="C431" t="str">
        <x:v>Day off</x:v>
      </x:c>
      <x:c r="D431" s="10" t="n">
        <x:v>49.8</x:v>
      </x:c>
      <x:c r="E431" s="12" t="n">
        <x:v>58921</x:v>
      </x:c>
      <x:c r="F431" s="12" t="n">
        <x:v>1291058</x:v>
      </x:c>
      <x:c r="G431" s="14" t="n">
        <x:v>139440553.64</x:v>
      </x:c>
      <x:c r="H431" t="n">
        <x:v>0</x:v>
      </x:c>
      <x:c r="I431" t="n">
        <x:f>IF(H431=0,1,0)</x:f>
        <x:v>1</x:v>
      </x:c>
      <x:c r="J431" s="16" t="n">
        <x:f>F431/E431</x:f>
        <x:v>21.911678348975748</x:v>
      </x:c>
      <x:c r="K431" s="16" t="n">
        <x:f>G431/1000/E431</x:f>
        <x:v>2.3665680086896015</x:v>
      </x:c>
    </x:row>
    <x:row r="432">
      <x:c r="A432" s="8" t="d">
        <x:v>2025-03-02T00:00:00.000Z</x:v>
      </x:c>
      <x:c r="B432" t="str">
        <x:v>Moderate</x:v>
      </x:c>
      <x:c r="C432" t="str">
        <x:v>Day off</x:v>
      </x:c>
      <x:c r="D432" s="10" t="n">
        <x:v>30.16</x:v>
      </x:c>
      <x:c r="E432" s="12" t="n">
        <x:v>32851</x:v>
      </x:c>
      <x:c r="F432" s="12" t="n">
        <x:v>700602</x:v>
      </x:c>
      <x:c r="G432" s="14" t="n">
        <x:v>77727609.21</x:v>
      </x:c>
      <x:c r="H432" t="n">
        <x:v>0</x:v>
      </x:c>
      <x:c r="I432" t="n">
        <x:f>IF(H432=0,1,0)</x:f>
        <x:v>1</x:v>
      </x:c>
      <x:c r="J432" s="16" t="n">
        <x:f>F432/E432</x:f>
        <x:v>21.326656722778605</x:v>
      </x:c>
      <x:c r="K432" s="16" t="n">
        <x:f>G432/1000/E432</x:f>
        <x:v>2.3660652403275395</x:v>
      </x:c>
    </x:row>
    <x:row r="433">
      <x:c r="A433" s="8" t="d">
        <x:v>2025-03-03T00:00:00.000Z</x:v>
      </x:c>
      <x:c r="B433" t="str">
        <x:v>Good</x:v>
      </x:c>
      <x:c r="C433" t="str">
        <x:v>Day off</x:v>
      </x:c>
      <x:c r="D433" s="10" t="n">
        <x:v>4.84</x:v>
      </x:c>
      <x:c r="E433" s="12" t="n">
        <x:v>45444</x:v>
      </x:c>
      <x:c r="F433" s="12" t="n">
        <x:v>1011999</x:v>
      </x:c>
      <x:c r="G433" s="14" t="n">
        <x:v>105348093.09</x:v>
      </x:c>
      <x:c r="H433" t="n">
        <x:v>0</x:v>
      </x:c>
      <x:c r="I433" t="n">
        <x:f>IF(H433=0,1,0)</x:f>
        <x:v>1</x:v>
      </x:c>
      <x:c r="J433" s="16" t="n">
        <x:f>F433/E433</x:f>
        <x:v>22.26914444151043</x:v>
      </x:c>
      <x:c r="K433" s="16" t="n">
        <x:f>G433/1000/E433</x:f>
        <x:v>2.318195869421706</x:v>
      </x:c>
    </x:row>
    <x:row r="434">
      <x:c r="A434" s="8" t="d">
        <x:v>2025-03-04T00:00:00.000Z</x:v>
      </x:c>
      <x:c r="B434" t="str">
        <x:v>Good</x:v>
      </x:c>
      <x:c r="C434" t="str">
        <x:v>Workday</x:v>
      </x:c>
      <x:c r="D434" s="10" t="n">
        <x:v>3.68</x:v>
      </x:c>
      <x:c r="E434" s="12" t="n">
        <x:v>52214</x:v>
      </x:c>
      <x:c r="F434" s="12" t="n">
        <x:v>850980</x:v>
      </x:c>
      <x:c r="G434" s="14" t="n">
        <x:v>92777654.54</x:v>
      </x:c>
      <x:c r="H434" t="n">
        <x:v>0</x:v>
      </x:c>
      <x:c r="I434" t="n">
        <x:f>IF(H434=0,1,0)</x:f>
        <x:v>1</x:v>
      </x:c>
      <x:c r="J434" s="16" t="n">
        <x:f>F434/E434</x:f>
        <x:v>16.297927758838625</x:v>
      </x:c>
      <x:c r="K434" s="16" t="n">
        <x:f>G434/1000/E434</x:f>
        <x:v>1.7768731478147624</x:v>
      </x:c>
    </x:row>
    <x:row r="435">
      <x:c r="A435" s="8" t="d">
        <x:v>2025-03-05T00:00:00.000Z</x:v>
      </x:c>
      <x:c r="B435" t="str">
        <x:v>Good</x:v>
      </x:c>
      <x:c r="C435" t="str">
        <x:v>Workday</x:v>
      </x:c>
      <x:c r="D435" s="10" t="n">
        <x:v>4.04</x:v>
      </x:c>
      <x:c r="E435" s="12" t="n">
        <x:v>89885</x:v>
      </x:c>
      <x:c r="F435" s="12" t="n">
        <x:v>1656271</x:v>
      </x:c>
      <x:c r="G435" s="14" t="n">
        <x:v>178591353.32</x:v>
      </x:c>
      <x:c r="H435" t="n">
        <x:v>0</x:v>
      </x:c>
      <x:c r="I435" t="n">
        <x:f>IF(H435=0,1,0)</x:f>
        <x:v>1</x:v>
      </x:c>
      <x:c r="J435" s="16" t="n">
        <x:f>F435/E435</x:f>
        <x:v>18.426556155087056</x:v>
      </x:c>
      <x:c r="K435" s="16" t="n">
        <x:f>G435/1000/E435</x:f>
        <x:v>1.9868871704956332</x:v>
      </x:c>
    </x:row>
    <x:row r="436">
      <x:c r="A436" s="8" t="d">
        <x:v>2025-03-06T00:00:00.000Z</x:v>
      </x:c>
      <x:c r="B436" t="str">
        <x:v>Moderate</x:v>
      </x:c>
      <x:c r="C436" t="str">
        <x:v>Workday</x:v>
      </x:c>
      <x:c r="D436" s="10" t="n">
        <x:v>28.24</x:v>
      </x:c>
      <x:c r="E436" s="12" t="n">
        <x:v>95222</x:v>
      </x:c>
      <x:c r="F436" s="12" t="n">
        <x:v>1770708</x:v>
      </x:c>
      <x:c r="G436" s="14" t="n">
        <x:v>193799182.9</x:v>
      </x:c>
      <x:c r="H436" t="n">
        <x:v>0</x:v>
      </x:c>
      <x:c r="I436" t="n">
        <x:f>IF(H436=0,1,0)</x:f>
        <x:v>1</x:v>
      </x:c>
      <x:c r="J436" s="16" t="n">
        <x:f>F436/E436</x:f>
        <x:v>18.595576652454266</x:v>
      </x:c>
      <x:c r="K436" s="16" t="n">
        <x:f>G436/1000/E436</x:f>
        <x:v>2.035235375228414</x:v>
      </x:c>
    </x:row>
    <x:row r="437">
      <x:c r="A437" s="8" t="d">
        <x:v>2025-03-07T00:00:00.000Z</x:v>
      </x:c>
      <x:c r="B437" t="str">
        <x:v>Bad</x:v>
      </x:c>
      <x:c r="C437" t="str">
        <x:v>Workday</x:v>
      </x:c>
      <x:c r="D437" s="10" t="n">
        <x:v>49.28</x:v>
      </x:c>
      <x:c r="E437" s="12" t="n">
        <x:v>98679</x:v>
      </x:c>
      <x:c r="F437" s="12" t="n">
        <x:v>1865956</x:v>
      </x:c>
      <x:c r="G437" s="14" t="n">
        <x:v>200980241.56</x:v>
      </x:c>
      <x:c r="H437" t="n">
        <x:v>0</x:v>
      </x:c>
      <x:c r="I437" t="n">
        <x:f>IF(H437=0,1,0)</x:f>
        <x:v>1</x:v>
      </x:c>
      <x:c r="J437" s="16" t="n">
        <x:f>F437/E437</x:f>
        <x:v>18.909352547147822</x:v>
      </x:c>
      <x:c r="K437" s="16" t="n">
        <x:f>G437/1000/E437</x:f>
        <x:v>2.0367073192877916</x:v>
      </x:c>
    </x:row>
    <x:row r="438">
      <x:c r="A438" s="8" t="d">
        <x:v>2025-03-08T00:00:00.000Z</x:v>
      </x:c>
      <x:c r="B438" t="str">
        <x:v>Bad</x:v>
      </x:c>
      <x:c r="C438" t="str">
        <x:v>Day off</x:v>
      </x:c>
      <x:c r="D438" s="10" t="n">
        <x:v>39.48</x:v>
      </x:c>
      <x:c r="E438" s="12" t="n">
        <x:v>81479</x:v>
      </x:c>
      <x:c r="F438" s="12" t="n">
        <x:v>1880413</x:v>
      </x:c>
      <x:c r="G438" s="14" t="n">
        <x:v>201256516.68</x:v>
      </x:c>
      <x:c r="H438" t="n">
        <x:v>0</x:v>
      </x:c>
      <x:c r="I438" t="n">
        <x:f>IF(H438=0,1,0)</x:f>
        <x:v>1</x:v>
      </x:c>
      <x:c r="J438" s="16" t="n">
        <x:f>F438/E438</x:f>
        <x:v>23.078498754280243</x:v>
      </x:c>
      <x:c r="K438" s="16" t="n">
        <x:f>G438/1000/E438</x:f>
        <x:v>2.4700415650658454</x:v>
      </x:c>
    </x:row>
    <x:row r="439">
      <x:c r="A439" s="8" t="d">
        <x:v>2025-03-09T00:00:00.000Z</x:v>
      </x:c>
      <x:c r="B439" t="str">
        <x:v>Bad</x:v>
      </x:c>
      <x:c r="C439" t="str">
        <x:v>Day off</x:v>
      </x:c>
      <x:c r="D439" s="10" t="n">
        <x:v>40.6</x:v>
      </x:c>
      <x:c r="E439" s="12" t="n">
        <x:v>80197</x:v>
      </x:c>
      <x:c r="F439" s="12" t="n">
        <x:v>2091071</x:v>
      </x:c>
      <x:c r="G439" s="14" t="n">
        <x:v>232314872.78</x:v>
      </x:c>
      <x:c r="H439" t="n">
        <x:v>0</x:v>
      </x:c>
      <x:c r="I439" t="n">
        <x:f>IF(H439=0,1,0)</x:f>
        <x:v>1</x:v>
      </x:c>
      <x:c r="J439" s="16" t="n">
        <x:f>F439/E439</x:f>
        <x:v>26.0741798321633</x:v>
      </x:c>
      <x:c r="K439" s="16" t="n">
        <x:f>G439/1000/E439</x:f>
        <x:v>2.8968025335112286</x:v>
      </x:c>
    </x:row>
    <x:row r="440">
      <x:c r="A440" s="8" t="d">
        <x:v>2025-03-10T00:00:00.000Z</x:v>
      </x:c>
      <x:c r="B440" t="str">
        <x:v>Bad</x:v>
      </x:c>
      <x:c r="C440" t="str">
        <x:v>Workday</x:v>
      </x:c>
      <x:c r="D440" s="10" t="n">
        <x:v>56.64</x:v>
      </x:c>
      <x:c r="E440" s="12" t="n">
        <x:v>103846</x:v>
      </x:c>
      <x:c r="F440" s="12" t="n">
        <x:v>2017832</x:v>
      </x:c>
      <x:c r="G440" s="14" t="n">
        <x:v>226755925.23</x:v>
      </x:c>
      <x:c r="H440" t="n">
        <x:v>0</x:v>
      </x:c>
      <x:c r="I440" t="n">
        <x:f>IF(H440=0,1,0)</x:f>
        <x:v>1</x:v>
      </x:c>
      <x:c r="J440" s="16" t="n">
        <x:f>F440/E440</x:f>
        <x:v>19.431003601486818</x:v>
      </x:c>
      <x:c r="K440" s="16" t="n">
        <x:f>G440/1000/E440</x:f>
        <x:v>2.183578811220461</x:v>
      </x:c>
    </x:row>
    <x:row r="441">
      <x:c r="A441" s="8" t="d">
        <x:v>2025-03-11T00:00:00.000Z</x:v>
      </x:c>
      <x:c r="B441" t="str">
        <x:v>Bad</x:v>
      </x:c>
      <x:c r="C441" t="str">
        <x:v>Workday</x:v>
      </x:c>
      <x:c r="D441" s="10" t="n">
        <x:v>44.88</x:v>
      </x:c>
      <x:c r="E441" s="12" t="n">
        <x:v>111512</x:v>
      </x:c>
      <x:c r="F441" s="12" t="n">
        <x:v>2175240</x:v>
      </x:c>
      <x:c r="G441" s="14" t="n">
        <x:v>245284957.75</x:v>
      </x:c>
      <x:c r="H441" t="n">
        <x:v>0</x:v>
      </x:c>
      <x:c r="I441" t="n">
        <x:f>IF(H441=0,1,0)</x:f>
        <x:v>1</x:v>
      </x:c>
      <x:c r="J441" s="16" t="n">
        <x:f>F441/E441</x:f>
        <x:v>19.506779539421768</x:v>
      </x:c>
      <x:c r="K441" s="16" t="n">
        <x:f>G441/1000/E441</x:f>
        <x:v>2.1996283606248657</x:v>
      </x:c>
    </x:row>
    <x:row r="442">
      <x:c r="A442" s="8" t="d">
        <x:v>2025-03-12T00:00:00.000Z</x:v>
      </x:c>
      <x:c r="B442" t="str">
        <x:v>Moderate</x:v>
      </x:c>
      <x:c r="C442" t="str">
        <x:v>Workday</x:v>
      </x:c>
      <x:c r="D442" s="10" t="n">
        <x:v>31.16</x:v>
      </x:c>
      <x:c r="E442" s="12" t="n">
        <x:v>99718</x:v>
      </x:c>
      <x:c r="F442" s="12" t="n">
        <x:v>1768326</x:v>
      </x:c>
      <x:c r="G442" s="14" t="n">
        <x:v>197183800.97</x:v>
      </x:c>
      <x:c r="H442" t="n">
        <x:v>0</x:v>
      </x:c>
      <x:c r="I442" t="n">
        <x:f>IF(H442=0,1,0)</x:f>
        <x:v>1</x:v>
      </x:c>
      <x:c r="J442" s="16" t="n">
        <x:f>F442/E442</x:f>
        <x:v>17.733267815238975</x:v>
      </x:c>
      <x:c r="K442" s="16" t="n">
        <x:f>G442/1000/E442</x:f>
        <x:v>1.9774143180769772</x:v>
      </x:c>
    </x:row>
    <x:row r="443">
      <x:c r="A443" s="8" t="d">
        <x:v>2025-03-13T00:00:00.000Z</x:v>
      </x:c>
      <x:c r="B443" t="str">
        <x:v>Moderate</x:v>
      </x:c>
      <x:c r="C443" t="str">
        <x:v>Workday</x:v>
      </x:c>
      <x:c r="D443" s="10" t="n">
        <x:v>29.28</x:v>
      </x:c>
      <x:c r="E443" s="12" t="n">
        <x:v>110367</x:v>
      </x:c>
      <x:c r="F443" s="12" t="n">
        <x:v>2115931</x:v>
      </x:c>
      <x:c r="G443" s="14" t="n">
        <x:v>235657324.47</x:v>
      </x:c>
      <x:c r="H443" t="n">
        <x:v>0</x:v>
      </x:c>
      <x:c r="I443" t="n">
        <x:f>IF(H443=0,1,0)</x:f>
        <x:v>1</x:v>
      </x:c>
      <x:c r="J443" s="16" t="n">
        <x:f>F443/E443</x:f>
        <x:v>19.171772359491516</x:v>
      </x:c>
      <x:c r="K443" s="16" t="n">
        <x:f>G443/1000/E443</x:f>
        <x:v>2.1352154581532523</x:v>
      </x:c>
    </x:row>
    <x:row r="444">
      <x:c r="A444" s="8" t="d">
        <x:v>2025-03-14T00:00:00.000Z</x:v>
      </x:c>
      <x:c r="B444" t="str">
        <x:v>Moderate</x:v>
      </x:c>
      <x:c r="C444" t="str">
        <x:v>Workday</x:v>
      </x:c>
      <x:c r="D444" s="10" t="n">
        <x:v>20.6</x:v>
      </x:c>
      <x:c r="E444" s="12" t="n">
        <x:v>125129</x:v>
      </x:c>
      <x:c r="F444" s="12" t="n">
        <x:v>2656690</x:v>
      </x:c>
      <x:c r="G444" s="14" t="n">
        <x:v>301541268.43</x:v>
      </x:c>
      <x:c r="H444" t="n">
        <x:v>0</x:v>
      </x:c>
      <x:c r="I444" t="n">
        <x:f>IF(H444=0,1,0)</x:f>
        <x:v>1</x:v>
      </x:c>
      <x:c r="J444" s="16" t="n">
        <x:f>F444/E444</x:f>
        <x:v>21.23160897953312</x:v>
      </x:c>
      <x:c r="K444" s="16" t="n">
        <x:f>G444/1000/E444</x:f>
        <x:v>2.409843189268675</x:v>
      </x:c>
    </x:row>
    <x:row r="445">
      <x:c r="A445" s="8" t="d">
        <x:v>2025-03-15T00:00:00.000Z</x:v>
      </x:c>
      <x:c r="B445" t="str">
        <x:v>Good</x:v>
      </x:c>
      <x:c r="C445" t="str">
        <x:v>Day off</x:v>
      </x:c>
      <x:c r="D445" s="10" t="n">
        <x:v>12.36</x:v>
      </x:c>
      <x:c r="E445" s="12" t="n">
        <x:v>109746</x:v>
      </x:c>
      <x:c r="F445" s="12" t="n">
        <x:v>2923828</x:v>
      </x:c>
      <x:c r="G445" s="14" t="n">
        <x:v>322580133.16</x:v>
      </x:c>
      <x:c r="H445" t="n">
        <x:v>0</x:v>
      </x:c>
      <x:c r="I445" t="n">
        <x:f>IF(H445=0,1,0)</x:f>
        <x:v>1</x:v>
      </x:c>
      <x:c r="J445" s="16" t="n">
        <x:f>F445/E445</x:f>
        <x:v>26.6417728208773</x:v>
      </x:c>
      <x:c r="K445" s="16" t="n">
        <x:f>G445/1000/E445</x:f>
        <x:v>2.9393338541723617</x:v>
      </x:c>
    </x:row>
    <x:row r="446">
      <x:c r="A446" s="8" t="d">
        <x:v>2025-03-16T00:00:00.000Z</x:v>
      </x:c>
      <x:c r="B446" t="str">
        <x:v>Moderate</x:v>
      </x:c>
      <x:c r="C446" t="str">
        <x:v>Day off</x:v>
      </x:c>
      <x:c r="D446" s="10" t="n">
        <x:v>19.76</x:v>
      </x:c>
      <x:c r="E446" s="12" t="n">
        <x:v>50203</x:v>
      </x:c>
      <x:c r="F446" s="12" t="n">
        <x:v>1031076</x:v>
      </x:c>
      <x:c r="G446" s="14" t="n">
        <x:v>110765066.69</x:v>
      </x:c>
      <x:c r="H446" t="n">
        <x:v>0</x:v>
      </x:c>
      <x:c r="I446" t="n">
        <x:f>IF(H446=0,1,0)</x:f>
        <x:v>1</x:v>
      </x:c>
      <x:c r="J446" s="16" t="n">
        <x:f>F446/E446</x:f>
        <x:v>20.538135171204907</x:v>
      </x:c>
      <x:c r="K446" s="16" t="n">
        <x:f>G446/1000/E446</x:f>
        <x:v>2.2063435788697885</x:v>
      </x:c>
    </x:row>
    <x:row r="447">
      <x:c r="A447" s="8" t="d">
        <x:v>2025-03-17T00:00:00.000Z</x:v>
      </x:c>
      <x:c r="B447" t="str">
        <x:v>Moderate</x:v>
      </x:c>
      <x:c r="C447" t="str">
        <x:v>Workday</x:v>
      </x:c>
      <x:c r="D447" s="10" t="n">
        <x:v>20.88</x:v>
      </x:c>
      <x:c r="E447" s="12" t="n">
        <x:v>90117</x:v>
      </x:c>
      <x:c r="F447" s="12" t="n">
        <x:v>1605572</x:v>
      </x:c>
      <x:c r="G447" s="14" t="n">
        <x:v>175584062.51</x:v>
      </x:c>
      <x:c r="H447" t="n">
        <x:v>0</x:v>
      </x:c>
      <x:c r="I447" t="n">
        <x:f>IF(H447=0,1,0)</x:f>
        <x:v>1</x:v>
      </x:c>
      <x:c r="J447" s="16" t="n">
        <x:f>F447/E447</x:f>
        <x:v>17.816527403264644</x:v>
      </x:c>
      <x:c r="K447" s="16" t="n">
        <x:f>G447/1000/E447</x:f>
        <x:v>1.9484011064505031</x:v>
      </x:c>
    </x:row>
    <x:row r="448">
      <x:c r="A448" s="8" t="d">
        <x:v>2025-03-18T00:00:00.000Z</x:v>
      </x:c>
      <x:c r="B448" t="str">
        <x:v>Moderate</x:v>
      </x:c>
      <x:c r="C448" t="str">
        <x:v>Workday</x:v>
      </x:c>
      <x:c r="D448" s="10" t="n">
        <x:v>22.44</x:v>
      </x:c>
      <x:c r="E448" s="12" t="n">
        <x:v>58999</x:v>
      </x:c>
      <x:c r="F448" s="12" t="n">
        <x:v>1059952</x:v>
      </x:c>
      <x:c r="G448" s="14" t="n">
        <x:v>105768537.9</x:v>
      </x:c>
      <x:c r="H448" t="n">
        <x:v>0</x:v>
      </x:c>
      <x:c r="I448" t="n">
        <x:f>IF(H448=0,1,0)</x:f>
        <x:v>1</x:v>
      </x:c>
      <x:c r="J448" s="16" t="n">
        <x:f>F448/E448</x:f>
        <x:v>17.965592637163343</x:v>
      </x:c>
      <x:c r="K448" s="16" t="n">
        <x:f>G448/1000/E448</x:f>
        <x:v>1.7927174680926796</x:v>
      </x:c>
    </x:row>
    <x:row r="449">
      <x:c r="A449" s="8" t="d">
        <x:v>2025-03-19T00:00:00.000Z</x:v>
      </x:c>
      <x:c r="B449" t="str">
        <x:v>Moderate</x:v>
      </x:c>
      <x:c r="C449" t="str">
        <x:v>Workday</x:v>
      </x:c>
      <x:c r="D449" s="10" t="n">
        <x:v>32.04</x:v>
      </x:c>
      <x:c r="E449" s="12" t="n">
        <x:v>93998</x:v>
      </x:c>
      <x:c r="F449" s="12" t="n">
        <x:v>1685393</x:v>
      </x:c>
      <x:c r="G449" s="14" t="n">
        <x:v>181336119.81</x:v>
      </x:c>
      <x:c r="H449" t="n">
        <x:v>0</x:v>
      </x:c>
      <x:c r="I449" t="n">
        <x:f>IF(H449=0,1,0)</x:f>
        <x:v>1</x:v>
      </x:c>
      <x:c r="J449" s="16" t="n">
        <x:f>F449/E449</x:f>
        <x:v>17.930094257324622</x:v>
      </x:c>
      <x:c r="K449" s="16" t="n">
        <x:f>G449/1000/E449</x:f>
        <x:v>1.9291487032702823</x:v>
      </x:c>
    </x:row>
    <x:row r="450">
      <x:c r="A450" s="8" t="d">
        <x:v>2025-03-20T00:00:00.000Z</x:v>
      </x:c>
      <x:c r="B450" t="str">
        <x:v>Bad</x:v>
      </x:c>
      <x:c r="C450" t="str">
        <x:v>Workday</x:v>
      </x:c>
      <x:c r="D450" s="10" t="n">
        <x:v>37.04</x:v>
      </x:c>
      <x:c r="E450" s="12" t="n">
        <x:v>109733</x:v>
      </x:c>
      <x:c r="F450" s="12" t="n">
        <x:v>2100574</x:v>
      </x:c>
      <x:c r="G450" s="14" t="n">
        <x:v>234238927.23</x:v>
      </x:c>
      <x:c r="H450" t="n">
        <x:v>0</x:v>
      </x:c>
      <x:c r="I450" t="n">
        <x:f>IF(H450=0,1,0)</x:f>
        <x:v>1</x:v>
      </x:c>
      <x:c r="J450" s="16" t="n">
        <x:f>F450/E450</x:f>
        <x:v>19.142591563157847</x:v>
      </x:c>
      <x:c r="K450" s="16" t="n">
        <x:f>G450/1000/E450</x:f>
        <x:v>2.1346261127463935</x:v>
      </x:c>
    </x:row>
    <x:row r="451">
      <x:c r="A451" s="8" t="d">
        <x:v>2025-03-21T00:00:00.000Z</x:v>
      </x:c>
      <x:c r="B451" t="str">
        <x:v>Bad</x:v>
      </x:c>
      <x:c r="C451" t="str">
        <x:v>Workday</x:v>
      </x:c>
      <x:c r="D451" s="10" t="n">
        <x:v>48.8</x:v>
      </x:c>
      <x:c r="E451" s="12" t="n">
        <x:v>120512</x:v>
      </x:c>
      <x:c r="F451" s="12" t="n">
        <x:v>2447510</x:v>
      </x:c>
      <x:c r="G451" s="14" t="n">
        <x:v>273612046.78</x:v>
      </x:c>
      <x:c r="H451" t="n">
        <x:v>0</x:v>
      </x:c>
      <x:c r="I451" t="n">
        <x:f>IF(H451=0,1,0)</x:f>
        <x:v>1</x:v>
      </x:c>
      <x:c r="J451" s="16" t="n">
        <x:f>F451/E451</x:f>
        <x:v>20.309263807753585</x:v>
      </x:c>
      <x:c r="K451" s="16" t="n">
        <x:f>G451/1000/E451</x:f>
        <x:v>2.270413293116038</x:v>
      </x:c>
    </x:row>
    <x:row r="452">
      <x:c r="A452" s="8" t="d">
        <x:v>2025-03-22T00:00:00.000Z</x:v>
      </x:c>
      <x:c r="B452" t="str">
        <x:v>Bad</x:v>
      </x:c>
      <x:c r="C452" t="str">
        <x:v>Day off</x:v>
      </x:c>
      <x:c r="D452" s="10" t="n">
        <x:v>47.833333</x:v>
      </x:c>
      <x:c r="E452" s="12" t="n">
        <x:v>115084</x:v>
      </x:c>
      <x:c r="F452" s="12" t="n">
        <x:v>3088930</x:v>
      </x:c>
      <x:c r="G452" s="14" t="n">
        <x:v>337573474.36</x:v>
      </x:c>
      <x:c r="H452" t="n">
        <x:v>0</x:v>
      </x:c>
      <x:c r="I452" t="n">
        <x:f>IF(H452=0,1,0)</x:f>
        <x:v>1</x:v>
      </x:c>
      <x:c r="J452" s="16" t="n">
        <x:f>F452/E452</x:f>
        <x:v>26.840655521184527</x:v>
      </x:c>
      <x:c r="K452" s="16" t="n">
        <x:f>G452/1000/E452</x:f>
        <x:v>2.9332789472037817</x:v>
      </x:c>
    </x:row>
    <x:row r="453">
      <x:c r="A453" s="8" t="d">
        <x:v>2025-03-23T00:00:00.000Z</x:v>
      </x:c>
      <x:c r="B453" t="str">
        <x:v>Bad</x:v>
      </x:c>
      <x:c r="C453" t="str">
        <x:v>Day off</x:v>
      </x:c>
      <x:c r="D453" s="10" t="n">
        <x:v>48.083333</x:v>
      </x:c>
      <x:c r="E453" s="12" t="n">
        <x:v>115859</x:v>
      </x:c>
      <x:c r="F453" s="12" t="n">
        <x:v>3403080</x:v>
      </x:c>
      <x:c r="G453" s="14" t="n">
        <x:v>384204690.82</x:v>
      </x:c>
      <x:c r="H453" t="n">
        <x:v>0</x:v>
      </x:c>
      <x:c r="I453" t="n">
        <x:f>IF(H453=0,1,0)</x:f>
        <x:v>1</x:v>
      </x:c>
      <x:c r="J453" s="16" t="n">
        <x:f>F453/E453</x:f>
        <x:v>29.372599452783124</x:v>
      </x:c>
      <x:c r="K453" s="16" t="n">
        <x:f>G453/1000/E453</x:f>
        <x:v>3.3161402292441675</x:v>
      </x:c>
    </x:row>
    <x:row r="454">
      <x:c r="A454" s="8" t="d">
        <x:v>2025-03-24T00:00:00.000Z</x:v>
      </x:c>
      <x:c r="B454" t="str">
        <x:v>Bad</x:v>
      </x:c>
      <x:c r="C454" t="str">
        <x:v>Workday</x:v>
      </x:c>
      <x:c r="D454" s="10" t="n">
        <x:v>49.083333</x:v>
      </x:c>
      <x:c r="E454" s="12" t="n">
        <x:v>127282</x:v>
      </x:c>
      <x:c r="F454" s="12" t="n">
        <x:v>2591169</x:v>
      </x:c>
      <x:c r="G454" s="14" t="n">
        <x:v>297870322.83</x:v>
      </x:c>
      <x:c r="H454" t="n">
        <x:v>0</x:v>
      </x:c>
      <x:c r="I454" t="n">
        <x:f>IF(H454=0,1,0)</x:f>
        <x:v>1</x:v>
      </x:c>
      <x:c r="J454" s="16" t="n">
        <x:f>F454/E454</x:f>
        <x:v>20.357701796012005</x:v>
      </x:c>
      <x:c r="K454" s="16" t="n">
        <x:f>G454/1000/E454</x:f>
        <x:v>2.340239176238588</x:v>
      </x:c>
    </x:row>
    <x:row r="455">
      <x:c r="A455" s="8" t="d">
        <x:v>2025-03-25T00:00:00.000Z</x:v>
      </x:c>
      <x:c r="B455" t="str">
        <x:v>Bad</x:v>
      </x:c>
      <x:c r="C455" t="str">
        <x:v>Workday</x:v>
      </x:c>
      <x:c r="D455" s="10" t="n">
        <x:v>59.28</x:v>
      </x:c>
      <x:c r="E455" s="12" t="n">
        <x:v>115456</x:v>
      </x:c>
      <x:c r="F455" s="12" t="n">
        <x:v>2093830</x:v>
      </x:c>
      <x:c r="G455" s="14" t="n">
        <x:v>234055733.37</x:v>
      </x:c>
      <x:c r="H455" t="n">
        <x:v>0</x:v>
      </x:c>
      <x:c r="I455" t="n">
        <x:f>IF(H455=0,1,0)</x:f>
        <x:v>1</x:v>
      </x:c>
      <x:c r="J455" s="16" t="n">
        <x:f>F455/E455</x:f>
        <x:v>18.13530695676275</x:v>
      </x:c>
      <x:c r="K455" s="16" t="n">
        <x:f>G455/1000/E455</x:f>
        <x:v>2.0272288436287416</x:v>
      </x:c>
    </x:row>
    <x:row r="456">
      <x:c r="A456" s="8" t="d">
        <x:v>2025-03-26T00:00:00.000Z</x:v>
      </x:c>
      <x:c r="B456" t="str">
        <x:v>Moderate</x:v>
      </x:c>
      <x:c r="C456" t="str">
        <x:v>Workday</x:v>
      </x:c>
      <x:c r="D456" s="10" t="n">
        <x:v>20.56</x:v>
      </x:c>
      <x:c r="E456" s="12" t="n">
        <x:v>134700</x:v>
      </x:c>
      <x:c r="F456" s="12" t="n">
        <x:v>2757000</x:v>
      </x:c>
      <x:c r="G456" s="14" t="n">
        <x:v>317734647.87</x:v>
      </x:c>
      <x:c r="H456" t="n">
        <x:v>0</x:v>
      </x:c>
      <x:c r="I456" t="n">
        <x:f>IF(H456=0,1,0)</x:f>
        <x:v>1</x:v>
      </x:c>
      <x:c r="J456" s="16" t="n">
        <x:f>F456/E456</x:f>
        <x:v>20.467706013363028</x:v>
      </x:c>
      <x:c r="K456" s="16" t="n">
        <x:f>G456/1000/E456</x:f>
        <x:v>2.358831832739421</x:v>
      </x:c>
    </x:row>
    <x:row r="457">
      <x:c r="A457" s="8" t="d">
        <x:v>2025-03-27T00:00:00.000Z</x:v>
      </x:c>
      <x:c r="B457" t="str">
        <x:v>Moderate</x:v>
      </x:c>
      <x:c r="C457" t="str">
        <x:v>Workday</x:v>
      </x:c>
      <x:c r="D457" s="10" t="n">
        <x:v>23.64</x:v>
      </x:c>
      <x:c r="E457" s="12" t="n">
        <x:v>101742</x:v>
      </x:c>
      <x:c r="F457" s="12" t="n">
        <x:v>1925427</x:v>
      </x:c>
      <x:c r="G457" s="14" t="n">
        <x:v>213716978.9</x:v>
      </x:c>
      <x:c r="H457" t="n">
        <x:v>0</x:v>
      </x:c>
      <x:c r="I457" t="n">
        <x:f>IF(H457=0,1,0)</x:f>
        <x:v>1</x:v>
      </x:c>
      <x:c r="J457" s="16" t="n">
        <x:f>F457/E457</x:f>
        <x:v>18.92460340862181</x:v>
      </x:c>
      <x:c r="K457" s="16" t="n">
        <x:f>G457/1000/E457</x:f>
        <x:v>2.1005777250299777</x:v>
      </x:c>
    </x:row>
    <x:row r="458">
      <x:c r="A458" s="8" t="d">
        <x:v>2025-03-28T00:00:00.000Z</x:v>
      </x:c>
      <x:c r="B458" t="str">
        <x:v>Moderate</x:v>
      </x:c>
      <x:c r="C458" t="str">
        <x:v>Workday</x:v>
      </x:c>
      <x:c r="D458" s="10" t="n">
        <x:v>19.36</x:v>
      </x:c>
      <x:c r="E458" s="12" t="n">
        <x:v>112105</x:v>
      </x:c>
      <x:c r="F458" s="12" t="n">
        <x:v>2122830</x:v>
      </x:c>
      <x:c r="G458" s="14" t="n">
        <x:v>236469553.39</x:v>
      </x:c>
      <x:c r="H458" t="n">
        <x:v>0</x:v>
      </x:c>
      <x:c r="I458" t="n">
        <x:f>IF(H458=0,1,0)</x:f>
        <x:v>1</x:v>
      </x:c>
      <x:c r="J458" s="16" t="n">
        <x:f>F458/E458</x:f>
        <x:v>18.936086704428885</x:v>
      </x:c>
      <x:c r="K458" s="16" t="n">
        <x:f>G458/1000/E458</x:f>
        <x:v>2.1093577752107397</x:v>
      </x:c>
    </x:row>
    <x:row r="459">
      <x:c r="A459" s="8" t="d">
        <x:v>2025-03-29T00:00:00.000Z</x:v>
      </x:c>
      <x:c r="B459" t="str">
        <x:v>Good</x:v>
      </x:c>
      <x:c r="C459" t="str">
        <x:v>Day off</x:v>
      </x:c>
      <x:c r="D459" s="10" t="n">
        <x:v>9.68</x:v>
      </x:c>
      <x:c r="E459" s="12" t="n">
        <x:v>63569</x:v>
      </x:c>
      <x:c r="F459" s="12" t="n">
        <x:v>1255540</x:v>
      </x:c>
      <x:c r="G459" s="14" t="n">
        <x:v>132232089.22</x:v>
      </x:c>
      <x:c r="H459" t="n">
        <x:v>0</x:v>
      </x:c>
      <x:c r="I459" t="n">
        <x:f>IF(H459=0,1,0)</x:f>
        <x:v>1</x:v>
      </x:c>
      <x:c r="J459" s="16" t="n">
        <x:f>F459/E459</x:f>
        <x:v>19.750821941512374</x:v>
      </x:c>
      <x:c r="K459" s="16" t="n">
        <x:f>G459/1000/E459</x:f>
        <x:v>2.0801348018688355</x:v>
      </x:c>
    </x:row>
    <x:row r="460">
      <x:c r="A460" s="8" t="d">
        <x:v>2025-03-30T00:00:00.000Z</x:v>
      </x:c>
      <x:c r="B460" t="str">
        <x:v>Good</x:v>
      </x:c>
      <x:c r="C460" t="str">
        <x:v>Day off</x:v>
      </x:c>
      <x:c r="D460" s="10" t="n">
        <x:v>9.64</x:v>
      </x:c>
      <x:c r="E460" s="12" t="n">
        <x:v>57013</x:v>
      </x:c>
      <x:c r="F460" s="12" t="n">
        <x:v>1183917</x:v>
      </x:c>
      <x:c r="G460" s="14" t="n">
        <x:v>128486915.68</x:v>
      </x:c>
      <x:c r="H460" t="n">
        <x:v>0</x:v>
      </x:c>
      <x:c r="I460" t="n">
        <x:f>IF(H460=0,1,0)</x:f>
        <x:v>1</x:v>
      </x:c>
      <x:c r="J460" s="16" t="n">
        <x:f>F460/E460</x:f>
        <x:v>20.765737638784138</x:v>
      </x:c>
      <x:c r="K460" s="16" t="n">
        <x:f>G460/1000/E460</x:f>
        <x:v>2.253642426814937</x:v>
      </x:c>
    </x:row>
    <x:row r="461">
      <x:c r="A461" s="8" t="d">
        <x:v>2025-03-31T00:00:00.000Z</x:v>
      </x:c>
      <x:c r="B461" t="str">
        <x:v>Moderate</x:v>
      </x:c>
      <x:c r="C461" t="str">
        <x:v>Workday</x:v>
      </x:c>
      <x:c r="D461" s="10" t="n">
        <x:v>16.56</x:v>
      </x:c>
      <x:c r="E461" s="12" t="n">
        <x:v>115322</x:v>
      </x:c>
      <x:c r="F461" s="12" t="n">
        <x:v>2232646</x:v>
      </x:c>
      <x:c r="G461" s="14" t="n">
        <x:v>253612855.06</x:v>
      </x:c>
      <x:c r="H461" t="n">
        <x:v>0</x:v>
      </x:c>
      <x:c r="I461" t="n">
        <x:f>IF(H461=0,1,0)</x:f>
        <x:v>1</x:v>
      </x:c>
      <x:c r="J461" s="16" t="n">
        <x:f>F461/E461</x:f>
        <x:v>19.36010475017776</x:v>
      </x:c>
      <x:c r="K461" s="16" t="n">
        <x:f>G461/1000/E461</x:f>
        <x:v>2.19917149425088</x:v>
      </x:c>
    </x:row>
    <x:row r="462">
      <x:c r="A462" s="8" t="d">
        <x:v>2025-04-01T00:00:00.000Z</x:v>
      </x:c>
      <x:c r="B462" t="str">
        <x:v>Moderate</x:v>
      </x:c>
      <x:c r="C462" t="str">
        <x:v>Workday</x:v>
      </x:c>
      <x:c r="D462" s="10" t="n">
        <x:v>34.64</x:v>
      </x:c>
      <x:c r="E462" s="12" t="n">
        <x:v>128599</x:v>
      </x:c>
      <x:c r="F462" s="12" t="n">
        <x:v>2543029</x:v>
      </x:c>
      <x:c r="G462" s="14" t="n">
        <x:v>292299894.17</x:v>
      </x:c>
      <x:c r="H462" t="n">
        <x:v>0</x:v>
      </x:c>
      <x:c r="I462" t="n">
        <x:f>IF(H462=0,1,0)</x:f>
        <x:v>1</x:v>
      </x:c>
      <x:c r="J462" s="16" t="n">
        <x:f>F462/E462</x:f>
        <x:v>19.77487383261145</x:v>
      </x:c>
      <x:c r="K462" s="16" t="n">
        <x:f>G462/1000/E462</x:f>
        <x:v>2.2729561984929902</x:v>
      </x:c>
    </x:row>
    <x:row r="463">
      <x:c r="A463" s="8" t="d">
        <x:v>2025-04-02T00:00:00.000Z</x:v>
      </x:c>
      <x:c r="B463" t="str">
        <x:v>Moderate</x:v>
      </x:c>
      <x:c r="C463" t="str">
        <x:v>Workday</x:v>
      </x:c>
      <x:c r="D463" s="10" t="n">
        <x:v>31.56</x:v>
      </x:c>
      <x:c r="E463" s="12" t="n">
        <x:v>113270</x:v>
      </x:c>
      <x:c r="F463" s="12" t="n">
        <x:v>2021778</x:v>
      </x:c>
      <x:c r="G463" s="14" t="n">
        <x:v>228802726.17</x:v>
      </x:c>
      <x:c r="H463" t="n">
        <x:v>0</x:v>
      </x:c>
      <x:c r="I463" t="n">
        <x:f>IF(H463=0,1,0)</x:f>
        <x:v>1</x:v>
      </x:c>
      <x:c r="J463" s="16" t="n">
        <x:f>F463/E463</x:f>
        <x:v>17.84919219563874</x:v>
      </x:c>
      <x:c r="K463" s="16" t="n">
        <x:f>G463/1000/E463</x:f>
        <x:v>2.0199763941908713</x:v>
      </x:c>
    </x:row>
    <x:row r="464">
      <x:c r="A464" s="8" t="d">
        <x:v>2025-04-03T00:00:00.000Z</x:v>
      </x:c>
      <x:c r="B464" t="str">
        <x:v>Moderate</x:v>
      </x:c>
      <x:c r="C464" t="str">
        <x:v>Workday</x:v>
      </x:c>
      <x:c r="D464" s="10" t="n">
        <x:v>27.52</x:v>
      </x:c>
      <x:c r="E464" s="12" t="n">
        <x:v>127763</x:v>
      </x:c>
      <x:c r="F464" s="12" t="n">
        <x:v>2567266</x:v>
      </x:c>
      <x:c r="G464" s="14" t="n">
        <x:v>291168945.43</x:v>
      </x:c>
      <x:c r="H464" t="n">
        <x:v>0</x:v>
      </x:c>
      <x:c r="I464" t="n">
        <x:f>IF(H464=0,1,0)</x:f>
        <x:v>1</x:v>
      </x:c>
      <x:c r="J464" s="16" t="n">
        <x:f>F464/E464</x:f>
        <x:v>20.093970867935163</x:v>
      </x:c>
      <x:c r="K464" s="16" t="n">
        <x:f>G464/1000/E464</x:f>
        <x:v>2.2789770546245784</x:v>
      </x:c>
    </x:row>
    <x:row r="465">
      <x:c r="A465" s="8" t="d">
        <x:v>2025-04-04T00:00:00.000Z</x:v>
      </x:c>
      <x:c r="B465" t="str">
        <x:v>Moderate</x:v>
      </x:c>
      <x:c r="C465" t="str">
        <x:v>Workday</x:v>
      </x:c>
      <x:c r="D465" s="10" t="n">
        <x:v>30.92</x:v>
      </x:c>
      <x:c r="E465" s="12" t="n">
        <x:v>130771</x:v>
      </x:c>
      <x:c r="F465" s="12" t="n">
        <x:v>2698307</x:v>
      </x:c>
      <x:c r="G465" s="14" t="n">
        <x:v>305278173.1</x:v>
      </x:c>
      <x:c r="H465" t="n">
        <x:v>0</x:v>
      </x:c>
      <x:c r="I465" t="n">
        <x:f>IF(H465=0,1,0)</x:f>
        <x:v>1</x:v>
      </x:c>
      <x:c r="J465" s="16" t="n">
        <x:f>F465/E465</x:f>
        <x:v>20.633833189315673</x:v>
      </x:c>
      <x:c r="K465" s="16" t="n">
        <x:f>G465/1000/E465</x:f>
        <x:v>2.3344485635194347</x:v>
      </x:c>
    </x:row>
    <x:row r="466">
      <x:c r="A466" s="8" t="d">
        <x:v>2025-04-05T00:00:00.000Z</x:v>
      </x:c>
      <x:c r="B466" t="str">
        <x:v>Moderate</x:v>
      </x:c>
      <x:c r="C466" t="str">
        <x:v>Day off</x:v>
      </x:c>
      <x:c r="D466" s="10" t="n">
        <x:v>19.04</x:v>
      </x:c>
      <x:c r="E466" s="12" t="n">
        <x:v>17053</x:v>
      </x:c>
      <x:c r="F466" s="12" t="n">
        <x:v>314318</x:v>
      </x:c>
      <x:c r="G466" s="14" t="n">
        <x:v>34311930.95</x:v>
      </x:c>
      <x:c r="H466" t="n">
        <x:v>0</x:v>
      </x:c>
      <x:c r="I466" t="n">
        <x:f>IF(H466=0,1,0)</x:f>
        <x:v>1</x:v>
      </x:c>
      <x:c r="J466" s="16" t="n">
        <x:f>F466/E466</x:f>
        <x:v>18.431830176508534</x:v>
      </x:c>
      <x:c r="K466" s="16" t="n">
        <x:f>G466/1000/E466</x:f>
        <x:v>2.0120759367853163</x:v>
      </x:c>
    </x:row>
    <x:row r="467">
      <x:c r="A467" s="8" t="d">
        <x:v>2025-04-06T00:00:00.000Z</x:v>
      </x:c>
      <x:c r="B467" t="str">
        <x:v>Moderate</x:v>
      </x:c>
      <x:c r="C467" t="str">
        <x:v>Day off</x:v>
      </x:c>
      <x:c r="D467" s="10" t="n">
        <x:v>18.32</x:v>
      </x:c>
      <x:c r="E467" s="12" t="n">
        <x:v>104881</x:v>
      </x:c>
      <x:c r="F467" s="12" t="n">
        <x:v>3101176</x:v>
      </x:c>
      <x:c r="G467" s="14" t="n">
        <x:v>335103282.75</x:v>
      </x:c>
      <x:c r="H467" t="n">
        <x:v>0</x:v>
      </x:c>
      <x:c r="I467" t="n">
        <x:f>IF(H467=0,1,0)</x:f>
        <x:v>1</x:v>
      </x:c>
      <x:c r="J467" s="16" t="n">
        <x:f>F467/E467</x:f>
        <x:v>29.56852051372508</x:v>
      </x:c>
      <x:c r="K467" s="16" t="n">
        <x:f>G467/1000/E467</x:f>
        <x:v>3.195080927432042</x:v>
      </x:c>
    </x:row>
    <x:row r="468">
      <x:c r="A468" s="8" t="d">
        <x:v>2025-04-07T00:00:00.000Z</x:v>
      </x:c>
      <x:c r="B468" t="str">
        <x:v>Moderate</x:v>
      </x:c>
      <x:c r="C468" t="str">
        <x:v>Workday</x:v>
      </x:c>
      <x:c r="D468" s="10" t="n">
        <x:v>27.8</x:v>
      </x:c>
      <x:c r="E468" s="12" t="n">
        <x:v>139288</x:v>
      </x:c>
      <x:c r="F468" s="12" t="n">
        <x:v>2976525</x:v>
      </x:c>
      <x:c r="G468" s="14" t="n">
        <x:v>342177465.8</x:v>
      </x:c>
      <x:c r="H468" t="n">
        <x:v>0</x:v>
      </x:c>
      <x:c r="I468" t="n">
        <x:f>IF(H468=0,1,0)</x:f>
        <x:v>1</x:v>
      </x:c>
      <x:c r="J468" s="16" t="n">
        <x:f>F468/E468</x:f>
        <x:v>21.369572396760667</x:v>
      </x:c>
      <x:c r="K468" s="16" t="n">
        <x:f>G468/1000/E468</x:f>
        <x:v>2.4566184150824193</x:v>
      </x:c>
    </x:row>
    <x:row r="469">
      <x:c r="A469" s="8" t="d">
        <x:v>2025-04-08T00:00:00.000Z</x:v>
      </x:c>
      <x:c r="B469" t="str">
        <x:v>Moderate</x:v>
      </x:c>
      <x:c r="C469" t="str">
        <x:v>Workday</x:v>
      </x:c>
      <x:c r="D469" s="10" t="n">
        <x:v>29.48</x:v>
      </x:c>
      <x:c r="E469" s="12" t="n">
        <x:v>147585</x:v>
      </x:c>
      <x:c r="F469" s="12" t="n">
        <x:v>3120453</x:v>
      </x:c>
      <x:c r="G469" s="14" t="n">
        <x:v>358519292.07</x:v>
      </x:c>
      <x:c r="H469" t="n">
        <x:v>0</x:v>
      </x:c>
      <x:c r="I469" t="n">
        <x:f>IF(H469=0,1,0)</x:f>
        <x:v>1</x:v>
      </x:c>
      <x:c r="J469" s="16" t="n">
        <x:f>F469/E469</x:f>
        <x:v>21.1434292102856</x:v>
      </x:c>
      <x:c r="K469" s="16" t="n">
        <x:f>G469/1000/E469</x:f>
        <x:v>2.4292393676186603</x:v>
      </x:c>
    </x:row>
    <x:row r="470">
      <x:c r="A470" s="8" t="d">
        <x:v>2025-04-09T00:00:00.000Z</x:v>
      </x:c>
      <x:c r="B470" t="str">
        <x:v>Moderate</x:v>
      </x:c>
      <x:c r="C470" t="str">
        <x:v>Workday</x:v>
      </x:c>
      <x:c r="D470" s="10" t="n">
        <x:v>25.44</x:v>
      </x:c>
      <x:c r="E470" s="12" t="n">
        <x:v>124364</x:v>
      </x:c>
      <x:c r="F470" s="12" t="n">
        <x:v>2371867</x:v>
      </x:c>
      <x:c r="G470" s="14" t="n">
        <x:v>270162350.05</x:v>
      </x:c>
      <x:c r="H470" t="n">
        <x:v>0</x:v>
      </x:c>
      <x:c r="I470" t="n">
        <x:f>IF(H470=0,1,0)</x:f>
        <x:v>1</x:v>
      </x:c>
      <x:c r="J470" s="16" t="n">
        <x:f>F470/E470</x:f>
        <x:v>19.071974204753786</x:v>
      </x:c>
      <x:c r="K470" s="16" t="n">
        <x:f>G470/1000/E470</x:f>
        <x:v>2.1723517259817955</x:v>
      </x:c>
    </x:row>
    <x:row r="471">
      <x:c r="A471" s="8" t="d">
        <x:v>2025-04-10T00:00:00.000Z</x:v>
      </x:c>
      <x:c r="B471" t="str">
        <x:v>Moderate</x:v>
      </x:c>
      <x:c r="C471" t="str">
        <x:v>Workday</x:v>
      </x:c>
      <x:c r="D471" s="10" t="n">
        <x:v>30.88</x:v>
      </x:c>
      <x:c r="E471" s="12" t="n">
        <x:v>149693</x:v>
      </x:c>
      <x:c r="F471" s="12" t="n">
        <x:v>3168463</x:v>
      </x:c>
      <x:c r="G471" s="14" t="n">
        <x:v>363846417.81</x:v>
      </x:c>
      <x:c r="H471" t="n">
        <x:v>0</x:v>
      </x:c>
      <x:c r="I471" t="n">
        <x:f>IF(H471=0,1,0)</x:f>
        <x:v>1</x:v>
      </x:c>
      <x:c r="J471" s="16" t="n">
        <x:f>F471/E471</x:f>
        <x:v>21.16640724683185</x:v>
      </x:c>
      <x:c r="K471" s="16" t="n">
        <x:f>G471/1000/E471</x:f>
        <x:v>2.430617449112517</x:v>
      </x:c>
    </x:row>
    <x:row r="472">
      <x:c r="A472" s="8" t="d">
        <x:v>2025-04-11T00:00:00.000Z</x:v>
      </x:c>
      <x:c r="B472" t="str">
        <x:v>Bad</x:v>
      </x:c>
      <x:c r="C472" t="str">
        <x:v>Workday</x:v>
      </x:c>
      <x:c r="D472" s="10" t="n">
        <x:v>37.32</x:v>
      </x:c>
      <x:c r="E472" s="12" t="n">
        <x:v>167343</x:v>
      </x:c>
      <x:c r="F472" s="12" t="n">
        <x:v>3965541</x:v>
      </x:c>
      <x:c r="G472" s="14" t="n">
        <x:v>446106190.39</x:v>
      </x:c>
      <x:c r="H472" t="n">
        <x:v>0</x:v>
      </x:c>
      <x:c r="I472" t="n">
        <x:f>IF(H472=0,1,0)</x:f>
        <x:v>1</x:v>
      </x:c>
      <x:c r="J472" s="16" t="n">
        <x:f>F472/E472</x:f>
        <x:v>23.69708323622739</x:v>
      </x:c>
      <x:c r="K472" s="16" t="n">
        <x:f>G472/1000/E472</x:f>
        <x:v>2.6658192478322964</x:v>
      </x:c>
    </x:row>
    <x:row r="473">
      <x:c r="A473" s="8" t="d">
        <x:v>2025-04-12T00:00:00.000Z</x:v>
      </x:c>
      <x:c r="B473" t="str">
        <x:v>Moderate</x:v>
      </x:c>
      <x:c r="C473" t="str">
        <x:v>Day off</x:v>
      </x:c>
      <x:c r="D473" s="10" t="n">
        <x:v>22.28</x:v>
      </x:c>
      <x:c r="E473" s="12" t="n">
        <x:v>53027</x:v>
      </x:c>
      <x:c r="F473" s="12" t="n">
        <x:v>1193152</x:v>
      </x:c>
      <x:c r="G473" s="14" t="n">
        <x:v>129050226.25</x:v>
      </x:c>
      <x:c r="H473" t="n">
        <x:v>0</x:v>
      </x:c>
      <x:c r="I473" t="n">
        <x:f>IF(H473=0,1,0)</x:f>
        <x:v>1</x:v>
      </x:c>
      <x:c r="J473" s="16" t="n">
        <x:f>F473/E473</x:f>
        <x:v>22.50083919512701</x:v>
      </x:c>
      <x:c r="K473" s="16" t="n">
        <x:f>G473/1000/E473</x:f>
        <x:v>2.433670135025553</x:v>
      </x:c>
    </x:row>
    <x:row r="474">
      <x:c r="A474" s="8" t="d">
        <x:v>2025-04-13T00:00:00.000Z</x:v>
      </x:c>
      <x:c r="B474" t="str">
        <x:v>Good</x:v>
      </x:c>
      <x:c r="C474" t="str">
        <x:v>Day off</x:v>
      </x:c>
      <x:c r="D474" s="10" t="n">
        <x:v>9.04</x:v>
      </x:c>
      <x:c r="E474" s="12" t="n">
        <x:v>41925</x:v>
      </x:c>
      <x:c r="F474" s="12" t="n">
        <x:v>832303</x:v>
      </x:c>
      <x:c r="G474" s="14" t="n">
        <x:v>88446214.22</x:v>
      </x:c>
      <x:c r="H474" t="n">
        <x:v>0</x:v>
      </x:c>
      <x:c r="I474" t="n">
        <x:f>IF(H474=0,1,0)</x:f>
        <x:v>1</x:v>
      </x:c>
      <x:c r="J474" s="16" t="n">
        <x:f>F474/E474</x:f>
        <x:v>19.852188431723317</x:v>
      </x:c>
      <x:c r="K474" s="16" t="n">
        <x:f>G474/1000/E474</x:f>
        <x:v>2.10962943875969</x:v>
      </x:c>
    </x:row>
    <x:row r="475">
      <x:c r="A475" s="8" t="d">
        <x:v>2025-04-14T00:00:00.000Z</x:v>
      </x:c>
      <x:c r="B475" t="str">
        <x:v>Good</x:v>
      </x:c>
      <x:c r="C475" t="str">
        <x:v>Workday</x:v>
      </x:c>
      <x:c r="D475" s="10" t="n">
        <x:v>9.32</x:v>
      </x:c>
      <x:c r="E475" s="12" t="n">
        <x:v>41889</x:v>
      </x:c>
      <x:c r="F475" s="12" t="n">
        <x:v>648782</x:v>
      </x:c>
      <x:c r="G475" s="14" t="n">
        <x:v>73390722.81</x:v>
      </x:c>
      <x:c r="H475" t="n">
        <x:v>0</x:v>
      </x:c>
      <x:c r="I475" t="n">
        <x:f>IF(H475=0,1,0)</x:f>
        <x:v>1</x:v>
      </x:c>
      <x:c r="J475" s="16" t="n">
        <x:f>F475/E475</x:f>
        <x:v>15.488123373678054</x:v>
      </x:c>
      <x:c r="K475" s="16" t="n">
        <x:f>G475/1000/E475</x:f>
        <x:v>1.7520285232399915</x:v>
      </x:c>
    </x:row>
    <x:row r="476">
      <x:c r="A476" s="8" t="d">
        <x:v>2025-04-15T00:00:00.000Z</x:v>
      </x:c>
      <x:c r="B476" t="str">
        <x:v>Good</x:v>
      </x:c>
      <x:c r="C476" t="str">
        <x:v>Workday</x:v>
      </x:c>
      <x:c r="D476" s="10" t="n">
        <x:v>14.92</x:v>
      </x:c>
      <x:c r="E476" s="12" t="n">
        <x:v>124284</x:v>
      </x:c>
      <x:c r="F476" s="12" t="n">
        <x:v>2498789</x:v>
      </x:c>
      <x:c r="G476" s="14" t="n">
        <x:v>281358645.14</x:v>
      </x:c>
      <x:c r="H476" t="n">
        <x:v>0</x:v>
      </x:c>
      <x:c r="I476" t="n">
        <x:f>IF(H476=0,1,0)</x:f>
        <x:v>1</x:v>
      </x:c>
      <x:c r="J476" s="16" t="n">
        <x:f>F476/E476</x:f>
        <x:v>20.105476167487367</x:v>
      </x:c>
      <x:c r="K476" s="16" t="n">
        <x:f>G476/1000/E476</x:f>
        <x:v>2.2638364161114866</x:v>
      </x:c>
    </x:row>
    <x:row r="477">
      <x:c r="A477" s="8" t="d">
        <x:v>2025-04-16T00:00:00.000Z</x:v>
      </x:c>
      <x:c r="B477" t="str">
        <x:v>Moderate</x:v>
      </x:c>
      <x:c r="C477" t="str">
        <x:v>Workday</x:v>
      </x:c>
      <x:c r="D477" s="10" t="n">
        <x:v>23.84</x:v>
      </x:c>
      <x:c r="E477" s="12" t="n">
        <x:v>148385</x:v>
      </x:c>
      <x:c r="F477" s="12" t="n">
        <x:v>3083998</x:v>
      </x:c>
      <x:c r="G477" s="14" t="n">
        <x:v>357609852.53</x:v>
      </x:c>
      <x:c r="H477" t="n">
        <x:v>0</x:v>
      </x:c>
      <x:c r="I477" t="n">
        <x:f>IF(H477=0,1,0)</x:f>
        <x:v>1</x:v>
      </x:c>
      <x:c r="J477" s="16" t="n">
        <x:f>F477/E477</x:f>
        <x:v>20.78375846615224</x:v>
      </x:c>
      <x:c r="K477" s="16" t="n">
        <x:f>G477/1000/E477</x:f>
        <x:v>2.4100134955015666</x:v>
      </x:c>
    </x:row>
    <x:row r="478">
      <x:c r="A478" s="8" t="d">
        <x:v>2025-04-17T00:00:00.000Z</x:v>
      </x:c>
      <x:c r="B478" t="str">
        <x:v>Moderate</x:v>
      </x:c>
      <x:c r="C478" t="str">
        <x:v>Workday</x:v>
      </x:c>
      <x:c r="D478" s="10" t="n">
        <x:v>24.64</x:v>
      </x:c>
      <x:c r="E478" s="12" t="n">
        <x:v>152474</x:v>
      </x:c>
      <x:c r="F478" s="12" t="n">
        <x:v>3166685</x:v>
      </x:c>
      <x:c r="G478" s="14" t="n">
        <x:v>368394943.92</x:v>
      </x:c>
      <x:c r="H478" t="n">
        <x:v>0</x:v>
      </x:c>
      <x:c r="I478" t="n">
        <x:f>IF(H478=0,1,0)</x:f>
        <x:v>1</x:v>
      </x:c>
      <x:c r="J478" s="16" t="n">
        <x:f>F478/E478</x:f>
        <x:v>20.768688432126133</x:v>
      </x:c>
      <x:c r="K478" s="16" t="n">
        <x:f>G478/1000/E478</x:f>
        <x:v>2.4161164783504074</x:v>
      </x:c>
    </x:row>
    <x:row r="479">
      <x:c r="A479" s="8" t="d">
        <x:v>2025-04-18T00:00:00.000Z</x:v>
      </x:c>
      <x:c r="B479" t="str">
        <x:v>Moderate</x:v>
      </x:c>
      <x:c r="C479" t="str">
        <x:v>Workday</x:v>
      </x:c>
      <x:c r="D479" s="10" t="n">
        <x:v>32.88</x:v>
      </x:c>
      <x:c r="E479" s="12" t="n">
        <x:v>154988</x:v>
      </x:c>
      <x:c r="F479" s="12" t="n">
        <x:v>3298712</x:v>
      </x:c>
      <x:c r="G479" s="14" t="n">
        <x:v>381882810.76</x:v>
      </x:c>
      <x:c r="H479" t="n">
        <x:v>0</x:v>
      </x:c>
      <x:c r="I479" t="n">
        <x:f>IF(H479=0,1,0)</x:f>
        <x:v>1</x:v>
      </x:c>
      <x:c r="J479" s="16" t="n">
        <x:f>F479/E479</x:f>
        <x:v>21.283660670503522</x:v>
      </x:c>
      <x:c r="K479" s="16" t="n">
        <x:f>G479/1000/E479</x:f>
        <x:v>2.4639508269027277</x:v>
      </x:c>
    </x:row>
    <x:row r="480">
      <x:c r="A480" s="8" t="d">
        <x:v>2025-04-19T00:00:00.000Z</x:v>
      </x:c>
      <x:c r="B480" t="str">
        <x:v>Moderate</x:v>
      </x:c>
      <x:c r="C480" t="str">
        <x:v>Day off</x:v>
      </x:c>
      <x:c r="D480" s="10" t="n">
        <x:v>19.6</x:v>
      </x:c>
      <x:c r="E480" s="12" t="n">
        <x:v>41988</x:v>
      </x:c>
      <x:c r="F480" s="12" t="n">
        <x:v>835472</x:v>
      </x:c>
      <x:c r="G480" s="14" t="n">
        <x:v>90372156.34</x:v>
      </x:c>
      <x:c r="H480" t="n">
        <x:v>0</x:v>
      </x:c>
      <x:c r="I480" t="n">
        <x:f>IF(H480=0,1,0)</x:f>
        <x:v>1</x:v>
      </x:c>
      <x:c r="J480" s="16" t="n">
        <x:f>F480/E480</x:f>
        <x:v>19.89787558350005</x:v>
      </x:c>
      <x:c r="K480" s="16" t="n">
        <x:f>G480/1000/E480</x:f>
        <x:v>2.1523329603696295</x:v>
      </x:c>
    </x:row>
    <x:row r="481">
      <x:c r="A481" s="8" t="d">
        <x:v>2025-04-20T00:00:00.000Z</x:v>
      </x:c>
      <x:c r="B481" t="str">
        <x:v>Good</x:v>
      </x:c>
      <x:c r="C481" t="str">
        <x:v>Day off</x:v>
      </x:c>
      <x:c r="D481" s="10" t="n">
        <x:v>14.04</x:v>
      </x:c>
      <x:c r="E481" s="12" t="n">
        <x:v>136745</x:v>
      </x:c>
      <x:c r="F481" s="12" t="n">
        <x:v>4147522</x:v>
      </x:c>
      <x:c r="G481" s="14" t="n">
        <x:v>468153749.01</x:v>
      </x:c>
      <x:c r="H481" t="n">
        <x:v>0</x:v>
      </x:c>
      <x:c r="I481" t="n">
        <x:f>IF(H481=0,1,0)</x:f>
        <x:v>1</x:v>
      </x:c>
      <x:c r="J481" s="16" t="n">
        <x:f>F481/E481</x:f>
        <x:v>30.330337489487732</x:v>
      </x:c>
      <x:c r="K481" s="16" t="n">
        <x:f>G481/1000/E481</x:f>
        <x:v>3.423552956305532</x:v>
      </x:c>
    </x:row>
    <x:row r="482">
      <x:c r="A482" s="8" t="d">
        <x:v>2025-04-21T00:00:00.000Z</x:v>
      </x:c>
      <x:c r="B482" t="str">
        <x:v>Good</x:v>
      </x:c>
      <x:c r="C482" t="str">
        <x:v>Workday</x:v>
      </x:c>
      <x:c r="D482" s="10" t="n">
        <x:v>14.48</x:v>
      </x:c>
      <x:c r="E482" s="12" t="n">
        <x:v>158263</x:v>
      </x:c>
      <x:c r="F482" s="12" t="n">
        <x:v>3386611</x:v>
      </x:c>
      <x:c r="G482" s="14" t="n">
        <x:v>403182603.3</x:v>
      </x:c>
      <x:c r="H482" t="n">
        <x:v>0</x:v>
      </x:c>
      <x:c r="I482" t="n">
        <x:f>IF(H482=0,1,0)</x:f>
        <x:v>1</x:v>
      </x:c>
      <x:c r="J482" s="16" t="n">
        <x:f>F482/E482</x:f>
        <x:v>21.398627600892187</x:v>
      </x:c>
      <x:c r="K482" s="16" t="n">
        <x:f>G482/1000/E482</x:f>
        <x:v>2.5475480895724205</x:v>
      </x:c>
    </x:row>
    <x:row r="483">
      <x:c r="A483" s="8" t="d">
        <x:v>2025-04-22T00:00:00.000Z</x:v>
      </x:c>
      <x:c r="B483" t="str">
        <x:v>Good</x:v>
      </x:c>
      <x:c r="C483" t="str">
        <x:v>Workday</x:v>
      </x:c>
      <x:c r="D483" s="10" t="n">
        <x:v>10.76</x:v>
      </x:c>
      <x:c r="E483" s="12" t="n">
        <x:v>45307</x:v>
      </x:c>
      <x:c r="F483" s="12" t="n">
        <x:v>895720</x:v>
      </x:c>
      <x:c r="G483" s="14" t="n">
        <x:v>102017558.87</x:v>
      </x:c>
      <x:c r="H483" t="n">
        <x:v>0</x:v>
      </x:c>
      <x:c r="I483" t="n">
        <x:f>IF(H483=0,1,0)</x:f>
        <x:v>1</x:v>
      </x:c>
      <x:c r="J483" s="16" t="n">
        <x:f>F483/E483</x:f>
        <x:v>19.77001346370318</x:v>
      </x:c>
      <x:c r="K483" s="16" t="n">
        <x:f>G483/1000/E483</x:f>
        <x:v>2.2516952980775597</x:v>
      </x:c>
    </x:row>
    <x:row r="484">
      <x:c r="A484" s="8" t="d">
        <x:v>2025-04-23T00:00:00.000Z</x:v>
      </x:c>
      <x:c r="B484" t="str">
        <x:v>Good</x:v>
      </x:c>
      <x:c r="C484" t="str">
        <x:v>Workday</x:v>
      </x:c>
      <x:c r="D484" s="10" t="n">
        <x:v>6.6</x:v>
      </x:c>
      <x:c r="E484" s="12" t="n">
        <x:v>158598</x:v>
      </x:c>
      <x:c r="F484" s="12" t="n">
        <x:v>3484133</x:v>
      </x:c>
      <x:c r="G484" s="14" t="n">
        <x:v>403254178.56</x:v>
      </x:c>
      <x:c r="H484" t="n">
        <x:v>0</x:v>
      </x:c>
      <x:c r="I484" t="n">
        <x:f>IF(H484=0,1,0)</x:f>
        <x:v>1</x:v>
      </x:c>
      <x:c r="J484" s="16" t="n">
        <x:f>F484/E484</x:f>
        <x:v>21.968328730501014</x:v>
      </x:c>
      <x:c r="K484" s="16" t="n">
        <x:f>G484/1000/E484</x:f>
        <x:v>2.542618308932017</x:v>
      </x:c>
    </x:row>
    <x:row r="485">
      <x:c r="A485" s="8" t="d">
        <x:v>2025-04-24T00:00:00.000Z</x:v>
      </x:c>
      <x:c r="B485" t="str">
        <x:v>Moderate</x:v>
      </x:c>
      <x:c r="C485" t="str">
        <x:v>Workday</x:v>
      </x:c>
      <x:c r="D485" s="10" t="n">
        <x:v>27.24</x:v>
      </x:c>
      <x:c r="E485" s="12" t="n">
        <x:v>150523</x:v>
      </x:c>
      <x:c r="F485" s="12" t="n">
        <x:v>3081531</x:v>
      </x:c>
      <x:c r="G485" s="14" t="n">
        <x:v>359028429.87</x:v>
      </x:c>
      <x:c r="H485" t="n">
        <x:v>0</x:v>
      </x:c>
      <x:c r="I485" t="n">
        <x:f>IF(H485=0,1,0)</x:f>
        <x:v>1</x:v>
      </x:c>
      <x:c r="J485" s="16" t="n">
        <x:f>F485/E485</x:f>
        <x:v>20.4721604007361</x:v>
      </x:c>
      <x:c r="K485" s="16" t="n">
        <x:f>G485/1000/E485</x:f>
        <x:v>2.3852064459916424</x:v>
      </x:c>
    </x:row>
    <x:row r="486">
      <x:c r="A486" s="8" t="d">
        <x:v>2025-04-25T00:00:00.000Z</x:v>
      </x:c>
      <x:c r="B486" t="str">
        <x:v>Moderate</x:v>
      </x:c>
      <x:c r="C486" t="str">
        <x:v>Workday</x:v>
      </x:c>
      <x:c r="D486" s="10" t="n">
        <x:v>24.28</x:v>
      </x:c>
      <x:c r="E486" s="12" t="n">
        <x:v>148019</x:v>
      </x:c>
      <x:c r="F486" s="12" t="n">
        <x:v>3051297</x:v>
      </x:c>
      <x:c r="G486" s="14" t="n">
        <x:v>349693246.33</x:v>
      </x:c>
      <x:c r="H486" t="n">
        <x:v>0</x:v>
      </x:c>
      <x:c r="I486" t="n">
        <x:f>IF(H486=0,1,0)</x:f>
        <x:v>1</x:v>
      </x:c>
      <x:c r="J486" s="16" t="n">
        <x:f>F486/E486</x:f>
        <x:v>20.614225200818815</x:v>
      </x:c>
      <x:c r="K486" s="16" t="n">
        <x:f>G486/1000/E486</x:f>
        <x:v>2.362488912436917</x:v>
      </x:c>
    </x:row>
    <x:row r="487">
      <x:c r="A487" s="8" t="d">
        <x:v>2025-04-26T00:00:00.000Z</x:v>
      </x:c>
      <x:c r="B487" t="str">
        <x:v>Good</x:v>
      </x:c>
      <x:c r="C487" t="str">
        <x:v>Day off</x:v>
      </x:c>
      <x:c r="D487" s="10" t="n">
        <x:v>14</x:v>
      </x:c>
      <x:c r="E487" s="12" t="n">
        <x:v>133576</x:v>
      </x:c>
      <x:c r="F487" s="12" t="n">
        <x:v>3634204</x:v>
      </x:c>
      <x:c r="G487" s="14" t="n">
        <x:v>400927074.5</x:v>
      </x:c>
      <x:c r="H487" t="n">
        <x:v>0</x:v>
      </x:c>
      <x:c r="I487" t="n">
        <x:f>IF(H487=0,1,0)</x:f>
        <x:v>1</x:v>
      </x:c>
      <x:c r="J487" s="16" t="n">
        <x:f>F487/E487</x:f>
        <x:v>27.207013235910644</x:v>
      </x:c>
      <x:c r="K487" s="16" t="n">
        <x:f>G487/1000/E487</x:f>
        <x:v>3.0014903463196982</x:v>
      </x:c>
    </x:row>
    <x:row r="488">
      <x:c r="A488" s="8" t="d">
        <x:v>2025-04-27T00:00:00.000Z</x:v>
      </x:c>
      <x:c r="B488" t="str">
        <x:v>Good</x:v>
      </x:c>
      <x:c r="C488" t="str">
        <x:v>Day off</x:v>
      </x:c>
      <x:c r="D488" s="10" t="n">
        <x:v>9.92</x:v>
      </x:c>
      <x:c r="E488" s="12" t="n">
        <x:v>116046</x:v>
      </x:c>
      <x:c r="F488" s="12" t="n">
        <x:v>3122147</x:v>
      </x:c>
      <x:c r="G488" s="14" t="n">
        <x:v>354216754.22</x:v>
      </x:c>
      <x:c r="H488" t="n">
        <x:v>0</x:v>
      </x:c>
      <x:c r="I488" t="n">
        <x:f>IF(H488=0,1,0)</x:f>
        <x:v>1</x:v>
      </x:c>
      <x:c r="J488" s="16" t="n">
        <x:f>F488/E488</x:f>
        <x:v>26.904391362046084</x:v>
      </x:c>
      <x:c r="K488" s="16" t="n">
        <x:f>G488/1000/E488</x:f>
        <x:v>3.0523822813367114</x:v>
      </x:c>
    </x:row>
    <x:row r="489">
      <x:c r="A489" s="8" t="d">
        <x:v>2025-04-28T00:00:00.000Z</x:v>
      </x:c>
      <x:c r="B489" t="str">
        <x:v>Moderate</x:v>
      </x:c>
      <x:c r="C489" t="str">
        <x:v>Workday</x:v>
      </x:c>
      <x:c r="D489" s="10" t="n">
        <x:v>15.52</x:v>
      </x:c>
      <x:c r="E489" s="12" t="n">
        <x:v>151257</x:v>
      </x:c>
      <x:c r="F489" s="12" t="n">
        <x:v>3135076</x:v>
      </x:c>
      <x:c r="G489" s="14" t="n">
        <x:v>365814543.69</x:v>
      </x:c>
      <x:c r="H489" t="n">
        <x:v>0</x:v>
      </x:c>
      <x:c r="I489" t="n">
        <x:f>IF(H489=0,1,0)</x:f>
        <x:v>1</x:v>
      </x:c>
      <x:c r="J489" s="16" t="n">
        <x:f>F489/E489</x:f>
        <x:v>20.72681594901393</x:v>
      </x:c>
      <x:c r="K489" s="16" t="n">
        <x:f>G489/1000/E489</x:f>
        <x:v>2.4184966229000975</x:v>
      </x:c>
    </x:row>
    <x:row r="490">
      <x:c r="A490" s="8" t="d">
        <x:v>2025-04-29T00:00:00.000Z</x:v>
      </x:c>
      <x:c r="B490" t="str">
        <x:v>Moderate</x:v>
      </x:c>
      <x:c r="C490" t="str">
        <x:v>Workday</x:v>
      </x:c>
      <x:c r="D490" s="10" t="n">
        <x:v>24.56</x:v>
      </x:c>
      <x:c r="E490" s="12" t="n">
        <x:v>157192</x:v>
      </x:c>
      <x:c r="F490" s="12" t="n">
        <x:v>3245418</x:v>
      </x:c>
      <x:c r="G490" s="14" t="n">
        <x:v>381373309</x:v>
      </x:c>
      <x:c r="H490" t="n">
        <x:v>0</x:v>
      </x:c>
      <x:c r="I490" t="n">
        <x:f>IF(H490=0,1,0)</x:f>
        <x:v>1</x:v>
      </x:c>
      <x:c r="J490" s="16" t="n">
        <x:f>F490/E490</x:f>
        <x:v>20.6462033691282</x:v>
      </x:c>
      <x:c r="K490" s="16" t="n">
        <x:f>G490/1000/E490</x:f>
        <x:v>2.426162330144028</x:v>
      </x:c>
    </x:row>
    <x:row r="491">
      <x:c r="A491" s="8" t="d">
        <x:v>2025-04-30T00:00:00.000Z</x:v>
      </x:c>
      <x:c r="B491" t="str">
        <x:v>Moderate</x:v>
      </x:c>
      <x:c r="C491" t="str">
        <x:v>Workday</x:v>
      </x:c>
      <x:c r="D491" s="10" t="n">
        <x:v>20.52</x:v>
      </x:c>
      <x:c r="E491" s="12" t="n">
        <x:v>165631</x:v>
      </x:c>
      <x:c r="F491" s="12" t="n">
        <x:v>3564562</x:v>
      </x:c>
      <x:c r="G491" s="14" t="n">
        <x:v>413259318.09</x:v>
      </x:c>
      <x:c r="H491" t="n">
        <x:v>0</x:v>
      </x:c>
      <x:c r="I491" t="n">
        <x:f>IF(H491=0,1,0)</x:f>
        <x:v>1</x:v>
      </x:c>
      <x:c r="J491" s="16" t="n">
        <x:f>F491/E491</x:f>
        <x:v>21.521104141133</x:v>
      </x:c>
      <x:c r="K491" s="16" t="n">
        <x:f>G491/1000/E491</x:f>
        <x:v>2.4950602127017283</x:v>
      </x:c>
    </x:row>
    <x:row r="492">
      <x:c r="A492" s="8" t="d">
        <x:v>2025-05-01T00:00:00.000Z</x:v>
      </x:c>
      <x:c r="B492" t="str">
        <x:v>Moderate</x:v>
      </x:c>
      <x:c r="C492" t="str">
        <x:v>Workday</x:v>
      </x:c>
      <x:c r="D492" s="10" t="n">
        <x:v>17.8</x:v>
      </x:c>
      <x:c r="E492" s="12" t="n">
        <x:v>53546</x:v>
      </x:c>
      <x:c r="F492" s="12" t="n">
        <x:v>1054923</x:v>
      </x:c>
      <x:c r="G492" s="14" t="n">
        <x:v>123029095.15</x:v>
      </x:c>
      <x:c r="H492" t="n">
        <x:v>0</x:v>
      </x:c>
      <x:c r="I492" t="n">
        <x:f>IF(H492=0,1,0)</x:f>
        <x:v>1</x:v>
      </x:c>
      <x:c r="J492" s="16" t="n">
        <x:f>F492/E492</x:f>
        <x:v>19.7012475254921</x:v>
      </x:c>
      <x:c r="K492" s="16" t="n">
        <x:f>G492/1000/E492</x:f>
        <x:v>2.2976337196055727</x:v>
      </x:c>
    </x:row>
    <x:row r="493">
      <x:c r="A493" s="8" t="d">
        <x:v>2025-05-02T00:00:00.000Z</x:v>
      </x:c>
      <x:c r="B493" t="str">
        <x:v>Good</x:v>
      </x:c>
      <x:c r="C493" t="str">
        <x:v>Workday</x:v>
      </x:c>
      <x:c r="D493" s="10" t="n">
        <x:v>11.88</x:v>
      </x:c>
      <x:c r="E493" s="12" t="n">
        <x:v>144932</x:v>
      </x:c>
      <x:c r="F493" s="12" t="n">
        <x:v>3279298</x:v>
      </x:c>
      <x:c r="G493" s="14" t="n">
        <x:v>367974485.11</x:v>
      </x:c>
      <x:c r="H493" t="n">
        <x:v>0</x:v>
      </x:c>
      <x:c r="I493" t="n">
        <x:f>IF(H493=0,1,0)</x:f>
        <x:v>1</x:v>
      </x:c>
      <x:c r="J493" s="16" t="n">
        <x:f>F493/E493</x:f>
        <x:v>22.626459305053405</x:v>
      </x:c>
      <x:c r="K493" s="16" t="n">
        <x:f>G493/1000/E493</x:f>
        <x:v>2.53894574772997</x:v>
      </x:c>
    </x:row>
    <x:row r="494">
      <x:c r="A494" s="8" t="d">
        <x:v>2025-05-03T00:00:00.000Z</x:v>
      </x:c>
      <x:c r="B494" t="str">
        <x:v>Good</x:v>
      </x:c>
      <x:c r="C494" t="str">
        <x:v>Day off</x:v>
      </x:c>
      <x:c r="D494" s="10" t="n">
        <x:v>10.24</x:v>
      </x:c>
      <x:c r="E494" s="12" t="n">
        <x:v>62746</x:v>
      </x:c>
      <x:c r="F494" s="12" t="n">
        <x:v>1488223</x:v>
      </x:c>
      <x:c r="G494" s="14" t="n">
        <x:v>164166230.98</x:v>
      </x:c>
      <x:c r="H494" t="n">
        <x:v>0</x:v>
      </x:c>
      <x:c r="I494" t="n">
        <x:f>IF(H494=0,1,0)</x:f>
        <x:v>1</x:v>
      </x:c>
      <x:c r="J494" s="16" t="n">
        <x:f>F494/E494</x:f>
        <x:v>23.718213113186497</x:v>
      </x:c>
      <x:c r="K494" s="16" t="n">
        <x:f>G494/1000/E494</x:f>
        <x:v>2.616361696044369</x:v>
      </x:c>
    </x:row>
    <x:row r="495">
      <x:c r="A495" s="8" t="d">
        <x:v>2025-05-04T00:00:00.000Z</x:v>
      </x:c>
      <x:c r="B495" t="str">
        <x:v>Good</x:v>
      </x:c>
      <x:c r="C495" t="str">
        <x:v>Day off</x:v>
      </x:c>
      <x:c r="D495" s="10" t="n">
        <x:v>12.96</x:v>
      </x:c>
      <x:c r="E495" s="12" t="n">
        <x:v>111340</x:v>
      </x:c>
      <x:c r="F495" s="12" t="n">
        <x:v>3277154</x:v>
      </x:c>
      <x:c r="G495" s="14" t="n">
        <x:v>366101046.72</x:v>
      </x:c>
      <x:c r="H495" t="n">
        <x:v>0</x:v>
      </x:c>
      <x:c r="I495" t="n">
        <x:f>IF(H495=0,1,0)</x:f>
        <x:v>1</x:v>
      </x:c>
      <x:c r="J495" s="16" t="n">
        <x:f>F495/E495</x:f>
        <x:v>29.43375246991198</x:v>
      </x:c>
      <x:c r="K495" s="16" t="n">
        <x:f>G495/1000/E495</x:f>
        <x:v>3.2881358606071496</x:v>
      </x:c>
    </x:row>
    <x:row r="496">
      <x:c r="A496" s="8" t="d">
        <x:v>2025-05-05T00:00:00.000Z</x:v>
      </x:c>
      <x:c r="B496" t="str">
        <x:v>Good</x:v>
      </x:c>
      <x:c r="C496" t="str">
        <x:v>Day off</x:v>
      </x:c>
      <x:c r="D496" s="10" t="n">
        <x:v>14.52</x:v>
      </x:c>
      <x:c r="E496" s="12" t="n">
        <x:v>88946</x:v>
      </x:c>
      <x:c r="F496" s="12" t="n">
        <x:v>2283993</x:v>
      </x:c>
      <x:c r="G496" s="14" t="n">
        <x:v>261825574.74</x:v>
      </x:c>
      <x:c r="H496" t="n">
        <x:v>0</x:v>
      </x:c>
      <x:c r="I496" t="n">
        <x:f>IF(H496=0,1,0)</x:f>
        <x:v>1</x:v>
      </x:c>
      <x:c r="J496" s="16" t="n">
        <x:f>F496/E496</x:f>
        <x:v>25.678422863310324</x:v>
      </x:c>
      <x:c r="K496" s="16" t="n">
        <x:f>G496/1000/E496</x:f>
        <x:v>2.9436464229982238</x:v>
      </x:c>
    </x:row>
    <x:row r="497">
      <x:c r="A497" s="8" t="d">
        <x:v>2025-05-06T00:00:00.000Z</x:v>
      </x:c>
      <x:c r="B497" t="str">
        <x:v>Good</x:v>
      </x:c>
      <x:c r="C497" t="str">
        <x:v>Day off</x:v>
      </x:c>
      <x:c r="D497" s="10" t="n">
        <x:v>9.72</x:v>
      </x:c>
      <x:c r="E497" s="12" t="n">
        <x:v>121891</x:v>
      </x:c>
      <x:c r="F497" s="12" t="n">
        <x:v>3370849</x:v>
      </x:c>
      <x:c r="G497" s="14" t="n">
        <x:v>381050149.31</x:v>
      </x:c>
      <x:c r="H497" t="n">
        <x:v>0</x:v>
      </x:c>
      <x:c r="I497" t="n">
        <x:f>IF(H497=0,1,0)</x:f>
        <x:v>1</x:v>
      </x:c>
      <x:c r="J497" s="16" t="n">
        <x:f>F497/E497</x:f>
        <x:v>27.654617650195668</x:v>
      </x:c>
      <x:c r="K497" s="16" t="n">
        <x:f>G497/1000/E497</x:f>
        <x:v>3.1261549196413188</x:v>
      </x:c>
    </x:row>
    <x:row r="498">
      <x:c r="A498" s="8" t="d">
        <x:v>2025-05-07T00:00:00.000Z</x:v>
      </x:c>
      <x:c r="B498" t="str">
        <x:v>Moderate</x:v>
      </x:c>
      <x:c r="C498" t="str">
        <x:v>Workday</x:v>
      </x:c>
      <x:c r="D498" s="10" t="n">
        <x:v>15.88</x:v>
      </x:c>
      <x:c r="E498" s="12" t="n">
        <x:v>153648</x:v>
      </x:c>
      <x:c r="F498" s="12" t="n">
        <x:v>3174592</x:v>
      </x:c>
      <x:c r="G498" s="14" t="n">
        <x:v>369001180.67</x:v>
      </x:c>
      <x:c r="H498" t="n">
        <x:v>0</x:v>
      </x:c>
      <x:c r="I498" t="n">
        <x:f>IF(H498=0,1,0)</x:f>
        <x:v>1</x:v>
      </x:c>
      <x:c r="J498" s="16" t="n">
        <x:f>F498/E498</x:f>
        <x:v>20.66145996042903</x:v>
      </x:c>
      <x:c r="K498" s="16" t="n">
        <x:f>G498/1000/E498</x:f>
        <x:v>2.4016009363610333</x:v>
      </x:c>
    </x:row>
    <x:row r="499">
      <x:c r="A499" s="8" t="d">
        <x:v>2025-05-08T00:00:00.000Z</x:v>
      </x:c>
      <x:c r="B499" t="str">
        <x:v>Moderate</x:v>
      </x:c>
      <x:c r="C499" t="str">
        <x:v>Workday</x:v>
      </x:c>
      <x:c r="D499" s="10" t="n">
        <x:v>21.56</x:v>
      </x:c>
      <x:c r="E499" s="12" t="n">
        <x:v>160258</x:v>
      </x:c>
      <x:c r="F499" s="12" t="n">
        <x:v>3309428</x:v>
      </x:c>
      <x:c r="G499" s="14" t="n">
        <x:v>386161665.2</x:v>
      </x:c>
      <x:c r="H499" t="n">
        <x:v>0</x:v>
      </x:c>
      <x:c r="I499" t="n">
        <x:f>IF(H499=0,1,0)</x:f>
        <x:v>1</x:v>
      </x:c>
      <x:c r="J499" s="16" t="n">
        <x:f>F499/E499</x:f>
        <x:v>20.65062586579141</x:v>
      </x:c>
      <x:c r="K499" s="16" t="n">
        <x:f>G499/1000/E499</x:f>
        <x:v>2.4096248873691173</x:v>
      </x:c>
    </x:row>
    <x:row r="500">
      <x:c r="A500" s="8" t="d">
        <x:v>2025-05-09T00:00:00.000Z</x:v>
      </x:c>
      <x:c r="B500" t="str">
        <x:v>Moderate</x:v>
      </x:c>
      <x:c r="C500" t="str">
        <x:v>Workday</x:v>
      </x:c>
      <x:c r="D500" s="10" t="n">
        <x:v>16.88</x:v>
      </x:c>
      <x:c r="E500" s="12" t="n">
        <x:v>24263</x:v>
      </x:c>
      <x:c r="F500" s="12" t="n">
        <x:v>427995</x:v>
      </x:c>
      <x:c r="G500" s="14" t="n">
        <x:v>47820183.56</x:v>
      </x:c>
      <x:c r="H500" t="n">
        <x:v>0</x:v>
      </x:c>
      <x:c r="I500" t="n">
        <x:f>IF(H500=0,1,0)</x:f>
        <x:v>1</x:v>
      </x:c>
      <x:c r="J500" s="16" t="n">
        <x:f>F500/E500</x:f>
        <x:v>17.63982195111899</x:v>
      </x:c>
      <x:c r="K500" s="16" t="n">
        <x:f>G500/1000/E500</x:f>
        <x:v>1.970909762189342</x:v>
      </x:c>
    </x:row>
    <x:row r="501">
      <x:c r="A501" s="8" t="d">
        <x:v>2025-05-10T00:00:00.000Z</x:v>
      </x:c>
      <x:c r="B501" t="str">
        <x:v>Good</x:v>
      </x:c>
      <x:c r="C501" t="str">
        <x:v>Day off</x:v>
      </x:c>
      <x:c r="D501" s="10" t="n">
        <x:v>13.52</x:v>
      </x:c>
      <x:c r="E501" s="12" t="n">
        <x:v>27823</x:v>
      </x:c>
      <x:c r="F501" s="12" t="n">
        <x:v>608539</x:v>
      </x:c>
      <x:c r="G501" s="14" t="n">
        <x:v>63246483.23</x:v>
      </x:c>
      <x:c r="H501" t="n">
        <x:v>0</x:v>
      </x:c>
      <x:c r="I501" t="n">
        <x:f>IF(H501=0,1,0)</x:f>
        <x:v>1</x:v>
      </x:c>
      <x:c r="J501" s="16" t="n">
        <x:f>F501/E501</x:f>
        <x:v>21.871796714948065</x:v>
      </x:c>
      <x:c r="K501" s="16" t="n">
        <x:f>G501/1000/E501</x:f>
        <x:v>2.273172671171333</x:v>
      </x:c>
    </x:row>
    <x:row r="502">
      <x:c r="A502" s="8" t="d">
        <x:v>2025-05-11T00:00:00.000Z</x:v>
      </x:c>
      <x:c r="B502" t="str">
        <x:v>Moderate</x:v>
      </x:c>
      <x:c r="C502" t="str">
        <x:v>Day off</x:v>
      </x:c>
      <x:c r="D502" s="10" t="n">
        <x:v>32.04</x:v>
      </x:c>
      <x:c r="E502" s="12" t="n">
        <x:v>118903</x:v>
      </x:c>
      <x:c r="F502" s="12" t="n">
        <x:v>3488764</x:v>
      </x:c>
      <x:c r="G502" s="14" t="n">
        <x:v>392709443.47</x:v>
      </x:c>
      <x:c r="H502" t="n">
        <x:v>0</x:v>
      </x:c>
      <x:c r="I502" t="n">
        <x:f>IF(H502=0,1,0)</x:f>
        <x:v>1</x:v>
      </x:c>
      <x:c r="J502" s="16" t="n">
        <x:f>F502/E502</x:f>
        <x:v>29.341261364305357</x:v>
      </x:c>
      <x:c r="K502" s="16" t="n">
        <x:f>G502/1000/E502</x:f>
        <x:v>3.3027715320050803</x:v>
      </x:c>
    </x:row>
    <x:row r="503">
      <x:c r="A503" s="8" t="d">
        <x:v>2025-05-12T00:00:00.000Z</x:v>
      </x:c>
      <x:c r="B503" t="str">
        <x:v>Moderate</x:v>
      </x:c>
      <x:c r="C503" t="str">
        <x:v>Workday</x:v>
      </x:c>
      <x:c r="D503" s="10" t="n">
        <x:v>31.8</x:v>
      </x:c>
      <x:c r="E503" s="12" t="n">
        <x:v>157203</x:v>
      </x:c>
      <x:c r="F503" s="12" t="n">
        <x:v>3349983</x:v>
      </x:c>
      <x:c r="G503" s="14" t="n">
        <x:v>391957356.92</x:v>
      </x:c>
      <x:c r="H503" t="n">
        <x:v>0</x:v>
      </x:c>
      <x:c r="I503" t="n">
        <x:f>IF(H503=0,1,0)</x:f>
        <x:v>1</x:v>
      </x:c>
      <x:c r="J503" s="16" t="n">
        <x:f>F503/E503</x:f>
        <x:v>21.309917749661267</x:v>
      </x:c>
      <x:c r="K503" s="16" t="n">
        <x:f>G503/1000/E503</x:f>
        <x:v>2.4933198279931044</x:v>
      </x:c>
    </x:row>
    <x:row r="504">
      <x:c r="A504" s="8" t="d">
        <x:v>2025-05-13T00:00:00.000Z</x:v>
      </x:c>
      <x:c r="B504" t="str">
        <x:v>Moderate</x:v>
      </x:c>
      <x:c r="C504" t="str">
        <x:v>Workday</x:v>
      </x:c>
      <x:c r="D504" s="10" t="n">
        <x:v>26.32</x:v>
      </x:c>
      <x:c r="E504" s="12" t="n">
        <x:v>162770</x:v>
      </x:c>
      <x:c r="F504" s="12" t="n">
        <x:v>3413471</x:v>
      </x:c>
      <x:c r="G504" s="14" t="n">
        <x:v>400833550.52</x:v>
      </x:c>
      <x:c r="H504" t="n">
        <x:v>0</x:v>
      </x:c>
      <x:c r="I504" t="n">
        <x:f>IF(H504=0,1,0)</x:f>
        <x:v>1</x:v>
      </x:c>
      <x:c r="J504" s="16" t="n">
        <x:f>F504/E504</x:f>
        <x:v>20.971131043804142</x:v>
      </x:c>
      <x:c r="K504" s="16" t="n">
        <x:f>G504/1000/E504</x:f>
        <x:v>2.462576337900104</x:v>
      </x:c>
    </x:row>
    <x:row r="505">
      <x:c r="A505" s="8" t="d">
        <x:v>2025-05-14T00:00:00.000Z</x:v>
      </x:c>
      <x:c r="B505" t="str">
        <x:v>Moderate</x:v>
      </x:c>
      <x:c r="C505" t="str">
        <x:v>Workday</x:v>
      </x:c>
      <x:c r="D505" s="10" t="n">
        <x:v>25.88</x:v>
      </x:c>
      <x:c r="E505" s="12" t="n">
        <x:v>165177</x:v>
      </x:c>
      <x:c r="F505" s="12" t="n">
        <x:v>3464181</x:v>
      </x:c>
      <x:c r="G505" s="14" t="n">
        <x:v>406573322.35</x:v>
      </x:c>
      <x:c r="H505" t="n">
        <x:v>0</x:v>
      </x:c>
      <x:c r="I505" t="n">
        <x:f>IF(H505=0,1,0)</x:f>
        <x:v>1</x:v>
      </x:c>
      <x:c r="J505" s="16" t="n">
        <x:f>F505/E505</x:f>
        <x:v>20.97253854955593</x:v>
      </x:c>
      <x:c r="K505" s="16" t="n">
        <x:f>G505/1000/E505</x:f>
        <x:v>2.46144028738868</x:v>
      </x:c>
    </x:row>
    <x:row r="506">
      <x:c r="A506" s="8" t="d">
        <x:v>2025-05-15T00:00:00.000Z</x:v>
      </x:c>
      <x:c r="B506" t="str">
        <x:v>Moderate</x:v>
      </x:c>
      <x:c r="C506" t="str">
        <x:v>Workday</x:v>
      </x:c>
      <x:c r="D506" s="10" t="n">
        <x:v>22</x:v>
      </x:c>
      <x:c r="E506" s="12" t="n">
        <x:v>113325</x:v>
      </x:c>
      <x:c r="F506" s="12" t="n">
        <x:v>2442186</x:v>
      </x:c>
      <x:c r="G506" s="14" t="n">
        <x:v>273850725.05</x:v>
      </x:c>
      <x:c r="H506" t="n">
        <x:v>0</x:v>
      </x:c>
      <x:c r="I506" t="n">
        <x:f>IF(H506=0,1,0)</x:f>
        <x:v>1</x:v>
      </x:c>
      <x:c r="J506" s="16" t="n">
        <x:f>F506/E506</x:f>
        <x:v>21.55028457974851</x:v>
      </x:c>
      <x:c r="K506" s="16" t="n">
        <x:f>G506/1000/E506</x:f>
        <x:v>2.416507611294948</x:v>
      </x:c>
    </x:row>
    <x:row r="507">
      <x:c r="A507" s="8" t="d">
        <x:v>2025-05-16T00:00:00.000Z</x:v>
      </x:c>
      <x:c r="B507" t="str">
        <x:v>Moderate</x:v>
      </x:c>
      <x:c r="C507" t="str">
        <x:v>Workday</x:v>
      </x:c>
      <x:c r="D507" s="10" t="n">
        <x:v>21.68</x:v>
      </x:c>
      <x:c r="E507" s="12" t="n">
        <x:v>40766</x:v>
      </x:c>
      <x:c r="F507" s="12" t="n">
        <x:v>699722</x:v>
      </x:c>
      <x:c r="G507" s="14" t="n">
        <x:v>75736017.3</x:v>
      </x:c>
      <x:c r="H507" t="n">
        <x:v>0</x:v>
      </x:c>
      <x:c r="I507" t="n">
        <x:f>IF(H507=0,1,0)</x:f>
        <x:v>1</x:v>
      </x:c>
      <x:c r="J507" s="16" t="n">
        <x:f>F507/E507</x:f>
        <x:v>17.164352646813523</x:v>
      </x:c>
      <x:c r="K507" s="16" t="n">
        <x:f>G507/1000/E507</x:f>
        <x:v>1.8578231197566597</x:v>
      </x:c>
    </x:row>
    <x:row r="508">
      <x:c r="A508" s="8" t="d">
        <x:v>2025-05-17T00:00:00.000Z</x:v>
      </x:c>
      <x:c r="B508" t="str">
        <x:v>Good</x:v>
      </x:c>
      <x:c r="C508" t="str">
        <x:v>Day off</x:v>
      </x:c>
      <x:c r="D508" s="10" t="n">
        <x:v>9.04</x:v>
      </x:c>
      <x:c r="E508" s="12" t="n">
        <x:v>88198</x:v>
      </x:c>
      <x:c r="F508" s="12" t="n">
        <x:v>2177508</x:v>
      </x:c>
      <x:c r="G508" s="14" t="n">
        <x:v>233912439.61</x:v>
      </x:c>
      <x:c r="H508" t="n">
        <x:v>0</x:v>
      </x:c>
      <x:c r="I508" t="n">
        <x:f>IF(H508=0,1,0)</x:f>
        <x:v>1</x:v>
      </x:c>
      <x:c r="J508" s="16" t="n">
        <x:f>F508/E508</x:f>
        <x:v>24.688859157804032</x:v>
      </x:c>
      <x:c r="K508" s="16" t="n">
        <x:f>G508/1000/E508</x:f>
        <x:v>2.652128615274723</x:v>
      </x:c>
    </x:row>
    <x:row r="509">
      <x:c r="A509" s="8" t="d">
        <x:v>2025-05-18T00:00:00.000Z</x:v>
      </x:c>
      <x:c r="B509" t="str">
        <x:v>Moderate</x:v>
      </x:c>
      <x:c r="C509" t="str">
        <x:v>Day off</x:v>
      </x:c>
      <x:c r="D509" s="10" t="n">
        <x:v>16</x:v>
      </x:c>
      <x:c r="E509" s="12" t="n">
        <x:v>134941</x:v>
      </x:c>
      <x:c r="F509" s="12" t="n">
        <x:v>3952501</x:v>
      </x:c>
      <x:c r="G509" s="14" t="n">
        <x:v>437305808.85</x:v>
      </x:c>
      <x:c r="H509" t="n">
        <x:v>0</x:v>
      </x:c>
      <x:c r="I509" t="n">
        <x:f>IF(H509=0,1,0)</x:f>
        <x:v>1</x:v>
      </x:c>
      <x:c r="J509" s="16" t="n">
        <x:f>F509/E509</x:f>
        <x:v>29.29058625621568</x:v>
      </x:c>
      <x:c r="K509" s="16" t="n">
        <x:f>G509/1000/E509</x:f>
        <x:v>3.240718601833394</x:v>
      </x:c>
    </x:row>
    <x:row r="510">
      <x:c r="A510" s="8" t="d">
        <x:v>2025-05-19T00:00:00.000Z</x:v>
      </x:c>
      <x:c r="B510" t="str">
        <x:v>Moderate</x:v>
      </x:c>
      <x:c r="C510" t="str">
        <x:v>Workday</x:v>
      </x:c>
      <x:c r="D510" s="10" t="n">
        <x:v>19.92</x:v>
      </x:c>
      <x:c r="E510" s="12" t="n">
        <x:v>118346</x:v>
      </x:c>
      <x:c r="F510" s="12" t="n">
        <x:v>2283202</x:v>
      </x:c>
      <x:c r="G510" s="14" t="n">
        <x:v>261490039.03</x:v>
      </x:c>
      <x:c r="H510" t="n">
        <x:v>0</x:v>
      </x:c>
      <x:c r="I510" t="n">
        <x:f>IF(H510=0,1,0)</x:f>
        <x:v>1</x:v>
      </x:c>
      <x:c r="J510" s="16" t="n">
        <x:f>F510/E510</x:f>
        <x:v>19.29259966538793</x:v>
      </x:c>
      <x:c r="K510" s="16" t="n">
        <x:f>G510/1000/E510</x:f>
        <x:v>2.2095384637419095</x:v>
      </x:c>
    </x:row>
    <x:row r="511">
      <x:c r="A511" s="8" t="d">
        <x:v>2025-05-20T00:00:00.000Z</x:v>
      </x:c>
      <x:c r="B511" t="str">
        <x:v>Good</x:v>
      </x:c>
      <x:c r="C511" t="str">
        <x:v>Workday</x:v>
      </x:c>
      <x:c r="D511" s="10" t="n">
        <x:v>9.56</x:v>
      </x:c>
      <x:c r="E511" s="12" t="n">
        <x:v>144464</x:v>
      </x:c>
      <x:c r="F511" s="12" t="n">
        <x:v>2993763</x:v>
      </x:c>
      <x:c r="G511" s="14" t="n">
        <x:v>347109800.46</x:v>
      </x:c>
      <x:c r="H511" t="n">
        <x:v>0</x:v>
      </x:c>
      <x:c r="I511" t="n">
        <x:f>IF(H511=0,1,0)</x:f>
        <x:v>1</x:v>
      </x:c>
      <x:c r="J511" s="16" t="n">
        <x:f>F511/E511</x:f>
        <x:v>20.723245929781815</x:v>
      </x:c>
      <x:c r="K511" s="16" t="n">
        <x:f>G511/1000/E511</x:f>
        <x:v>2.40274255496179</x:v>
      </x:c>
    </x:row>
    <x:row r="512">
      <x:c r="A512" s="8" t="d">
        <x:v>2025-05-21T00:00:00.000Z</x:v>
      </x:c>
      <x:c r="B512" t="str">
        <x:v>Good</x:v>
      </x:c>
      <x:c r="C512" t="str">
        <x:v>Workday</x:v>
      </x:c>
      <x:c r="D512" s="10" t="n">
        <x:v>10.56</x:v>
      </x:c>
      <x:c r="E512" s="12" t="n">
        <x:v>157490</x:v>
      </x:c>
      <x:c r="F512" s="12" t="n">
        <x:v>3219536</x:v>
      </x:c>
      <x:c r="G512" s="14" t="n">
        <x:v>371023956.02</x:v>
      </x:c>
      <x:c r="H512" t="n">
        <x:v>0</x:v>
      </x:c>
      <x:c r="I512" t="n">
        <x:f>IF(H512=0,1,0)</x:f>
        <x:v>1</x:v>
      </x:c>
      <x:c r="J512" s="16" t="n">
        <x:f>F512/E512</x:f>
        <x:v>20.442796368023366</x:v>
      </x:c>
      <x:c r="K512" s="16" t="n">
        <x:f>G512/1000/E512</x:f>
        <x:v>2.3558572355070164</x:v>
      </x:c>
    </x:row>
    <x:row r="513">
      <x:c r="A513" s="8" t="d">
        <x:v>2025-05-22T00:00:00.000Z</x:v>
      </x:c>
      <x:c r="B513" t="str">
        <x:v>Good</x:v>
      </x:c>
      <x:c r="C513" t="str">
        <x:v>Workday</x:v>
      </x:c>
      <x:c r="D513" s="10" t="n">
        <x:v>13.68</x:v>
      </x:c>
      <x:c r="E513" s="12" t="n">
        <x:v>149233</x:v>
      </x:c>
      <x:c r="F513" s="12" t="n">
        <x:v>3129378</x:v>
      </x:c>
      <x:c r="G513" s="14" t="n">
        <x:v>359184231.24</x:v>
      </x:c>
      <x:c r="H513" t="n">
        <x:v>0</x:v>
      </x:c>
      <x:c r="I513" t="n">
        <x:f>IF(H513=0,1,0)</x:f>
        <x:v>1</x:v>
      </x:c>
      <x:c r="J513" s="16" t="n">
        <x:f>F513/E513</x:f>
        <x:v>20.969745297621838</x:v>
      </x:c>
      <x:c r="K513" s="16" t="n">
        <x:f>G513/1000/E513</x:f>
        <x:v>2.4068686633653416</x:v>
      </x:c>
    </x:row>
    <x:row r="514">
      <x:c r="A514" s="8" t="d">
        <x:v>2025-05-23T00:00:00.000Z</x:v>
      </x:c>
      <x:c r="B514" t="str">
        <x:v>Moderate</x:v>
      </x:c>
      <x:c r="C514" t="str">
        <x:v>Workday</x:v>
      </x:c>
      <x:c r="D514" s="10" t="n">
        <x:v>20.12</x:v>
      </x:c>
      <x:c r="E514" s="12" t="n">
        <x:v>137430</x:v>
      </x:c>
      <x:c r="F514" s="12" t="n">
        <x:v>2776176</x:v>
      </x:c>
      <x:c r="G514" s="14" t="n">
        <x:v>314585179.55</x:v>
      </x:c>
      <x:c r="H514" t="n">
        <x:v>0</x:v>
      </x:c>
      <x:c r="I514" t="n">
        <x:f>IF(H514=0,1,0)</x:f>
        <x:v>1</x:v>
      </x:c>
      <x:c r="J514" s="16" t="n">
        <x:f>F514/E514</x:f>
        <x:v>20.200654878847413</x:v>
      </x:c>
      <x:c r="K514" s="16" t="n">
        <x:f>G514/1000/E514</x:f>
        <x:v>2.2890575532998616</x:v>
      </x:c>
    </x:row>
    <x:row r="515">
      <x:c r="A515" s="8" t="d">
        <x:v>2025-05-24T00:00:00.000Z</x:v>
      </x:c>
      <x:c r="B515" t="str">
        <x:v>Good</x:v>
      </x:c>
      <x:c r="C515" t="str">
        <x:v>Day off</x:v>
      </x:c>
      <x:c r="D515" s="10" t="n">
        <x:v>13.72</x:v>
      </x:c>
      <x:c r="E515" s="12" t="n">
        <x:v>113916</x:v>
      </x:c>
      <x:c r="F515" s="12" t="n">
        <x:v>2911658</x:v>
      </x:c>
      <x:c r="G515" s="14" t="n">
        <x:v>316794276.76</x:v>
      </x:c>
      <x:c r="H515" t="n">
        <x:v>0</x:v>
      </x:c>
      <x:c r="I515" t="n">
        <x:f>IF(H515=0,1,0)</x:f>
        <x:v>1</x:v>
      </x:c>
      <x:c r="J515" s="16" t="n">
        <x:f>F515/E515</x:f>
        <x:v>25.5596931072018</x:v>
      </x:c>
      <x:c r="K515" s="16" t="n">
        <x:f>G515/1000/E515</x:f>
        <x:v>2.780946282875101</x:v>
      </x:c>
    </x:row>
    <x:row r="516">
      <x:c r="A516" s="8" t="d">
        <x:v>2025-05-25T00:00:00.000Z</x:v>
      </x:c>
      <x:c r="B516" t="str">
        <x:v>Good</x:v>
      </x:c>
      <x:c r="C516" t="str">
        <x:v>Day off</x:v>
      </x:c>
      <x:c r="D516" s="10" t="n">
        <x:v>11.8</x:v>
      </x:c>
      <x:c r="E516" s="12" t="n">
        <x:v>137711</x:v>
      </x:c>
      <x:c r="F516" s="12" t="n">
        <x:v>4000510</x:v>
      </x:c>
      <x:c r="G516" s="14" t="n">
        <x:v>449431033.62</x:v>
      </x:c>
      <x:c r="H516" t="n">
        <x:v>0</x:v>
      </x:c>
      <x:c r="I516" t="n">
        <x:f>IF(H516=0,1,0)</x:f>
        <x:v>1</x:v>
      </x:c>
      <x:c r="J516" s="16" t="n">
        <x:f>F516/E516</x:f>
        <x:v>29.05003957563303</x:v>
      </x:c>
      <x:c r="K516" s="16" t="n">
        <x:f>G516/1000/E516</x:f>
        <x:v>3.263581221688899</x:v>
      </x:c>
    </x:row>
    <x:row r="517">
      <x:c r="A517" s="8" t="d">
        <x:v>2025-05-26T00:00:00.000Z</x:v>
      </x:c>
      <x:c r="B517" t="str">
        <x:v>Moderate</x:v>
      </x:c>
      <x:c r="C517" t="str">
        <x:v>Workday</x:v>
      </x:c>
      <x:c r="D517" s="10" t="n">
        <x:v>25.12</x:v>
      </x:c>
      <x:c r="E517" s="12" t="n">
        <x:v>160643</x:v>
      </x:c>
      <x:c r="F517" s="12" t="n">
        <x:v>3382546</x:v>
      </x:c>
      <x:c r="G517" s="14" t="n">
        <x:v>398188697.93</x:v>
      </x:c>
      <x:c r="H517" t="n">
        <x:v>0</x:v>
      </x:c>
      <x:c r="I517" t="n">
        <x:f>IF(H517=0,1,0)</x:f>
        <x:v>1</x:v>
      </x:c>
      <x:c r="J517" s="16" t="n">
        <x:f>F517/E517</x:f>
        <x:v>21.056292524417497</x:v>
      </x:c>
      <x:c r="K517" s="16" t="n">
        <x:f>G517/1000/E517</x:f>
        <x:v>2.4787180140435625</x:v>
      </x:c>
    </x:row>
    <x:row r="518">
      <x:c r="A518" s="8" t="d">
        <x:v>2025-05-27T00:00:00.000Z</x:v>
      </x:c>
      <x:c r="B518" t="str">
        <x:v>Bad</x:v>
      </x:c>
      <x:c r="C518" t="str">
        <x:v>Workday</x:v>
      </x:c>
      <x:c r="D518" s="10" t="n">
        <x:v>36.8</x:v>
      </x:c>
      <x:c r="E518" s="12" t="n">
        <x:v>163259</x:v>
      </x:c>
      <x:c r="F518" s="12" t="n">
        <x:v>3371448</x:v>
      </x:c>
      <x:c r="G518" s="14" t="n">
        <x:v>395824249.39</x:v>
      </x:c>
      <x:c r="H518" t="n">
        <x:v>0</x:v>
      </x:c>
      <x:c r="I518" t="n">
        <x:f>IF(H518=0,1,0)</x:f>
        <x:v>1</x:v>
      </x:c>
      <x:c r="J518" s="16" t="n">
        <x:f>F518/E518</x:f>
        <x:v>20.650916641655282</x:v>
      </x:c>
      <x:c r="K518" s="16" t="n">
        <x:f>G518/1000/E518</x:f>
        <x:v>2.4245171744896146</x:v>
      </x:c>
    </x:row>
    <x:row r="519">
      <x:c r="A519" s="8" t="d">
        <x:v>2025-05-28T00:00:00.000Z</x:v>
      </x:c>
      <x:c r="B519" t="str">
        <x:v>Bad</x:v>
      </x:c>
      <x:c r="C519" t="str">
        <x:v>Workday</x:v>
      </x:c>
      <x:c r="D519" s="10" t="n">
        <x:v>38.56</x:v>
      </x:c>
      <x:c r="E519" s="12" t="n">
        <x:v>162825</x:v>
      </x:c>
      <x:c r="F519" s="12" t="n">
        <x:v>3335290</x:v>
      </x:c>
      <x:c r="G519" s="14" t="n">
        <x:v>388960438.57</x:v>
      </x:c>
      <x:c r="H519" t="n">
        <x:v>0</x:v>
      </x:c>
      <x:c r="I519" t="n">
        <x:f>IF(H519=0,1,0)</x:f>
        <x:v>1</x:v>
      </x:c>
      <x:c r="J519" s="16" t="n">
        <x:f>F519/E519</x:f>
        <x:v>20.48389375095962</x:v>
      </x:c>
      <x:c r="K519" s="16" t="n">
        <x:f>G519/1000/E519</x:f>
        <x:v>2.3888250487947182</x:v>
      </x:c>
    </x:row>
    <x:row r="520">
      <x:c r="A520" s="8" t="d">
        <x:v>2025-05-29T00:00:00.000Z</x:v>
      </x:c>
      <x:c r="B520" t="str">
        <x:v>Moderate</x:v>
      </x:c>
      <x:c r="C520" t="str">
        <x:v>Workday</x:v>
      </x:c>
      <x:c r="D520" s="10" t="n">
        <x:v>26.4</x:v>
      </x:c>
      <x:c r="E520" s="12" t="n">
        <x:v>164642</x:v>
      </x:c>
      <x:c r="F520" s="12" t="n">
        <x:v>3388646</x:v>
      </x:c>
      <x:c r="G520" s="14" t="n">
        <x:v>387663344.88</x:v>
      </x:c>
      <x:c r="H520" t="n">
        <x:v>0</x:v>
      </x:c>
      <x:c r="I520" t="n">
        <x:f>IF(H520=0,1,0)</x:f>
        <x:v>1</x:v>
      </x:c>
      <x:c r="J520" s="16" t="n">
        <x:f>F520/E520</x:f>
        <x:v>20.58190498171791</x:v>
      </x:c>
      <x:c r="K520" s="16" t="n">
        <x:f>G520/1000/E520</x:f>
        <x:v>2.354583550248418</x:v>
      </x:c>
    </x:row>
    <x:row r="521">
      <x:c r="A521" s="8" t="d">
        <x:v>2025-05-30T00:00:00.000Z</x:v>
      </x:c>
      <x:c r="B521" t="str">
        <x:v>Moderate</x:v>
      </x:c>
      <x:c r="C521" t="str">
        <x:v>Workday</x:v>
      </x:c>
      <x:c r="D521" s="10" t="n">
        <x:v>25.68</x:v>
      </x:c>
      <x:c r="E521" s="12" t="n">
        <x:v>173914</x:v>
      </x:c>
      <x:c r="F521" s="12" t="n">
        <x:v>3699112</x:v>
      </x:c>
      <x:c r="G521" s="14" t="n">
        <x:v>420640055.91</x:v>
      </x:c>
      <x:c r="H521" t="n">
        <x:v>0</x:v>
      </x:c>
      <x:c r="I521" t="n">
        <x:f>IF(H521=0,1,0)</x:f>
        <x:v>1</x:v>
      </x:c>
      <x:c r="J521" s="16" t="n">
        <x:f>F521/E521</x:f>
        <x:v>21.26977701622641</x:v>
      </x:c>
      <x:c r="K521" s="16" t="n">
        <x:f>G521/1000/E521</x:f>
        <x:v>2.418667018813897</x:v>
      </x:c>
    </x:row>
    <x:row r="522">
      <x:c r="A522" s="8" t="d">
        <x:v>2025-05-31T00:00:00.000Z</x:v>
      </x:c>
      <x:c r="B522" t="str">
        <x:v>Moderate</x:v>
      </x:c>
      <x:c r="C522" t="str">
        <x:v>Day off</x:v>
      </x:c>
      <x:c r="D522" s="10" t="n">
        <x:v>28.4</x:v>
      </x:c>
      <x:c r="E522" s="12" t="n">
        <x:v>144789</x:v>
      </x:c>
      <x:c r="F522" s="12" t="n">
        <x:v>3767074</x:v>
      </x:c>
      <x:c r="G522" s="14" t="n">
        <x:v>422237284.45</x:v>
      </x:c>
      <x:c r="H522" t="n">
        <x:v>0</x:v>
      </x:c>
      <x:c r="I522" t="n">
        <x:f>IF(H522=0,1,0)</x:f>
        <x:v>1</x:v>
      </x:c>
      <x:c r="J522" s="16" t="n">
        <x:f>F522/E522</x:f>
        <x:v>26.01768090117343</x:v>
      </x:c>
      <x:c r="K522" s="16" t="n">
        <x:f>G522/1000/E522</x:f>
        <x:v>2.9162248820697703</x:v>
      </x:c>
    </x:row>
    <x:row r="523">
      <x:c r="A523" s="8" t="d">
        <x:v>2025-06-01T00:00:00.000Z</x:v>
      </x:c>
      <x:c r="B523" t="str">
        <x:v>Bad</x:v>
      </x:c>
      <x:c r="C523" t="str">
        <x:v>Day off</x:v>
      </x:c>
      <x:c r="D523" s="10" t="n">
        <x:v>38.916667</x:v>
      </x:c>
      <x:c r="E523" s="12" t="n">
        <x:v>130285</x:v>
      </x:c>
      <x:c r="F523" s="12" t="n">
        <x:v>3505507</x:v>
      </x:c>
      <x:c r="G523" s="14" t="n">
        <x:v>400995833.35</x:v>
      </x:c>
      <x:c r="H523" t="n">
        <x:v>0</x:v>
      </x:c>
      <x:c r="I523" t="n">
        <x:f>IF(H523=0,1,0)</x:f>
        <x:v>1</x:v>
      </x:c>
      <x:c r="J523" s="16" t="n">
        <x:f>F523/E523</x:f>
        <x:v>26.906451241509</x:v>
      </x:c>
      <x:c r="K523" s="16" t="n">
        <x:f>G523/1000/E523</x:f>
        <x:v>3.0778357704263732</x:v>
      </x:c>
    </x:row>
    <x:row r="524">
      <x:c r="A524" s="8" t="d">
        <x:v>2025-06-02T00:00:00.000Z</x:v>
      </x:c>
      <x:c r="B524" t="str">
        <x:v>Bad</x:v>
      </x:c>
      <x:c r="C524" t="str">
        <x:v>Workday</x:v>
      </x:c>
      <x:c r="D524" s="10" t="n">
        <x:v>37.25</x:v>
      </x:c>
      <x:c r="E524" s="12" t="n">
        <x:v>148773</x:v>
      </x:c>
      <x:c r="F524" s="12" t="n">
        <x:v>3016645</x:v>
      </x:c>
      <x:c r="G524" s="14" t="n">
        <x:v>353865639.69</x:v>
      </x:c>
      <x:c r="H524" t="n">
        <x:v>0</x:v>
      </x:c>
      <x:c r="I524" t="n">
        <x:f>IF(H524=0,1,0)</x:f>
        <x:v>1</x:v>
      </x:c>
      <x:c r="J524" s="16" t="n">
        <x:f>F524/E524</x:f>
        <x:v>20.276831145436336</x:v>
      </x:c>
      <x:c r="K524" s="16" t="n">
        <x:f>G524/1000/E524</x:f>
        <x:v>2.3785608927023048</x:v>
      </x:c>
    </x:row>
    <x:row r="525">
      <x:c r="A525" s="8" t="d">
        <x:v>2025-06-03T00:00:00.000Z</x:v>
      </x:c>
      <x:c r="B525" t="str">
        <x:v>Moderate</x:v>
      </x:c>
      <x:c r="C525" t="str">
        <x:v>Day off</x:v>
      </x:c>
      <x:c r="D525" s="10" t="n">
        <x:v>25.833333</x:v>
      </x:c>
      <x:c r="E525" s="12" t="n">
        <x:v>154910</x:v>
      </x:c>
      <x:c r="F525" s="12" t="n">
        <x:v>4156071</x:v>
      </x:c>
      <x:c r="G525" s="14" t="n">
        <x:v>461244195.81</x:v>
      </x:c>
      <x:c r="H525" t="n">
        <x:v>0</x:v>
      </x:c>
      <x:c r="I525" t="n">
        <x:f>IF(H525=0,1,0)</x:f>
        <x:v>1</x:v>
      </x:c>
      <x:c r="J525" s="16" t="n">
        <x:f>F525/E525</x:f>
        <x:v>26.828939384158545</x:v>
      </x:c>
      <x:c r="K525" s="16" t="n">
        <x:f>G525/1000/E525</x:f>
        <x:v>2.977497874959654</x:v>
      </x:c>
    </x:row>
    <x:row r="526">
      <x:c r="A526" s="8" t="d">
        <x:v>2025-06-04T00:00:00.000Z</x:v>
      </x:c>
      <x:c r="B526" t="str">
        <x:v>Good</x:v>
      </x:c>
      <x:c r="C526" t="str">
        <x:v>Workday</x:v>
      </x:c>
      <x:c r="D526" s="10" t="n">
        <x:v>8.625</x:v>
      </x:c>
      <x:c r="E526" s="12" t="n">
        <x:v>167578</x:v>
      </x:c>
      <x:c r="F526" s="12" t="n">
        <x:v>3475625</x:v>
      </x:c>
      <x:c r="G526" s="14" t="n">
        <x:v>406576261.05</x:v>
      </x:c>
      <x:c r="H526" t="n">
        <x:v>0</x:v>
      </x:c>
      <x:c r="I526" t="n">
        <x:f>IF(H526=0,1,0)</x:f>
        <x:v>1</x:v>
      </x:c>
      <x:c r="J526" s="16" t="n">
        <x:f>F526/E526</x:f>
        <x:v>20.740341810977576</x:v>
      </x:c>
      <x:c r="K526" s="16" t="n">
        <x:f>G526/1000/E526</x:f>
        <x:v>2.4261911530749862</x:v>
      </x:c>
    </x:row>
    <x:row r="527">
      <x:c r="A527" s="8" t="d">
        <x:v>2025-06-05T00:00:00.000Z</x:v>
      </x:c>
      <x:c r="B527" t="str">
        <x:v>Good</x:v>
      </x:c>
      <x:c r="C527" t="str">
        <x:v>Workday</x:v>
      </x:c>
      <x:c r="D527" s="10" t="n">
        <x:v>12.25</x:v>
      </x:c>
      <x:c r="E527" s="12" t="n">
        <x:v>172650</x:v>
      </x:c>
      <x:c r="F527" s="12" t="n">
        <x:v>3652399</x:v>
      </x:c>
      <x:c r="G527" s="14" t="n">
        <x:v>419402616.77</x:v>
      </x:c>
      <x:c r="H527" t="n">
        <x:v>0</x:v>
      </x:c>
      <x:c r="I527" t="n">
        <x:f>IF(H527=0,1,0)</x:f>
        <x:v>1</x:v>
      </x:c>
      <x:c r="J527" s="16" t="n">
        <x:f>F527/E527</x:f>
        <x:v>21.154931943237763</x:v>
      </x:c>
      <x:c r="K527" s="16" t="n">
        <x:f>G527/1000/E527</x:f>
        <x:v>2.4292071634520704</x:v>
      </x:c>
    </x:row>
    <x:row r="528">
      <x:c r="A528" s="8" t="d">
        <x:v>2025-06-06T00:00:00.000Z</x:v>
      </x:c>
      <x:c r="B528" t="str">
        <x:v>Good</x:v>
      </x:c>
      <x:c r="C528" t="str">
        <x:v>Day off</x:v>
      </x:c>
      <x:c r="D528" s="10" t="n">
        <x:v>15</x:v>
      </x:c>
      <x:c r="E528" s="12" t="n">
        <x:v>137914</x:v>
      </x:c>
      <x:c r="F528" s="12" t="n">
        <x:v>3722294</x:v>
      </x:c>
      <x:c r="G528" s="14" t="n">
        <x:v>423546678.74</x:v>
      </x:c>
      <x:c r="H528" t="n">
        <x:v>0</x:v>
      </x:c>
      <x:c r="I528" t="n">
        <x:f>IF(H528=0,1,0)</x:f>
        <x:v>1</x:v>
      </x:c>
      <x:c r="J528" s="16" t="n">
        <x:f>F528/E528</x:f>
        <x:v>26.98996476064794</x:v>
      </x:c>
      <x:c r="K528" s="16" t="n">
        <x:f>G528/1000/E528</x:f>
        <x:v>3.0710927008135505</x:v>
      </x:c>
    </x:row>
    <x:row r="529">
      <x:c r="A529" s="8" t="d">
        <x:v>2025-06-07T00:00:00.000Z</x:v>
      </x:c>
      <x:c r="B529" t="str">
        <x:v>Moderate</x:v>
      </x:c>
      <x:c r="C529" t="str">
        <x:v>Day off</x:v>
      </x:c>
      <x:c r="D529" s="10" t="n">
        <x:v>23.666667</x:v>
      </x:c>
      <x:c r="E529" s="12" t="n">
        <x:v>135697</x:v>
      </x:c>
      <x:c r="F529" s="12" t="n">
        <x:v>3487537</x:v>
      </x:c>
      <x:c r="G529" s="14" t="n">
        <x:v>396811997.25</x:v>
      </x:c>
      <x:c r="H529" t="n">
        <x:v>0</x:v>
      </x:c>
      <x:c r="I529" t="n">
        <x:f>IF(H529=0,1,0)</x:f>
        <x:v>1</x:v>
      </x:c>
      <x:c r="J529" s="16" t="n">
        <x:f>F529/E529</x:f>
        <x:v>25.700914537535834</x:v>
      </x:c>
      <x:c r="K529" s="16" t="n">
        <x:f>G529/1000/E529</x:f>
        <x:v>2.9242503316211854</x:v>
      </x:c>
    </x:row>
    <x:row r="530">
      <x:c r="A530" s="8" t="d">
        <x:v>2025-06-08T00:00:00.000Z</x:v>
      </x:c>
      <x:c r="B530" t="str">
        <x:v>Moderate</x:v>
      </x:c>
      <x:c r="C530" t="str">
        <x:v>Day off</x:v>
      </x:c>
      <x:c r="D530" s="10" t="n">
        <x:v>17.166667</x:v>
      </x:c>
      <x:c r="E530" s="12" t="n">
        <x:v>122267</x:v>
      </x:c>
      <x:c r="F530" s="12" t="n">
        <x:v>3201251</x:v>
      </x:c>
      <x:c r="G530" s="14" t="n">
        <x:v>373446692.96</x:v>
      </x:c>
      <x:c r="H530" t="n">
        <x:v>0</x:v>
      </x:c>
      <x:c r="I530" t="n">
        <x:f>IF(H530=0,1,0)</x:f>
        <x:v>1</x:v>
      </x:c>
      <x:c r="J530" s="16" t="n">
        <x:f>F530/E530</x:f>
        <x:v>26.182461334620136</x:v>
      </x:c>
      <x:c r="K530" s="16" t="n">
        <x:f>G530/1000/E530</x:f>
        <x:v>3.0543539381844647</x:v>
      </x:c>
    </x:row>
    <x:row r="531">
      <x:c r="A531" s="8" t="d">
        <x:v>2025-06-09T00:00:00.000Z</x:v>
      </x:c>
      <x:c r="B531" t="str">
        <x:v>Moderate</x:v>
      </x:c>
      <x:c r="C531" t="str">
        <x:v>Workday</x:v>
      </x:c>
      <x:c r="D531" s="10" t="n">
        <x:v>21</x:v>
      </x:c>
      <x:c r="E531" s="12" t="n">
        <x:v>161721</x:v>
      </x:c>
      <x:c r="F531" s="12" t="n">
        <x:v>3288582</x:v>
      </x:c>
      <x:c r="G531" s="14" t="n">
        <x:v>385028816.04</x:v>
      </x:c>
      <x:c r="H531" t="n">
        <x:v>0</x:v>
      </x:c>
      <x:c r="I531" t="n">
        <x:f>IF(H531=0,1,0)</x:f>
        <x:v>1</x:v>
      </x:c>
      <x:c r="J531" s="16" t="n">
        <x:f>F531/E531</x:f>
        <x:v>20.334910122989594</x:v>
      </x:c>
      <x:c r="K531" s="16" t="n">
        <x:f>G531/1000/E531</x:f>
        <x:v>2.380821390171963</x:v>
      </x:c>
    </x:row>
    <x:row r="532">
      <x:c r="A532" s="8" t="d">
        <x:v>2025-06-10T00:00:00.000Z</x:v>
      </x:c>
      <x:c r="B532" t="str">
        <x:v>Good</x:v>
      </x:c>
      <x:c r="C532" t="str">
        <x:v>Workday</x:v>
      </x:c>
      <x:c r="D532" s="10" t="n">
        <x:v>11.625</x:v>
      </x:c>
      <x:c r="E532" s="12" t="n">
        <x:v>169011</x:v>
      </x:c>
      <x:c r="F532" s="12" t="n">
        <x:v>3432910</x:v>
      </x:c>
      <x:c r="G532" s="14" t="n">
        <x:v>401905892.53</x:v>
      </x:c>
      <x:c r="H532" t="n">
        <x:v>0</x:v>
      </x:c>
      <x:c r="I532" t="n">
        <x:f>IF(H532=0,1,0)</x:f>
        <x:v>1</x:v>
      </x:c>
      <x:c r="J532" s="16" t="n">
        <x:f>F532/E532</x:f>
        <x:v>20.311754856192792</x:v>
      </x:c>
      <x:c r="K532" s="16" t="n">
        <x:f>G532/1000/E532</x:f>
        <x:v>2.3779865957245385</x:v>
      </x:c>
    </x:row>
    <x:row r="533">
      <x:c r="A533" s="8" t="d">
        <x:v>2025-06-11T00:00:00.000Z</x:v>
      </x:c>
      <x:c r="B533" t="str">
        <x:v>Good</x:v>
      </x:c>
      <x:c r="C533" t="str">
        <x:v>Workday</x:v>
      </x:c>
      <x:c r="D533" s="10" t="n">
        <x:v>13.416667</x:v>
      </x:c>
      <x:c r="E533" s="12" t="n">
        <x:v>168452</x:v>
      </x:c>
      <x:c r="F533" s="12" t="n">
        <x:v>3404515</x:v>
      </x:c>
      <x:c r="G533" s="14" t="n">
        <x:v>398722448.62</x:v>
      </x:c>
      <x:c r="H533" t="n">
        <x:v>0</x:v>
      </x:c>
      <x:c r="I533" t="n">
        <x:f>IF(H533=0,1,0)</x:f>
        <x:v>1</x:v>
      </x:c>
      <x:c r="J533" s="16" t="n">
        <x:f>F533/E533</x:f>
        <x:v>20.210594115831217</x:v>
      </x:c>
      <x:c r="K533" s="16" t="n">
        <x:f>G533/1000/E533</x:f>
        <x:v>2.3669796061786146</x:v>
      </x:c>
    </x:row>
    <x:row r="534">
      <x:c r="A534" s="8" t="d">
        <x:v>2025-06-12T00:00:00.000Z</x:v>
      </x:c>
      <x:c r="B534" t="str">
        <x:v>Moderate</x:v>
      </x:c>
      <x:c r="C534" t="str">
        <x:v>Workday</x:v>
      </x:c>
      <x:c r="D534" s="10" t="n">
        <x:v>20.44</x:v>
      </x:c>
      <x:c r="E534" s="12" t="n">
        <x:v>164821</x:v>
      </x:c>
      <x:c r="F534" s="12" t="n">
        <x:v>3299561</x:v>
      </x:c>
      <x:c r="G534" s="14" t="n">
        <x:v>383556840.19</x:v>
      </x:c>
      <x:c r="H534" t="n">
        <x:v>0</x:v>
      </x:c>
      <x:c r="I534" t="n">
        <x:f>IF(H534=0,1,0)</x:f>
        <x:v>1</x:v>
      </x:c>
      <x:c r="J534" s="16" t="n">
        <x:f>F534/E534</x:f>
        <x:v>20.019057037634767</x:v>
      </x:c>
      <x:c r="K534" s="16" t="n">
        <x:f>G534/1000/E534</x:f>
        <x:v>2.3271114735986314</x:v>
      </x:c>
    </x:row>
    <x:row r="535">
      <x:c r="A535" s="8" t="d">
        <x:v>2025-06-13T00:00:00.000Z</x:v>
      </x:c>
      <x:c r="B535" t="str">
        <x:v>Moderate</x:v>
      </x:c>
      <x:c r="C535" t="str">
        <x:v>Workday</x:v>
      </x:c>
      <x:c r="D535" s="10" t="n">
        <x:v>27.6</x:v>
      </x:c>
      <x:c r="E535" s="12" t="n">
        <x:v>115906</x:v>
      </x:c>
      <x:c r="F535" s="12" t="n">
        <x:v>2138560</x:v>
      </x:c>
      <x:c r="G535" s="14" t="n">
        <x:v>237034662.37</x:v>
      </x:c>
      <x:c r="H535" t="n">
        <x:v>0</x:v>
      </x:c>
      <x:c r="I535" t="n">
        <x:f>IF(H535=0,1,0)</x:f>
        <x:v>1</x:v>
      </x:c>
      <x:c r="J535" s="16" t="n">
        <x:f>F535/E535</x:f>
        <x:v>18.450813590323193</x:v>
      </x:c>
      <x:c r="K535" s="16" t="n">
        <x:f>G535/1000/E535</x:f>
        <x:v>2.0450594651700515</x:v>
      </x:c>
    </x:row>
    <x:row r="536">
      <x:c r="A536" s="8" t="d">
        <x:v>2025-06-14T00:00:00.000Z</x:v>
      </x:c>
      <x:c r="B536" t="str">
        <x:v>Moderate</x:v>
      </x:c>
      <x:c r="C536" t="str">
        <x:v>Day off</x:v>
      </x:c>
      <x:c r="D536" s="10" t="n">
        <x:v>15.6</x:v>
      </x:c>
      <x:c r="E536" s="12" t="n">
        <x:v>131389</x:v>
      </x:c>
      <x:c r="F536" s="12" t="n">
        <x:v>3205244</x:v>
      </x:c>
      <x:c r="G536" s="14" t="n">
        <x:v>356677720.33</x:v>
      </x:c>
      <x:c r="H536" t="n">
        <x:v>0</x:v>
      </x:c>
      <x:c r="I536" t="n">
        <x:f>IF(H536=0,1,0)</x:f>
        <x:v>1</x:v>
      </x:c>
      <x:c r="J536" s="16" t="n">
        <x:f>F536/E536</x:f>
        <x:v>24.39507112467558</x:v>
      </x:c>
      <x:c r="K536" s="16" t="n">
        <x:f>G536/1000/E536</x:f>
        <x:v>2.7146695715014193</x:v>
      </x:c>
    </x:row>
    <x:row r="537">
      <x:c r="A537" s="8" t="d">
        <x:v>2025-06-15T00:00:00.000Z</x:v>
      </x:c>
      <x:c r="B537" t="str">
        <x:v>Moderate</x:v>
      </x:c>
      <x:c r="C537" t="str">
        <x:v>Day off</x:v>
      </x:c>
      <x:c r="D537" s="10" t="n">
        <x:v>15.28</x:v>
      </x:c>
      <x:c r="E537" s="12" t="n">
        <x:v>88162</x:v>
      </x:c>
      <x:c r="F537" s="12" t="n">
        <x:v>1979998</x:v>
      </x:c>
      <x:c r="G537" s="14" t="n">
        <x:v>221988806.67</x:v>
      </x:c>
      <x:c r="H537" t="n">
        <x:v>0</x:v>
      </x:c>
      <x:c r="I537" t="n">
        <x:f>IF(H537=0,1,0)</x:f>
        <x:v>1</x:v>
      </x:c>
      <x:c r="J537" s="16" t="n">
        <x:f>F537/E537</x:f>
        <x:v>22.458632971121343</x:v>
      </x:c>
      <x:c r="K537" s="16" t="n">
        <x:f>G537/1000/E537</x:f>
        <x:v>2.5179647316304075</x:v>
      </x:c>
    </x:row>
    <x:row r="538">
      <x:c r="A538" s="8" t="d">
        <x:v>2025-06-16T00:00:00.000Z</x:v>
      </x:c>
      <x:c r="B538" t="str">
        <x:v>Moderate</x:v>
      </x:c>
      <x:c r="C538" t="str">
        <x:v>Workday</x:v>
      </x:c>
      <x:c r="D538" s="10" t="n">
        <x:v>19.28</x:v>
      </x:c>
      <x:c r="E538" s="12" t="n">
        <x:v>111001</x:v>
      </x:c>
      <x:c r="F538" s="12" t="n">
        <x:v>2264417</x:v>
      </x:c>
      <x:c r="G538" s="14" t="n">
        <x:v>251297743.39</x:v>
      </x:c>
      <x:c r="H538" t="n">
        <x:v>0</x:v>
      </x:c>
      <x:c r="I538" t="n">
        <x:f>IF(H538=0,1,0)</x:f>
        <x:v>1</x:v>
      </x:c>
      <x:c r="J538" s="16" t="n">
        <x:f>F538/E538</x:f>
        <x:v>20.39996936964532</x:v>
      </x:c>
      <x:c r="K538" s="16" t="n">
        <x:f>G538/1000/E538</x:f>
        <x:v>2.2639232384392933</x:v>
      </x:c>
    </x:row>
    <x:row r="539">
      <x:c r="A539" s="8" t="d">
        <x:v>2025-06-17T00:00:00.000Z</x:v>
      </x:c>
      <x:c r="B539" t="str">
        <x:v>Moderate</x:v>
      </x:c>
      <x:c r="C539" t="str">
        <x:v>Workday</x:v>
      </x:c>
      <x:c r="D539" s="10" t="n">
        <x:v>23.36</x:v>
      </x:c>
      <x:c r="E539" s="12" t="n">
        <x:v>164921</x:v>
      </x:c>
      <x:c r="F539" s="12" t="n">
        <x:v>3329821</x:v>
      </x:c>
      <x:c r="G539" s="14" t="n">
        <x:v>385154843.83</x:v>
      </x:c>
      <x:c r="H539" t="n">
        <x:v>0</x:v>
      </x:c>
      <x:c r="I539" t="n">
        <x:f>IF(H539=0,1,0)</x:f>
        <x:v>1</x:v>
      </x:c>
      <x:c r="J539" s="16" t="n">
        <x:f>F539/E539</x:f>
        <x:v>20.190400252241982</x:v>
      </x:c>
      <x:c r="K539" s="16" t="n">
        <x:f>G539/1000/E539</x:f>
        <x:v>2.3353899371820446</x:v>
      </x:c>
    </x:row>
    <x:row r="540">
      <x:c r="A540" s="8" t="d">
        <x:v>2025-06-18T00:00:00.000Z</x:v>
      </x:c>
      <x:c r="B540" t="str">
        <x:v>Moderate</x:v>
      </x:c>
      <x:c r="C540" t="str">
        <x:v>Workday</x:v>
      </x:c>
      <x:c r="D540" s="10" t="n">
        <x:v>26.48</x:v>
      </x:c>
      <x:c r="E540" s="12" t="n">
        <x:v>165123</x:v>
      </x:c>
      <x:c r="F540" s="12" t="n">
        <x:v>3311572</x:v>
      </x:c>
      <x:c r="G540" s="14" t="n">
        <x:v>381613888.84</x:v>
      </x:c>
      <x:c r="H540" t="n">
        <x:v>0</x:v>
      </x:c>
      <x:c r="I540" t="n">
        <x:f>IF(H540=0,1,0)</x:f>
        <x:v>1</x:v>
      </x:c>
      <x:c r="J540" s="16" t="n">
        <x:f>F540/E540</x:f>
        <x:v>20.055183105927096</x:v>
      </x:c>
      <x:c r="K540" s="16" t="n">
        <x:f>G540/1000/E540</x:f>
        <x:v>2.311088635986507</x:v>
      </x:c>
    </x:row>
    <x:row r="541">
      <x:c r="A541" s="8" t="d">
        <x:v>2025-06-19T00:00:00.000Z</x:v>
      </x:c>
      <x:c r="B541" t="str">
        <x:v>Moderate</x:v>
      </x:c>
      <x:c r="C541" t="str">
        <x:v>Workday</x:v>
      </x:c>
      <x:c r="D541" s="10" t="n">
        <x:v>18.84</x:v>
      </x:c>
      <x:c r="E541" s="12" t="n">
        <x:v>156768</x:v>
      </x:c>
      <x:c r="F541" s="12" t="n">
        <x:v>2992817</x:v>
      </x:c>
      <x:c r="G541" s="14" t="n">
        <x:v>341139253.95</x:v>
      </x:c>
      <x:c r="H541" t="n">
        <x:v>0</x:v>
      </x:c>
      <x:c r="I541" t="n">
        <x:f>IF(H541=0,1,0)</x:f>
        <x:v>1</x:v>
      </x:c>
      <x:c r="J541" s="16" t="n">
        <x:f>F541/E541</x:f>
        <x:v>19.090739181465604</x:v>
      </x:c>
      <x:c r="K541" s="16" t="n">
        <x:f>G541/1000/E541</x:f>
        <x:v>2.1760770944963257</x:v>
      </x:c>
    </x:row>
    <x:row r="542">
      <x:c r="A542" s="8" t="d">
        <x:v>2025-06-20T00:00:00.000Z</x:v>
      </x:c>
      <x:c r="B542" t="str">
        <x:v>Good</x:v>
      </x:c>
      <x:c r="C542" t="str">
        <x:v>Workday</x:v>
      </x:c>
      <x:c r="D542" s="10" t="n">
        <x:v>3.52</x:v>
      </x:c>
      <x:c r="E542" s="12" t="n">
        <x:v>13179</x:v>
      </x:c>
      <x:c r="F542" s="12" t="n">
        <x:v>238689</x:v>
      </x:c>
      <x:c r="G542" s="14" t="n">
        <x:v>23122282</x:v>
      </x:c>
      <x:c r="H542" t="n">
        <x:v>0</x:v>
      </x:c>
      <x:c r="I542" t="n">
        <x:f>IF(H542=0,1,0)</x:f>
        <x:v>1</x:v>
      </x:c>
      <x:c r="J542" s="16" t="n">
        <x:f>F542/E542</x:f>
        <x:v>18.111313453221033</x:v>
      </x:c>
      <x:c r="K542" s="16" t="n">
        <x:f>G542/1000/E542</x:f>
        <x:v>1.754479247287351</x:v>
      </x:c>
    </x:row>
    <x:row r="543">
      <x:c r="A543" s="8" t="d">
        <x:v>2025-06-21T00:00:00.000Z</x:v>
      </x:c>
      <x:c r="B543" t="str">
        <x:v>Good</x:v>
      </x:c>
      <x:c r="C543" t="str">
        <x:v>Day off</x:v>
      </x:c>
      <x:c r="D543" s="10" t="n">
        <x:v>13.958333</x:v>
      </x:c>
      <x:c r="E543" s="12" t="n">
        <x:v>108852</x:v>
      </x:c>
      <x:c r="F543" s="12" t="n">
        <x:v>2624256</x:v>
      </x:c>
      <x:c r="G543" s="14" t="n">
        <x:v>289797326.53</x:v>
      </x:c>
      <x:c r="H543" t="n">
        <x:v>0</x:v>
      </x:c>
      <x:c r="I543" t="n">
        <x:f>IF(H543=0,1,0)</x:f>
        <x:v>1</x:v>
      </x:c>
      <x:c r="J543" s="16" t="n">
        <x:f>F543/E543</x:f>
        <x:v>24.108477565869254</x:v>
      </x:c>
      <x:c r="K543" s="16" t="n">
        <x:f>G543/1000/E543</x:f>
        <x:v>2.6623059432072904</x:v>
      </x:c>
    </x:row>
    <x:row r="544">
      <x:c r="A544" s="8" t="d">
        <x:v>2025-06-22T00:00:00.000Z</x:v>
      </x:c>
      <x:c r="B544" t="str">
        <x:v>Moderate</x:v>
      </x:c>
      <x:c r="C544" t="str">
        <x:v>Day off</x:v>
      </x:c>
      <x:c r="D544" s="10" t="n">
        <x:v>18.041667</x:v>
      </x:c>
      <x:c r="E544" s="12" t="n">
        <x:v>124126</x:v>
      </x:c>
      <x:c r="F544" s="12" t="n">
        <x:v>3235562</x:v>
      </x:c>
      <x:c r="G544" s="14" t="n">
        <x:v>370141174.72</x:v>
      </x:c>
      <x:c r="H544" t="n">
        <x:v>0</x:v>
      </x:c>
      <x:c r="I544" t="n">
        <x:f>IF(H544=0,1,0)</x:f>
        <x:v>1</x:v>
      </x:c>
      <x:c r="J544" s="16" t="n">
        <x:f>F544/E544</x:f>
        <x:v>26.066754749206453</x:v>
      </x:c>
      <x:c r="K544" s="16" t="n">
        <x:f>G544/1000/E544</x:f>
        <x:v>2.98197939770878</x:v>
      </x:c>
    </x:row>
    <x:row r="545">
      <x:c r="A545" s="8" t="d">
        <x:v>2025-06-23T00:00:00.000Z</x:v>
      </x:c>
      <x:c r="B545" t="str">
        <x:v>Moderate</x:v>
      </x:c>
      <x:c r="C545" t="str">
        <x:v>Workday</x:v>
      </x:c>
      <x:c r="D545" s="10" t="n">
        <x:v>22.12</x:v>
      </x:c>
      <x:c r="E545" s="12" t="n">
        <x:v>159484</x:v>
      </x:c>
      <x:c r="F545" s="12" t="n">
        <x:v>3245785</x:v>
      </x:c>
      <x:c r="G545" s="14" t="n">
        <x:v>375497021.57</x:v>
      </x:c>
      <x:c r="H545" t="n">
        <x:v>0</x:v>
      </x:c>
      <x:c r="I545" t="n">
        <x:f>IF(H545=0,1,0)</x:f>
        <x:v>1</x:v>
      </x:c>
      <x:c r="J545" s="16" t="n">
        <x:f>F545/E545</x:f>
        <x:v>20.351790775250183</x:v>
      </x:c>
      <x:c r="K545" s="16" t="n">
        <x:f>G545/1000/E545</x:f>
        <x:v>2.354449484399689</x:v>
      </x:c>
    </x:row>
    <x:row r="546">
      <x:c r="A546" s="8" t="d">
        <x:v>2025-06-24T00:00:00.000Z</x:v>
      </x:c>
      <x:c r="B546" t="str">
        <x:v>Good</x:v>
      </x:c>
      <x:c r="C546" t="str">
        <x:v>Workday</x:v>
      </x:c>
      <x:c r="D546" s="10" t="n">
        <x:v>12.64</x:v>
      </x:c>
      <x:c r="E546" s="12" t="n">
        <x:v>136676</x:v>
      </x:c>
      <x:c r="F546" s="12" t="n">
        <x:v>2574051</x:v>
      </x:c>
      <x:c r="G546" s="14" t="n">
        <x:v>294100265.85</x:v>
      </x:c>
      <x:c r="H546" t="n">
        <x:v>0</x:v>
      </x:c>
      <x:c r="I546" t="n">
        <x:f>IF(H546=0,1,0)</x:f>
        <x:v>1</x:v>
      </x:c>
      <x:c r="J546" s="16" t="n">
        <x:f>F546/E546</x:f>
        <x:v>18.833233340162135</x:v>
      </x:c>
      <x:c r="K546" s="16" t="n">
        <x:f>G546/1000/E546</x:f>
        <x:v>2.1518062121367323</x:v>
      </x:c>
    </x:row>
    <x:row r="547">
      <x:c r="A547" s="8" t="d">
        <x:v>2025-06-25T00:00:00.000Z</x:v>
      </x:c>
      <x:c r="B547" t="str">
        <x:v>Good</x:v>
      </x:c>
      <x:c r="C547" t="str">
        <x:v>Workday</x:v>
      </x:c>
      <x:c r="D547" s="10" t="n">
        <x:v>4.84</x:v>
      </x:c>
      <x:c r="E547" s="12" t="n">
        <x:v>51322</x:v>
      </x:c>
      <x:c r="F547" s="12" t="n">
        <x:v>939955</x:v>
      </x:c>
      <x:c r="G547" s="14" t="n">
        <x:v>99551668.27</x:v>
      </x:c>
      <x:c r="H547" t="n">
        <x:v>0</x:v>
      </x:c>
      <x:c r="I547" t="n">
        <x:f>IF(H547=0,1,0)</x:f>
        <x:v>1</x:v>
      </x:c>
      <x:c r="J547" s="16" t="n">
        <x:f>F547/E547</x:f>
        <x:v>18.31485522777756</x:v>
      </x:c>
      <x:c r="K547" s="16" t="n">
        <x:f>G547/1000/E547</x:f>
        <x:v>1.9397464687658312</x:v>
      </x:c>
    </x:row>
    <x:row r="548">
      <x:c r="A548" s="8" t="d">
        <x:v>2025-06-26T00:00:00.000Z</x:v>
      </x:c>
      <x:c r="B548" t="str">
        <x:v>Good</x:v>
      </x:c>
      <x:c r="C548" t="str">
        <x:v>Workday</x:v>
      </x:c>
      <x:c r="D548" s="10" t="n">
        <x:v>9.6</x:v>
      </x:c>
      <x:c r="E548" s="12" t="n">
        <x:v>146464</x:v>
      </x:c>
      <x:c r="F548" s="12" t="n">
        <x:v>3055379</x:v>
      </x:c>
      <x:c r="G548" s="14" t="n">
        <x:v>344920479.25</x:v>
      </x:c>
      <x:c r="H548" t="n">
        <x:v>0</x:v>
      </x:c>
      <x:c r="I548" t="n">
        <x:f>IF(H548=0,1,0)</x:f>
        <x:v>1</x:v>
      </x:c>
      <x:c r="J548" s="16" t="n">
        <x:f>F548/E548</x:f>
        <x:v>20.86095559318331</x:v>
      </x:c>
      <x:c r="K548" s="16" t="n">
        <x:f>G548/1000/E548</x:f>
        <x:v>2.3549847010186804</x:v>
      </x:c>
    </x:row>
    <x:row r="549">
      <x:c r="A549" s="8" t="d">
        <x:v>2025-06-27T00:00:00.000Z</x:v>
      </x:c>
      <x:c r="B549" t="str">
        <x:v>Moderate</x:v>
      </x:c>
      <x:c r="C549" t="str">
        <x:v>Workday</x:v>
      </x:c>
      <x:c r="D549" s="10" t="n">
        <x:v>18.88</x:v>
      </x:c>
      <x:c r="E549" s="12" t="n">
        <x:v>154648</x:v>
      </x:c>
      <x:c r="F549" s="12" t="n">
        <x:v>3140379</x:v>
      </x:c>
      <x:c r="G549" s="14" t="n">
        <x:v>353594477.16</x:v>
      </x:c>
      <x:c r="H549" t="n">
        <x:v>0</x:v>
      </x:c>
      <x:c r="I549" t="n">
        <x:f>IF(H549=0,1,0)</x:f>
        <x:v>1</x:v>
      </x:c>
      <x:c r="J549" s="16" t="n">
        <x:f>F549/E549</x:f>
        <x:v>20.306625368578967</x:v>
      </x:c>
      <x:c r="K549" s="16" t="n">
        <x:f>G549/1000/E549</x:f>
        <x:v>2.286447139051265</x:v>
      </x:c>
    </x:row>
    <x:row r="550">
      <x:c r="A550" s="8" t="d">
        <x:v>2025-06-28T00:00:00.000Z</x:v>
      </x:c>
      <x:c r="B550" t="str">
        <x:v>Moderate</x:v>
      </x:c>
      <x:c r="C550" t="str">
        <x:v>Day off</x:v>
      </x:c>
      <x:c r="D550" s="10" t="n">
        <x:v>22.56</x:v>
      </x:c>
      <x:c r="E550" s="12" t="n">
        <x:v>100480</x:v>
      </x:c>
      <x:c r="F550" s="12" t="n">
        <x:v>2243346</x:v>
      </x:c>
      <x:c r="G550" s="14" t="n">
        <x:v>250231378.57</x:v>
      </x:c>
      <x:c r="H550" t="n">
        <x:v>0</x:v>
      </x:c>
      <x:c r="I550" t="n">
        <x:f>IF(H550=0,1,0)</x:f>
        <x:v>1</x:v>
      </x:c>
      <x:c r="J550" s="16" t="n">
        <x:f>F550/E550</x:f>
        <x:v>22.32629378980892</x:v>
      </x:c>
      <x:c r="K550" s="16" t="n">
        <x:f>G550/1000/E550</x:f>
        <x:v>2.490360057424363</x:v>
      </x:c>
    </x:row>
    <x:row r="551">
      <x:c r="A551" s="8" t="d">
        <x:v>2025-06-29T00:00:00.000Z</x:v>
      </x:c>
      <x:c r="B551" t="str">
        <x:v>Good</x:v>
      </x:c>
      <x:c r="C551" t="str">
        <x:v>Day off</x:v>
      </x:c>
      <x:c r="D551" s="10" t="n">
        <x:v>10.56</x:v>
      </x:c>
      <x:c r="E551" s="12" t="n">
        <x:v>111429</x:v>
      </x:c>
      <x:c r="F551" s="12" t="n">
        <x:v>2708812</x:v>
      </x:c>
      <x:c r="G551" s="14" t="n">
        <x:v>312767132.15</x:v>
      </x:c>
      <x:c r="H551" t="n">
        <x:v>0</x:v>
      </x:c>
      <x:c r="I551" t="n">
        <x:f>IF(H551=0,1,0)</x:f>
        <x:v>1</x:v>
      </x:c>
      <x:c r="J551" s="16" t="n">
        <x:f>F551/E551</x:f>
        <x:v>24.309757782982885</x:v>
      </x:c>
      <x:c r="K551" s="16" t="n">
        <x:f>G551/1000/E551</x:f>
        <x:v>2.806873723626704</x:v>
      </x:c>
    </x:row>
    <x:row r="552">
      <x:c r="A552" s="8" t="d">
        <x:v>2025-06-30T00:00:00.000Z</x:v>
      </x:c>
      <x:c r="B552" t="str">
        <x:v>Good</x:v>
      </x:c>
      <x:c r="C552" t="str">
        <x:v>Workday</x:v>
      </x:c>
      <x:c r="D552" s="10" t="n">
        <x:v>5.56</x:v>
      </x:c>
      <x:c r="E552" s="12" t="n">
        <x:v>150277</x:v>
      </x:c>
      <x:c r="F552" s="12" t="n">
        <x:v>2955510</x:v>
      </x:c>
      <x:c r="G552" s="14" t="n">
        <x:v>340209895.53</x:v>
      </x:c>
      <x:c r="H552" t="n">
        <x:v>0</x:v>
      </x:c>
      <x:c r="I552" t="n">
        <x:f>IF(H552=0,1,0)</x:f>
        <x:v>1</x:v>
      </x:c>
      <x:c r="J552" s="16" t="n">
        <x:f>F552/E552</x:f>
        <x:v>19.667081456244137</x:v>
      </x:c>
      <x:c r="K552" s="16" t="n">
        <x:f>G552/1000/E552</x:f>
        <x:v>2.2638853286264697</x:v>
      </x:c>
    </x:row>
    <x:row r="553">
      <x:c r="A553" s="8" t="d">
        <x:v>2025-07-01T00:00:00.000Z</x:v>
      </x:c>
      <x:c r="B553" t="str">
        <x:v>Good</x:v>
      </x:c>
      <x:c r="C553" t="str">
        <x:v>Workday</x:v>
      </x:c>
      <x:c r="D553" s="10" t="n">
        <x:v>5.28</x:v>
      </x:c>
      <x:c r="E553" s="12" t="n">
        <x:v>132912</x:v>
      </x:c>
      <x:c r="F553" s="12" t="n">
        <x:v>2567608</x:v>
      </x:c>
      <x:c r="G553" s="14" t="n">
        <x:v>288127645.4</x:v>
      </x:c>
      <x:c r="H553" t="n">
        <x:v>0</x:v>
      </x:c>
      <x:c r="I553" t="n">
        <x:f>IF(H553=0,1,0)</x:f>
        <x:v>1</x:v>
      </x:c>
      <x:c r="J553" s="16" t="n">
        <x:f>F553/E553</x:f>
        <x:v>19.31810521247141</x:v>
      </x:c>
      <x:c r="K553" s="16" t="n">
        <x:f>G553/1000/E553</x:f>
        <x:v>2.167807612555676</x:v>
      </x:c>
    </x:row>
    <x:row r="554">
      <x:c r="A554" s="8" t="d">
        <x:v>2025-07-02T00:00:00.000Z</x:v>
      </x:c>
      <x:c r="B554" t="str">
        <x:v>Good</x:v>
      </x:c>
      <x:c r="C554" t="str">
        <x:v>Workday</x:v>
      </x:c>
      <x:c r="D554" s="10" t="n">
        <x:v>6.6</x:v>
      </x:c>
      <x:c r="E554" s="12" t="n">
        <x:v>151651</x:v>
      </x:c>
      <x:c r="F554" s="12" t="n">
        <x:v>2942558</x:v>
      </x:c>
      <x:c r="G554" s="14" t="n">
        <x:v>335419374.63</x:v>
      </x:c>
      <x:c r="H554" t="n">
        <x:v>0</x:v>
      </x:c>
      <x:c r="I554" t="n">
        <x:f>IF(H554=0,1,0)</x:f>
        <x:v>1</x:v>
      </x:c>
      <x:c r="J554" s="16" t="n">
        <x:f>F554/E554</x:f>
        <x:v>19.403485634779855</x:v>
      </x:c>
      <x:c r="K554" s="16" t="n">
        <x:f>G554/1000/E554</x:f>
        <x:v>2.2117847863185864</x:v>
      </x:c>
    </x:row>
    <x:row r="555">
      <x:c r="A555" s="8" t="d">
        <x:v>2025-07-03T00:00:00.000Z</x:v>
      </x:c>
      <x:c r="B555" t="str">
        <x:v>Moderate</x:v>
      </x:c>
      <x:c r="C555" t="str">
        <x:v>Workday</x:v>
      </x:c>
      <x:c r="D555" s="10" t="n">
        <x:v>16.08</x:v>
      </x:c>
      <x:c r="E555" s="12" t="n">
        <x:v>151091</x:v>
      </x:c>
      <x:c r="F555" s="12" t="n">
        <x:v>2938309</x:v>
      </x:c>
      <x:c r="G555" s="14" t="n">
        <x:v>334097249.33</x:v>
      </x:c>
      <x:c r="H555" t="n">
        <x:v>0</x:v>
      </x:c>
      <x:c r="I555" t="n">
        <x:f>IF(H555=0,1,0)</x:f>
        <x:v>1</x:v>
      </x:c>
      <x:c r="J555" s="16" t="n">
        <x:f>F555/E555</x:f>
        <x:v>19.44728011595661</x:v>
      </x:c>
      <x:c r="K555" s="16" t="n">
        <x:f>G555/1000/E555</x:f>
        <x:v>2.2112319683501993</x:v>
      </x:c>
    </x:row>
    <x:row r="556">
      <x:c r="A556" s="8" t="d">
        <x:v>2025-07-04T00:00:00.000Z</x:v>
      </x:c>
      <x:c r="B556" t="str">
        <x:v>Good</x:v>
      </x:c>
      <x:c r="C556" t="str">
        <x:v>Workday</x:v>
      </x:c>
      <x:c r="D556" s="10" t="n">
        <x:v>13.44</x:v>
      </x:c>
      <x:c r="E556" s="12" t="n">
        <x:v>151365</x:v>
      </x:c>
      <x:c r="F556" s="12" t="n">
        <x:v>2932860</x:v>
      </x:c>
      <x:c r="G556" s="14" t="n">
        <x:v>332940028.08</x:v>
      </x:c>
      <x:c r="H556" t="n">
        <x:v>0</x:v>
      </x:c>
      <x:c r="I556" t="n">
        <x:f>IF(H556=0,1,0)</x:f>
        <x:v>1</x:v>
      </x:c>
      <x:c r="J556" s="16" t="n">
        <x:f>F556/E556</x:f>
        <x:v>19.376077692993757</x:v>
      </x:c>
      <x:c r="K556" s="16" t="n">
        <x:f>G556/1000/E556</x:f>
        <x:v>2.1995839730452875</x:v>
      </x:c>
    </x:row>
    <x:row r="557">
      <x:c r="A557" s="8" t="d">
        <x:v>2025-07-05T00:00:00.000Z</x:v>
      </x:c>
      <x:c r="B557" t="str">
        <x:v>Good</x:v>
      </x:c>
      <x:c r="C557" t="str">
        <x:v>Day off</x:v>
      </x:c>
      <x:c r="D557" s="10" t="n">
        <x:v>11</x:v>
      </x:c>
      <x:c r="E557" s="12" t="n">
        <x:v>118353</x:v>
      </x:c>
      <x:c r="F557" s="12" t="n">
        <x:v>2743660</x:v>
      </x:c>
      <x:c r="G557" s="14" t="n">
        <x:v>306047684.08</x:v>
      </x:c>
      <x:c r="H557" t="n">
        <x:v>0</x:v>
      </x:c>
      <x:c r="I557" t="n">
        <x:f>IF(H557=0,1,0)</x:f>
        <x:v>1</x:v>
      </x:c>
      <x:c r="J557" s="16" t="n">
        <x:f>F557/E557</x:f>
        <x:v>23.182006370772182</x:v>
      </x:c>
      <x:c r="K557" s="16" t="n">
        <x:f>G557/1000/E557</x:f>
        <x:v>2.5858886895980664</x:v>
      </x:c>
    </x:row>
    <x:row r="558">
      <x:c r="A558" s="8" t="d">
        <x:v>2025-07-06T00:00:00.000Z</x:v>
      </x:c>
      <x:c r="B558" t="str">
        <x:v>Moderate</x:v>
      </x:c>
      <x:c r="C558" t="str">
        <x:v>Day off</x:v>
      </x:c>
      <x:c r="D558" s="10" t="n">
        <x:v>15.44</x:v>
      </x:c>
      <x:c r="E558" s="12" t="n">
        <x:v>106785</x:v>
      </x:c>
      <x:c r="F558" s="12" t="n">
        <x:v>2513193</x:v>
      </x:c>
      <x:c r="G558" s="14" t="n">
        <x:v>290890580.66</x:v>
      </x:c>
      <x:c r="H558" t="n">
        <x:v>0</x:v>
      </x:c>
      <x:c r="I558" t="n">
        <x:f>IF(H558=0,1,0)</x:f>
        <x:v>1</x:v>
      </x:c>
      <x:c r="J558" s="16" t="n">
        <x:f>F558/E558</x:f>
        <x:v>23.535075151004353</x:v>
      </x:c>
      <x:c r="K558" s="16" t="n">
        <x:f>G558/1000/E558</x:f>
        <x:v>2.724077170576392</x:v>
      </x:c>
    </x:row>
    <x:row r="559">
      <x:c r="A559" s="8" t="d">
        <x:v>2025-07-07T00:00:00.000Z</x:v>
      </x:c>
      <x:c r="B559" t="str">
        <x:v>Moderate</x:v>
      </x:c>
      <x:c r="C559" t="str">
        <x:v>Workday</x:v>
      </x:c>
      <x:c r="D559" s="10" t="n">
        <x:v>31.64</x:v>
      </x:c>
      <x:c r="E559" s="12" t="n">
        <x:v>146663</x:v>
      </x:c>
      <x:c r="F559" s="12" t="n">
        <x:v>2798578</x:v>
      </x:c>
      <x:c r="G559" s="14" t="n">
        <x:v>318913746.66</x:v>
      </x:c>
      <x:c r="H559" t="n">
        <x:v>0</x:v>
      </x:c>
      <x:c r="I559" t="n">
        <x:f>IF(H559=0,1,0)</x:f>
        <x:v>1</x:v>
      </x:c>
      <x:c r="J559" s="16" t="n">
        <x:f>F559/E559</x:f>
        <x:v>19.0816906786306</x:v>
      </x:c>
      <x:c r="K559" s="16" t="n">
        <x:f>G559/1000/E559</x:f>
        <x:v>2.174466270702222</x:v>
      </x:c>
    </x:row>
    <x:row r="560">
      <x:c r="A560" s="8" t="d">
        <x:v>2025-07-08T00:00:00.000Z</x:v>
      </x:c>
      <x:c r="B560" t="str">
        <x:v>Moderate</x:v>
      </x:c>
      <x:c r="C560" t="str">
        <x:v>Workday</x:v>
      </x:c>
      <x:c r="D560" s="10" t="n">
        <x:v>27.56</x:v>
      </x:c>
      <x:c r="E560" s="12" t="n">
        <x:v>115370</x:v>
      </x:c>
      <x:c r="F560" s="12" t="n">
        <x:v>2004674</x:v>
      </x:c>
      <x:c r="G560" s="14" t="n">
        <x:v>216566782.35</x:v>
      </x:c>
      <x:c r="H560" t="n">
        <x:v>0</x:v>
      </x:c>
      <x:c r="I560" t="n">
        <x:f>IF(H560=0,1,0)</x:f>
        <x:v>1</x:v>
      </x:c>
      <x:c r="J560" s="16" t="n">
        <x:f>F560/E560</x:f>
        <x:v>17.376042298691168</x:v>
      </x:c>
      <x:c r="K560" s="16" t="n">
        <x:f>G560/1000/E560</x:f>
        <x:v>1.8771498860188958</x:v>
      </x:c>
    </x:row>
    <x:row r="561">
      <x:c r="A561" s="8" t="d">
        <x:v>2025-07-09T00:00:00.000Z</x:v>
      </x:c>
      <x:c r="B561" t="str">
        <x:v>Moderate</x:v>
      </x:c>
      <x:c r="C561" t="str">
        <x:v>Workday</x:v>
      </x:c>
      <x:c r="D561" s="10" t="n">
        <x:v>15.28</x:v>
      </x:c>
      <x:c r="E561" s="12" t="n">
        <x:v>136302</x:v>
      </x:c>
      <x:c r="F561" s="12" t="n">
        <x:v>2509864</x:v>
      </x:c>
      <x:c r="G561" s="14" t="n">
        <x:v>280173400.95</x:v>
      </x:c>
      <x:c r="H561" t="n">
        <x:v>0</x:v>
      </x:c>
      <x:c r="I561" t="n">
        <x:f>IF(H561=0,1,0)</x:f>
        <x:v>1</x:v>
      </x:c>
      <x:c r="J561" s="16" t="n">
        <x:f>F561/E561</x:f>
        <x:v>18.413992457924316</x:v>
      </x:c>
      <x:c r="K561" s="16" t="n">
        <x:f>G561/1000/E561</x:f>
        <x:v>2.055534041686842</x:v>
      </x:c>
    </x:row>
    <x:row r="562">
      <x:c r="A562" s="8" t="d">
        <x:v>2025-07-10T00:00:00.000Z</x:v>
      </x:c>
      <x:c r="B562" t="str">
        <x:v>Good</x:v>
      </x:c>
      <x:c r="C562" t="str">
        <x:v>Workday</x:v>
      </x:c>
      <x:c r="D562" s="10" t="n">
        <x:v>8.24</x:v>
      </x:c>
      <x:c r="E562" s="12" t="n">
        <x:v>139732</x:v>
      </x:c>
      <x:c r="F562" s="12" t="n">
        <x:v>2605611</x:v>
      </x:c>
      <x:c r="G562" s="14" t="n">
        <x:v>289237986.61</x:v>
      </x:c>
      <x:c r="H562" t="n">
        <x:v>0</x:v>
      </x:c>
      <x:c r="I562" t="n">
        <x:f>IF(H562=0,1,0)</x:f>
        <x:v>1</x:v>
      </x:c>
      <x:c r="J562" s="16" t="n">
        <x:f>F562/E562</x:f>
        <x:v>18.647203217587954</x:v>
      </x:c>
      <x:c r="K562" s="16" t="n">
        <x:f>G562/1000/E562</x:f>
        <x:v>2.0699480907022014</x:v>
      </x:c>
    </x:row>
    <x:row r="563">
      <x:c r="A563" s="8" t="d">
        <x:v>2025-07-11T00:00:00.000Z</x:v>
      </x:c>
      <x:c r="B563" t="str">
        <x:v>Good</x:v>
      </x:c>
      <x:c r="C563" t="str">
        <x:v>Workday</x:v>
      </x:c>
      <x:c r="D563" s="10" t="n">
        <x:v>6.96</x:v>
      </x:c>
      <x:c r="E563" s="12" t="n">
        <x:v>144181</x:v>
      </x:c>
      <x:c r="F563" s="12" t="n">
        <x:v>2781326</x:v>
      </x:c>
      <x:c r="G563" s="14" t="n">
        <x:v>308410532.22</x:v>
      </x:c>
      <x:c r="H563" t="n">
        <x:v>0</x:v>
      </x:c>
      <x:c r="I563" t="n">
        <x:f>IF(H563=0,1,0)</x:f>
        <x:v>1</x:v>
      </x:c>
      <x:c r="J563" s="16" t="n">
        <x:f>F563/E563</x:f>
        <x:v>19.29051678099056</x:v>
      </x:c>
      <x:c r="K563" s="16" t="n">
        <x:f>G563/1000/E563</x:f>
        <x:v>2.13905113863824</x:v>
      </x:c>
    </x:row>
    <x:row r="564">
      <x:c r="A564" s="8" t="d">
        <x:v>2025-07-12T00:00:00.000Z</x:v>
      </x:c>
      <x:c r="B564" t="str">
        <x:v>Good</x:v>
      </x:c>
      <x:c r="C564" t="str">
        <x:v>Day off</x:v>
      </x:c>
      <x:c r="D564" s="10" t="n">
        <x:v>7.12</x:v>
      </x:c>
      <x:c r="E564" s="12" t="n">
        <x:v>109929</x:v>
      </x:c>
      <x:c r="F564" s="12" t="n">
        <x:v>2485577</x:v>
      </x:c>
      <x:c r="G564" s="14" t="n">
        <x:v>278068032.1</x:v>
      </x:c>
      <x:c r="H564" t="n">
        <x:v>0</x:v>
      </x:c>
      <x:c r="I564" t="n">
        <x:f>IF(H564=0,1,0)</x:f>
        <x:v>1</x:v>
      </x:c>
      <x:c r="J564" s="16" t="n">
        <x:f>F564/E564</x:f>
        <x:v>22.610748756015248</x:v>
      </x:c>
      <x:c r="K564" s="16" t="n">
        <x:f>G564/1000/E564</x:f>
        <x:v>2.5295238936040536</x:v>
      </x:c>
    </x:row>
    <x:row r="565">
      <x:c r="A565" s="8" t="d">
        <x:v>2025-07-13T00:00:00.000Z</x:v>
      </x:c>
      <x:c r="B565" t="str">
        <x:v>Moderate</x:v>
      </x:c>
      <x:c r="C565" t="str">
        <x:v>Day off</x:v>
      </x:c>
      <x:c r="D565" s="10" t="n">
        <x:v>19.2</x:v>
      </x:c>
      <x:c r="E565" s="12" t="n">
        <x:v>90889</x:v>
      </x:c>
      <x:c r="F565" s="12" t="n">
        <x:v>2118864</x:v>
      </x:c>
      <x:c r="G565" s="14" t="n">
        <x:v>250478477.49</x:v>
      </x:c>
      <x:c r="H565" t="n">
        <x:v>0</x:v>
      </x:c>
      <x:c r="I565" t="n">
        <x:f>IF(H565=0,1,0)</x:f>
        <x:v>1</x:v>
      </x:c>
      <x:c r="J565" s="16" t="n">
        <x:f>F565/E565</x:f>
        <x:v>23.312656096997436</x:v>
      </x:c>
      <x:c r="K565" s="16" t="n">
        <x:f>G565/1000/E565</x:f>
        <x:v>2.7558723001683374</x:v>
      </x:c>
    </x:row>
    <x:row r="566">
      <x:c r="A566" s="8" t="d">
        <x:v>2025-07-14T00:00:00.000Z</x:v>
      </x:c>
      <x:c r="B566" t="str">
        <x:v>Good</x:v>
      </x:c>
      <x:c r="C566" t="str">
        <x:v>Workday</x:v>
      </x:c>
      <x:c r="D566" s="10" t="n">
        <x:v>12.72</x:v>
      </x:c>
      <x:c r="E566" s="12" t="n">
        <x:v>67420</x:v>
      </x:c>
      <x:c r="F566" s="12" t="n">
        <x:v>1144656</x:v>
      </x:c>
      <x:c r="G566" s="14" t="n">
        <x:v>127678292.57</x:v>
      </x:c>
      <x:c r="H566" t="n">
        <x:v>0</x:v>
      </x:c>
      <x:c r="I566" t="n">
        <x:f>IF(H566=0,1,0)</x:f>
        <x:v>1</x:v>
      </x:c>
      <x:c r="J566" s="16" t="n">
        <x:f>F566/E566</x:f>
        <x:v>16.9779887273806</x:v>
      </x:c>
      <x:c r="K566" s="16" t="n">
        <x:f>G566/1000/E566</x:f>
        <x:v>1.8937747340551763</x:v>
      </x:c>
    </x:row>
    <x:row r="567">
      <x:c r="A567" s="8" t="d">
        <x:v>2025-07-15T00:00:00.000Z</x:v>
      </x:c>
      <x:c r="B567" t="str">
        <x:v>Good</x:v>
      </x:c>
      <x:c r="C567" t="str">
        <x:v>Workday</x:v>
      </x:c>
      <x:c r="D567" s="10" t="n">
        <x:v>4.28</x:v>
      </x:c>
      <x:c r="E567" s="12" t="n">
        <x:v>109498</x:v>
      </x:c>
      <x:c r="F567" s="12" t="n">
        <x:v>2195993</x:v>
      </x:c>
      <x:c r="G567" s="14" t="n">
        <x:v>248761720.38</x:v>
      </x:c>
      <x:c r="H567" t="n">
        <x:v>0</x:v>
      </x:c>
      <x:c r="I567" t="n">
        <x:f>IF(H567=0,1,0)</x:f>
        <x:v>1</x:v>
      </x:c>
      <x:c r="J567" s="16" t="n">
        <x:f>F567/E567</x:f>
        <x:v>20.055096896746974</x:v>
      </x:c>
      <x:c r="K567" s="16" t="n">
        <x:f>G567/1000/E567</x:f>
        <x:v>2.2718380279091854</x:v>
      </x:c>
    </x:row>
    <x:row r="568">
      <x:c r="A568" s="8" t="d">
        <x:v>2025-07-16T00:00:00.000Z</x:v>
      </x:c>
      <x:c r="B568" t="str">
        <x:v>Good</x:v>
      </x:c>
      <x:c r="C568" t="str">
        <x:v>Workday</x:v>
      </x:c>
      <x:c r="D568" s="10" t="n">
        <x:v>11.16</x:v>
      </x:c>
      <x:c r="E568" s="12" t="n">
        <x:v>51408</x:v>
      </x:c>
      <x:c r="F568" s="12" t="n">
        <x:v>816964</x:v>
      </x:c>
      <x:c r="G568" s="14" t="n">
        <x:v>92544505.58</x:v>
      </x:c>
      <x:c r="H568" t="n">
        <x:v>0</x:v>
      </x:c>
      <x:c r="I568" t="n">
        <x:f>IF(H568=0,1,0)</x:f>
        <x:v>1</x:v>
      </x:c>
      <x:c r="J568" s="16" t="n">
        <x:f>F568/E568</x:f>
        <x:v>15.891767818238407</x:v>
      </x:c>
      <x:c r="K568" s="16" t="n">
        <x:f>G568/1000/E568</x:f>
        <x:v>1.8001965760192966</x:v>
      </x:c>
    </x:row>
    <x:row r="569">
      <x:c r="A569" s="8" t="d">
        <x:v>2025-07-17T00:00:00.000Z</x:v>
      </x:c>
      <x:c r="B569" t="str">
        <x:v>Good</x:v>
      </x:c>
      <x:c r="C569" t="str">
        <x:v>Workday</x:v>
      </x:c>
      <x:c r="D569" s="10" t="n">
        <x:v>4.32</x:v>
      </x:c>
      <x:c r="E569" s="12" t="n">
        <x:v>30839</x:v>
      </x:c>
      <x:c r="F569" s="12" t="n">
        <x:v>603258</x:v>
      </x:c>
      <x:c r="G569" s="14" t="n">
        <x:v>55514898.07</x:v>
      </x:c>
      <x:c r="H569" t="n">
        <x:v>0</x:v>
      </x:c>
      <x:c r="I569" t="n">
        <x:f>IF(H569=0,1,0)</x:f>
        <x:v>1</x:v>
      </x:c>
      <x:c r="J569" s="16" t="n">
        <x:f>F569/E569</x:f>
        <x:v>19.561529232465386</x:v>
      </x:c>
      <x:c r="K569" s="16" t="n">
        <x:f>G569/1000/E569</x:f>
        <x:v>1.8001523418398782</x:v>
      </x:c>
    </x:row>
    <x:row r="570">
      <x:c r="A570" s="8" t="d">
        <x:v>2025-07-18T00:00:00.000Z</x:v>
      </x:c>
      <x:c r="B570" t="str">
        <x:v>Good</x:v>
      </x:c>
      <x:c r="C570" t="str">
        <x:v>Workday</x:v>
      </x:c>
      <x:c r="D570" s="10" t="n">
        <x:v>5.2</x:v>
      </x:c>
      <x:c r="E570" s="12" t="n">
        <x:v>83541</x:v>
      </x:c>
      <x:c r="F570" s="12" t="n">
        <x:v>1626004</x:v>
      </x:c>
      <x:c r="G570" s="14" t="n">
        <x:v>173262585.49</x:v>
      </x:c>
      <x:c r="H570" t="n">
        <x:v>0</x:v>
      </x:c>
      <x:c r="I570" t="n">
        <x:f>IF(H570=0,1,0)</x:f>
        <x:v>1</x:v>
      </x:c>
      <x:c r="J570" s="16" t="n">
        <x:f>F570/E570</x:f>
        <x:v>19.463544846243163</x:v>
      </x:c>
      <x:c r="K570" s="16" t="n">
        <x:f>G570/1000/E570</x:f>
        <x:v>2.0739826610885674</x:v>
      </x:c>
    </x:row>
    <x:row r="571">
      <x:c r="A571" s="8" t="d">
        <x:v>2025-07-19T00:00:00.000Z</x:v>
      </x:c>
      <x:c r="B571" t="str">
        <x:v>Good</x:v>
      </x:c>
      <x:c r="C571" t="str">
        <x:v>Day off</x:v>
      </x:c>
      <x:c r="D571" s="10" t="n">
        <x:v>3.76</x:v>
      </x:c>
      <x:c r="E571" s="12" t="n">
        <x:v>37126</x:v>
      </x:c>
      <x:c r="F571" s="12" t="n">
        <x:v>787694</x:v>
      </x:c>
      <x:c r="G571" s="14" t="n">
        <x:v>77856524.5</x:v>
      </x:c>
      <x:c r="H571" t="n">
        <x:v>0</x:v>
      </x:c>
      <x:c r="I571" t="n">
        <x:f>IF(H571=0,1,0)</x:f>
        <x:v>1</x:v>
      </x:c>
      <x:c r="J571" s="16" t="n">
        <x:f>F571/E571</x:f>
        <x:v>21.21677530571567</x:v>
      </x:c>
      <x:c r="K571" s="16" t="n">
        <x:f>G571/1000/E571</x:f>
        <x:v>2.0970889538328934</x:v>
      </x:c>
    </x:row>
    <x:row r="572">
      <x:c r="A572" s="8" t="d">
        <x:v>2025-07-20T00:00:00.000Z</x:v>
      </x:c>
      <x:c r="B572" t="str">
        <x:v>Good</x:v>
      </x:c>
      <x:c r="C572" t="str">
        <x:v>Day off</x:v>
      </x:c>
      <x:c r="D572" s="10" t="n">
        <x:v>6.32</x:v>
      </x:c>
      <x:c r="E572" s="12" t="n">
        <x:v>90404</x:v>
      </x:c>
      <x:c r="F572" s="12" t="n">
        <x:v>2209224</x:v>
      </x:c>
      <x:c r="G572" s="14" t="n">
        <x:v>246863884.13</x:v>
      </x:c>
      <x:c r="H572" t="n">
        <x:v>0</x:v>
      </x:c>
      <x:c r="I572" t="n">
        <x:f>IF(H572=0,1,0)</x:f>
        <x:v>1</x:v>
      </x:c>
      <x:c r="J572" s="16" t="n">
        <x:f>F572/E572</x:f>
        <x:v>24.437237290385383</x:v>
      </x:c>
      <x:c r="K572" s="16" t="n">
        <x:f>G572/1000/E572</x:f>
        <x:v>2.7306743521304364</x:v>
      </x:c>
    </x:row>
    <x:row r="573">
      <x:c r="A573" s="8" t="d">
        <x:v>2025-07-21T00:00:00.000Z</x:v>
      </x:c>
      <x:c r="B573" t="str">
        <x:v>Good</x:v>
      </x:c>
      <x:c r="C573" t="str">
        <x:v>Workday</x:v>
      </x:c>
      <x:c r="D573" s="10" t="n">
        <x:v>8.36</x:v>
      </x:c>
      <x:c r="E573" s="12" t="n">
        <x:v>140597</x:v>
      </x:c>
      <x:c r="F573" s="12" t="n">
        <x:v>2791253</x:v>
      </x:c>
      <x:c r="G573" s="14" t="n">
        <x:v>312911542.73</x:v>
      </x:c>
      <x:c r="H573" t="n">
        <x:v>0</x:v>
      </x:c>
      <x:c r="I573" t="n">
        <x:f>IF(H573=0,1,0)</x:f>
        <x:v>1</x:v>
      </x:c>
      <x:c r="J573" s="16" t="n">
        <x:f>F573/E573</x:f>
        <x:v>19.85286314786233</x:v>
      </x:c>
      <x:c r="K573" s="16" t="n">
        <x:f>G573/1000/E573</x:f>
        <x:v>2.225591888375997</x:v>
      </x:c>
    </x:row>
    <x:row r="574">
      <x:c r="A574" s="8" t="d">
        <x:v>2025-07-22T00:00:00.000Z</x:v>
      </x:c>
      <x:c r="B574" t="str">
        <x:v>Good</x:v>
      </x:c>
      <x:c r="C574" t="str">
        <x:v>Workday</x:v>
      </x:c>
      <x:c r="D574" s="10" t="n">
        <x:v>6.88</x:v>
      </x:c>
      <x:c r="E574" s="12" t="n">
        <x:v>143954</x:v>
      </x:c>
      <x:c r="F574" s="12" t="n">
        <x:v>2789862</x:v>
      </x:c>
      <x:c r="G574" s="14" t="n">
        <x:v>312945210.04</x:v>
      </x:c>
      <x:c r="H574" t="n">
        <x:v>0</x:v>
      </x:c>
      <x:c r="I574" t="n">
        <x:f>IF(H574=0,1,0)</x:f>
        <x:v>1</x:v>
      </x:c>
      <x:c r="J574" s="16" t="n">
        <x:f>F574/E574</x:f>
        <x:v>19.380232574294567</x:v>
      </x:c>
      <x:c r="K574" s="16" t="n">
        <x:f>G574/1000/E574</x:f>
        <x:v>2.173925073565167</x:v>
      </x:c>
    </x:row>
    <x:row r="575">
      <x:c r="A575" s="8" t="d">
        <x:v>2025-07-23T00:00:00.000Z</x:v>
      </x:c>
      <x:c r="B575" t="str">
        <x:v>Good</x:v>
      </x:c>
      <x:c r="C575" t="str">
        <x:v>Workday</x:v>
      </x:c>
      <x:c r="D575" s="10" t="n">
        <x:v>7.56</x:v>
      </x:c>
      <x:c r="E575" s="12" t="n">
        <x:v>144386</x:v>
      </x:c>
      <x:c r="F575" s="12" t="n">
        <x:v>2813969</x:v>
      </x:c>
      <x:c r="G575" s="14" t="n">
        <x:v>313640240.8</x:v>
      </x:c>
      <x:c r="H575" t="n">
        <x:v>0</x:v>
      </x:c>
      <x:c r="I575" t="n">
        <x:f>IF(H575=0,1,0)</x:f>
        <x:v>1</x:v>
      </x:c>
      <x:c r="J575" s="16" t="n">
        <x:f>F575/E575</x:f>
        <x:v>19.489209480143504</x:v>
      </x:c>
      <x:c r="K575" s="16" t="n">
        <x:f>G575/1000/E575</x:f>
        <x:v>2.1722344327012317</x:v>
      </x:c>
    </x:row>
    <x:row r="576">
      <x:c r="A576" s="8" t="d">
        <x:v>2025-07-24T00:00:00.000Z</x:v>
      </x:c>
      <x:c r="B576" t="str">
        <x:v>Good</x:v>
      </x:c>
      <x:c r="C576" t="str">
        <x:v>Workday</x:v>
      </x:c>
      <x:c r="D576" s="10" t="n">
        <x:v>14.88</x:v>
      </x:c>
      <x:c r="E576" s="12" t="n">
        <x:v>138903</x:v>
      </x:c>
      <x:c r="F576" s="12" t="n">
        <x:v>2654701</x:v>
      </x:c>
      <x:c r="G576" s="14" t="n">
        <x:v>296304815.6</x:v>
      </x:c>
      <x:c r="H576" t="n">
        <x:v>0</x:v>
      </x:c>
      <x:c r="I576" t="n">
        <x:f>IF(H576=0,1,0)</x:f>
        <x:v>1</x:v>
      </x:c>
      <x:c r="J576" s="16" t="n">
        <x:f>F576/E576</x:f>
        <x:v>19.11190543040827</x:v>
      </x:c>
      <x:c r="K576" s="16" t="n">
        <x:f>G576/1000/E576</x:f>
        <x:v>2.13317794144115</x:v>
      </x:c>
    </x:row>
    <x:row r="577">
      <x:c r="A577" s="8" t="d">
        <x:v>2025-07-25T00:00:00.000Z</x:v>
      </x:c>
      <x:c r="B577" t="str">
        <x:v>Moderate</x:v>
      </x:c>
      <x:c r="C577" t="str">
        <x:v>Workday</x:v>
      </x:c>
      <x:c r="D577" s="10" t="n">
        <x:v>21.52</x:v>
      </x:c>
      <x:c r="E577" s="12" t="n">
        <x:v>130671</x:v>
      </x:c>
      <x:c r="F577" s="12" t="n">
        <x:v>2475071</x:v>
      </x:c>
      <x:c r="G577" s="14" t="n">
        <x:v>270271098.5</x:v>
      </x:c>
      <x:c r="H577" t="n">
        <x:v>0</x:v>
      </x:c>
      <x:c r="I577" t="n">
        <x:f>IF(H577=0,1,0)</x:f>
        <x:v>1</x:v>
      </x:c>
      <x:c r="J577" s="16" t="n">
        <x:f>F577/E577</x:f>
        <x:v>18.941241744533983</x:v>
      </x:c>
      <x:c r="K577" s="16" t="n">
        <x:f>G577/1000/E577</x:f>
        <x:v>2.0683326713654906</x:v>
      </x:c>
    </x:row>
    <x:row r="578">
      <x:c r="A578" s="8" t="d">
        <x:v>2025-07-26T00:00:00.000Z</x:v>
      </x:c>
      <x:c r="B578" t="str">
        <x:v>Moderate</x:v>
      </x:c>
      <x:c r="C578" t="str">
        <x:v>Day off</x:v>
      </x:c>
      <x:c r="D578" s="10" t="n">
        <x:v>15.2</x:v>
      </x:c>
      <x:c r="E578" s="12" t="n">
        <x:v>92788</x:v>
      </x:c>
      <x:c r="F578" s="12" t="n">
        <x:v>1990471</x:v>
      </x:c>
      <x:c r="G578" s="14" t="n">
        <x:v>216633041.93</x:v>
      </x:c>
      <x:c r="H578" t="n">
        <x:v>0</x:v>
      </x:c>
      <x:c r="I578" t="n">
        <x:f>IF(H578=0,1,0)</x:f>
        <x:v>1</x:v>
      </x:c>
      <x:c r="J578" s="16" t="n">
        <x:f>F578/E578</x:f>
        <x:v>21.451814889856447</x:v>
      </x:c>
      <x:c r="K578" s="16" t="n">
        <x:f>G578/1000/E578</x:f>
        <x:v>2.334709681532095</x:v>
      </x:c>
    </x:row>
    <x:row r="579">
      <x:c r="A579" s="8" t="d">
        <x:v>2025-07-27T00:00:00.000Z</x:v>
      </x:c>
      <x:c r="B579" t="str">
        <x:v>Good</x:v>
      </x:c>
      <x:c r="C579" t="str">
        <x:v>Day off</x:v>
      </x:c>
      <x:c r="D579" s="10" t="n">
        <x:v>12.44</x:v>
      </x:c>
      <x:c r="E579" s="12" t="n">
        <x:v>79637</x:v>
      </x:c>
      <x:c r="F579" s="12" t="n">
        <x:v>1730407</x:v>
      </x:c>
      <x:c r="G579" s="14" t="n">
        <x:v>198647166.5</x:v>
      </x:c>
      <x:c r="H579" t="n">
        <x:v>0</x:v>
      </x:c>
      <x:c r="I579" t="n">
        <x:f>IF(H579=0,1,0)</x:f>
        <x:v>1</x:v>
      </x:c>
      <x:c r="J579" s="16" t="n">
        <x:f>F579/E579</x:f>
        <x:v>21.72868139181536</x:v>
      </x:c>
      <x:c r="K579" s="16" t="n">
        <x:f>G579/1000/E579</x:f>
        <x:v>2.494407957356505</x:v>
      </x:c>
    </x:row>
    <x:row r="580">
      <x:c r="A580" s="8" t="d">
        <x:v>2025-07-28T00:00:00.000Z</x:v>
      </x:c>
      <x:c r="B580" t="str">
        <x:v>Moderate</x:v>
      </x:c>
      <x:c r="C580" t="str">
        <x:v>Workday</x:v>
      </x:c>
      <x:c r="D580" s="10" t="n">
        <x:v>25.44</x:v>
      </x:c>
      <x:c r="E580" s="12" t="n">
        <x:v>119819</x:v>
      </x:c>
      <x:c r="F580" s="12" t="n">
        <x:v>2253187</x:v>
      </x:c>
      <x:c r="G580" s="14" t="n">
        <x:v>247956805.34</x:v>
      </x:c>
      <x:c r="H580" t="n">
        <x:v>0</x:v>
      </x:c>
      <x:c r="I580" t="n">
        <x:f>IF(H580=0,1,0)</x:f>
        <x:v>1</x:v>
      </x:c>
      <x:c r="J580" s="16" t="n">
        <x:f>F580/E580</x:f>
        <x:v>18.804922424657192</x:v>
      </x:c>
      <x:c r="K580" s="16" t="n">
        <x:f>G580/1000/E580</x:f>
        <x:v>2.069428098548644</x:v>
      </x:c>
    </x:row>
    <x:row r="581">
      <x:c r="A581" s="8" t="d">
        <x:v>2025-07-29T00:00:00.000Z</x:v>
      </x:c>
      <x:c r="B581" t="str">
        <x:v>Moderate</x:v>
      </x:c>
      <x:c r="C581" t="str">
        <x:v>Workday</x:v>
      </x:c>
      <x:c r="D581" s="10" t="n">
        <x:v>25.6</x:v>
      </x:c>
      <x:c r="E581" s="12" t="n">
        <x:v>122990</x:v>
      </x:c>
      <x:c r="F581" s="12" t="n">
        <x:v>2286512</x:v>
      </x:c>
      <x:c r="G581" s="14" t="n">
        <x:v>252268588.26</x:v>
      </x:c>
      <x:c r="H581" t="n">
        <x:v>0</x:v>
      </x:c>
      <x:c r="I581" t="n">
        <x:f>IF(H581=0,1,0)</x:f>
        <x:v>1</x:v>
      </x:c>
      <x:c r="J581" s="16" t="n">
        <x:f>F581/E581</x:f>
        <x:v>18.591039921944873</x:v>
      </x:c>
      <x:c r="K581" s="16" t="n">
        <x:f>G581/1000/E581</x:f>
        <x:v>2.05113089080413</x:v>
      </x:c>
    </x:row>
    <x:row r="582">
      <x:c r="A582" s="8" t="d">
        <x:v>2025-07-30T00:00:00.000Z</x:v>
      </x:c>
      <x:c r="B582" t="str">
        <x:v>Moderate</x:v>
      </x:c>
      <x:c r="C582" t="str">
        <x:v>Workday</x:v>
      </x:c>
      <x:c r="D582" s="10" t="n">
        <x:v>20.36</x:v>
      </x:c>
      <x:c r="E582" s="12" t="n">
        <x:v>126207</x:v>
      </x:c>
      <x:c r="F582" s="12" t="n">
        <x:v>2363196</x:v>
      </x:c>
      <x:c r="G582" s="14" t="n">
        <x:v>262927122.06</x:v>
      </x:c>
      <x:c r="H582" t="n">
        <x:v>0</x:v>
      </x:c>
      <x:c r="I582" t="n">
        <x:f>IF(H582=0,1,0)</x:f>
        <x:v>1</x:v>
      </x:c>
      <x:c r="J582" s="16" t="n">
        <x:f>F582/E582</x:f>
        <x:v>18.724761701014998</x:v>
      </x:c>
      <x:c r="K582" s="16" t="n">
        <x:f>G582/1000/E582</x:f>
        <x:v>2.083300625638832</x:v>
      </x:c>
    </x:row>
    <x:row r="583">
      <x:c r="A583" s="8" t="d">
        <x:v>2025-07-31T00:00:00.000Z</x:v>
      </x:c>
      <x:c r="B583" t="str">
        <x:v>Moderate</x:v>
      </x:c>
      <x:c r="C583" t="str">
        <x:v>Workday</x:v>
      </x:c>
      <x:c r="D583" s="10" t="n">
        <x:v>19.36</x:v>
      </x:c>
      <x:c r="E583" s="12" t="n">
        <x:v>130746</x:v>
      </x:c>
      <x:c r="F583" s="12" t="n">
        <x:v>2522704</x:v>
      </x:c>
      <x:c r="G583" s="14" t="n">
        <x:v>280415925.55</x:v>
      </x:c>
      <x:c r="H583" t="n">
        <x:v>0</x:v>
      </x:c>
      <x:c r="I583" t="n">
        <x:f>IF(H583=0,1,0)</x:f>
        <x:v>1</x:v>
      </x:c>
      <x:c r="J583" s="16" t="n">
        <x:f>F583/E583</x:f>
        <x:v>19.294693527909075</x:v>
      </x:c>
      <x:c r="K583" s="16" t="n">
        <x:f>G583/1000/E583</x:f>
        <x:v>2.14473808414789</x:v>
      </x:c>
    </x:row>
    <x:row r="584">
      <x:c r="A584" s="8" t="d">
        <x:v>2025-08-01T00:00:00.000Z</x:v>
      </x:c>
      <x:c r="B584" t="str">
        <x:v>Moderate</x:v>
      </x:c>
      <x:c r="C584" t="str">
        <x:v>Workday</x:v>
      </x:c>
      <x:c r="D584" s="10" t="n">
        <x:v>26</x:v>
      </x:c>
      <x:c r="E584" s="12" t="n">
        <x:v>125616</x:v>
      </x:c>
      <x:c r="F584" s="12" t="n">
        <x:v>2407226</x:v>
      </x:c>
      <x:c r="G584" s="14" t="n">
        <x:v>265183204.78</x:v>
      </x:c>
      <x:c r="H584" t="n">
        <x:v>0</x:v>
      </x:c>
      <x:c r="I584" t="n">
        <x:f>IF(H584=0,1,0)</x:f>
        <x:v>1</x:v>
      </x:c>
      <x:c r="J584" s="16" t="n">
        <x:f>F584/E584</x:f>
        <x:v>19.163370908164566</x:v>
      </x:c>
      <x:c r="K584" s="16" t="n">
        <x:f>G584/1000/E584</x:f>
        <x:v>2.111062323111706</x:v>
      </x:c>
    </x:row>
    <x:row r="585">
      <x:c r="A585" s="8" t="d">
        <x:v>2025-08-02T00:00:00.000Z</x:v>
      </x:c>
      <x:c r="B585" t="str">
        <x:v>Moderate</x:v>
      </x:c>
      <x:c r="C585" t="str">
        <x:v>Day off</x:v>
      </x:c>
      <x:c r="D585" s="10" t="n">
        <x:v>25.24</x:v>
      </x:c>
      <x:c r="E585" s="12" t="n">
        <x:v>96593</x:v>
      </x:c>
      <x:c r="F585" s="12" t="n">
        <x:v>2151064</x:v>
      </x:c>
      <x:c r="G585" s="14" t="n">
        <x:v>239432608.16</x:v>
      </x:c>
      <x:c r="H585" t="n">
        <x:v>0</x:v>
      </x:c>
      <x:c r="I585" t="n">
        <x:f>IF(H585=0,1,0)</x:f>
        <x:v>1</x:v>
      </x:c>
      <x:c r="J585" s="16" t="n">
        <x:f>F585/E585</x:f>
        <x:v>22.269356992742747</x:v>
      </x:c>
      <x:c r="K585" s="16" t="n">
        <x:f>G585/1000/E585</x:f>
        <x:v>2.4787780497551584</x:v>
      </x:c>
    </x:row>
    <x:row r="586">
      <x:c r="A586" s="8" t="d">
        <x:v>2025-08-03T00:00:00.000Z</x:v>
      </x:c>
      <x:c r="B586" t="str">
        <x:v>Moderate</x:v>
      </x:c>
      <x:c r="C586" t="str">
        <x:v>Day off</x:v>
      </x:c>
      <x:c r="D586" s="10" t="n">
        <x:v>21.96</x:v>
      </x:c>
      <x:c r="E586" s="12" t="n">
        <x:v>71584</x:v>
      </x:c>
      <x:c r="F586" s="12" t="n">
        <x:v>1515522</x:v>
      </x:c>
      <x:c r="G586" s="14" t="n">
        <x:v>171776206.47</x:v>
      </x:c>
      <x:c r="H586" t="n">
        <x:v>0</x:v>
      </x:c>
      <x:c r="I586" t="n">
        <x:f>IF(H586=0,1,0)</x:f>
        <x:v>1</x:v>
      </x:c>
      <x:c r="J586" s="16" t="n">
        <x:f>F586/E586</x:f>
        <x:v>21.171239383102368</x:v>
      </x:c>
      <x:c r="K586" s="16" t="n">
        <x:f>G586/1000/E586</x:f>
        <x:v>2.3996452624888245</x:v>
      </x:c>
    </x:row>
    <x:row r="587">
      <x:c r="A587" s="8" t="d">
        <x:v>2025-08-04T00:00:00.000Z</x:v>
      </x:c>
      <x:c r="B587" t="str">
        <x:v>Good</x:v>
      </x:c>
      <x:c r="C587" t="str">
        <x:v>Workday</x:v>
      </x:c>
      <x:c r="D587" s="10" t="n">
        <x:v>11.84</x:v>
      </x:c>
      <x:c r="E587" s="12" t="n">
        <x:v>121342</x:v>
      </x:c>
      <x:c r="F587" s="12" t="n">
        <x:v>2428671</x:v>
      </x:c>
      <x:c r="G587" s="14" t="n">
        <x:v>269014516.71</x:v>
      </x:c>
      <x:c r="H587" t="n">
        <x:v>0</x:v>
      </x:c>
      <x:c r="I587" t="n">
        <x:f>IF(H587=0,1,0)</x:f>
        <x:v>1</x:v>
      </x:c>
      <x:c r="J587" s="16" t="n">
        <x:f>F587/E587</x:f>
        <x:v>20.015089581513408</x:v>
      </x:c>
      <x:c r="K587" s="16" t="n">
        <x:f>G587/1000/E587</x:f>
        <x:v>2.216994253514859</x:v>
      </x:c>
    </x:row>
    <x:row r="588">
      <x:c r="A588" s="8" t="d">
        <x:v>2025-08-05T00:00:00.000Z</x:v>
      </x:c>
      <x:c r="B588" t="str">
        <x:v>Good</x:v>
      </x:c>
      <x:c r="C588" t="str">
        <x:v>Workday</x:v>
      </x:c>
      <x:c r="D588" s="10" t="n">
        <x:v>11.56</x:v>
      </x:c>
      <x:c r="E588" s="12" t="n">
        <x:v>138013</x:v>
      </x:c>
      <x:c r="F588" s="12" t="n">
        <x:v>2709504</x:v>
      </x:c>
      <x:c r="G588" s="14" t="n">
        <x:v>305076764.89</x:v>
      </x:c>
      <x:c r="H588" t="n">
        <x:v>0</x:v>
      </x:c>
      <x:c r="I588" t="n">
        <x:f>IF(H588=0,1,0)</x:f>
        <x:v>1</x:v>
      </x:c>
      <x:c r="J588" s="16" t="n">
        <x:f>F588/E588</x:f>
        <x:v>19.632237542840166</x:v>
      </x:c>
      <x:c r="K588" s="16" t="n">
        <x:f>G588/1000/E588</x:f>
        <x:v>2.2104929600110133</x:v>
      </x:c>
    </x:row>
    <x:row r="589">
      <x:c r="A589" s="8" t="d">
        <x:v>2025-08-06T00:00:00.000Z</x:v>
      </x:c>
      <x:c r="B589" t="str">
        <x:v>Good</x:v>
      </x:c>
      <x:c r="C589" t="str">
        <x:v>Workday</x:v>
      </x:c>
      <x:c r="D589" s="10" t="n">
        <x:v>9.48</x:v>
      </x:c>
      <x:c r="E589" s="12" t="n">
        <x:v>85551</x:v>
      </x:c>
      <x:c r="F589" s="12" t="n">
        <x:v>1634255</x:v>
      </x:c>
      <x:c r="G589" s="14" t="n">
        <x:v>183262681.94</x:v>
      </x:c>
      <x:c r="H589" t="n">
        <x:v>0</x:v>
      </x:c>
      <x:c r="I589" t="n">
        <x:f>IF(H589=0,1,0)</x:f>
        <x:v>1</x:v>
      </x:c>
      <x:c r="J589" s="16" t="n">
        <x:f>F589/E589</x:f>
        <x:v>19.102698974880482</x:v>
      </x:c>
      <x:c r="K589" s="16" t="n">
        <x:f>G589/1000/E589</x:f>
        <x:v>2.142145409638695</x:v>
      </x:c>
    </x:row>
    <x:row r="590">
      <x:c r="A590" s="8" t="d">
        <x:v>2025-08-07T00:00:00.000Z</x:v>
      </x:c>
      <x:c r="B590" t="str">
        <x:v>Good</x:v>
      </x:c>
      <x:c r="C590" t="str">
        <x:v>Workday</x:v>
      </x:c>
      <x:c r="D590" s="10" t="n">
        <x:v>10.08</x:v>
      </x:c>
      <x:c r="E590" s="12" t="n">
        <x:v>138007</x:v>
      </x:c>
      <x:c r="F590" s="12" t="n">
        <x:v>2758435</x:v>
      </x:c>
      <x:c r="G590" s="14" t="n">
        <x:v>305430417.99</x:v>
      </x:c>
      <x:c r="H590" t="n">
        <x:v>0</x:v>
      </x:c>
      <x:c r="I590" t="n">
        <x:f>IF(H590=0,1,0)</x:f>
        <x:v>1</x:v>
      </x:c>
      <x:c r="J590" s="16" t="n">
        <x:f>F590/E590</x:f>
        <x:v>19.987645554211017</x:v>
      </x:c>
      <x:c r="K590" s="16" t="n">
        <x:f>G590/1000/E590</x:f>
        <x:v>2.213151637163332</x:v>
      </x:c>
    </x:row>
    <x:row r="591">
      <x:c r="A591" s="8" t="d">
        <x:v>2025-08-08T00:00:00.000Z</x:v>
      </x:c>
      <x:c r="B591" t="str">
        <x:v>Moderate</x:v>
      </x:c>
      <x:c r="C591" t="str">
        <x:v>Workday</x:v>
      </x:c>
      <x:c r="D591" s="10" t="n">
        <x:v>15.8</x:v>
      </x:c>
      <x:c r="E591" s="12" t="n">
        <x:v>141953</x:v>
      </x:c>
      <x:c r="F591" s="12" t="n">
        <x:v>2857401</x:v>
      </x:c>
      <x:c r="G591" s="14" t="n">
        <x:v>317986071.02</x:v>
      </x:c>
      <x:c r="H591" t="n">
        <x:v>0</x:v>
      </x:c>
      <x:c r="I591" t="n">
        <x:f>IF(H591=0,1,0)</x:f>
        <x:v>1</x:v>
      </x:c>
      <x:c r="J591" s="16" t="n">
        <x:f>F591/E591</x:f>
        <x:v>20.129204736779077</x:v>
      </x:c>
      <x:c r="K591" s="16" t="n">
        <x:f>G591/1000/E591</x:f>
        <x:v>2.240079963227265</x:v>
      </x:c>
    </x:row>
    <x:row r="592">
      <x:c r="A592" s="8" t="d">
        <x:v>2025-08-09T00:00:00.000Z</x:v>
      </x:c>
      <x:c r="B592" t="str">
        <x:v>Moderate</x:v>
      </x:c>
      <x:c r="C592" t="str">
        <x:v>Day off</x:v>
      </x:c>
      <x:c r="D592" s="10" t="n">
        <x:v>16.04</x:v>
      </x:c>
      <x:c r="E592" s="12" t="n">
        <x:v>101048</x:v>
      </x:c>
      <x:c r="F592" s="12" t="n">
        <x:v>2456557</x:v>
      </x:c>
      <x:c r="G592" s="14" t="n">
        <x:v>279367512.97</x:v>
      </x:c>
      <x:c r="H592" t="n">
        <x:v>0</x:v>
      </x:c>
      <x:c r="I592" t="n">
        <x:f>IF(H592=0,1,0)</x:f>
        <x:v>1</x:v>
      </x:c>
      <x:c r="J592" s="16" t="n">
        <x:f>F592/E592</x:f>
        <x:v>24.310792890507482</x:v>
      </x:c>
      <x:c r="K592" s="16" t="n">
        <x:f>G592/1000/E592</x:f>
        <x:v>2.7647010625643262</x:v>
      </x:c>
    </x:row>
    <x:row r="593">
      <x:c r="A593" s="8" t="d">
        <x:v>2025-08-10T00:00:00.000Z</x:v>
      </x:c>
      <x:c r="B593" t="str">
        <x:v>Good</x:v>
      </x:c>
      <x:c r="C593" t="str">
        <x:v>Day off</x:v>
      </x:c>
      <x:c r="D593" s="10" t="n">
        <x:v>12.68</x:v>
      </x:c>
      <x:c r="E593" s="12" t="n">
        <x:v>106668</x:v>
      </x:c>
      <x:c r="F593" s="12" t="n">
        <x:v>2665788</x:v>
      </x:c>
      <x:c r="G593" s="14" t="n">
        <x:v>309563075.79</x:v>
      </x:c>
      <x:c r="H593" t="n">
        <x:v>0</x:v>
      </x:c>
      <x:c r="I593" t="n">
        <x:f>IF(H593=0,1,0)</x:f>
        <x:v>1</x:v>
      </x:c>
      <x:c r="J593" s="16" t="n">
        <x:f>F593/E593</x:f>
        <x:v>24.991450106873664</x:v>
      </x:c>
      <x:c r="K593" s="16" t="n">
        <x:f>G593/1000/E593</x:f>
        <x:v>2.902117559061762</x:v>
      </x:c>
    </x:row>
    <x:row r="594">
      <x:c r="A594" s="8" t="d">
        <x:v>2025-08-11T00:00:00.000Z</x:v>
      </x:c>
      <x:c r="B594" t="str">
        <x:v>Moderate</x:v>
      </x:c>
      <x:c r="C594" t="str">
        <x:v>Workday</x:v>
      </x:c>
      <x:c r="D594" s="10" t="n">
        <x:v>18.12</x:v>
      </x:c>
      <x:c r="E594" s="12" t="n">
        <x:v>148096</x:v>
      </x:c>
      <x:c r="F594" s="12" t="n">
        <x:v>3010827</x:v>
      </x:c>
      <x:c r="G594" s="14" t="n">
        <x:v>343223907.37</x:v>
      </x:c>
      <x:c r="H594" t="n">
        <x:v>0</x:v>
      </x:c>
      <x:c r="I594" t="n">
        <x:f>IF(H594=0,1,0)</x:f>
        <x:v>1</x:v>
      </x:c>
      <x:c r="J594" s="16" t="n">
        <x:f>F594/E594</x:f>
        <x:v>20.33023849394987</x:v>
      </x:c>
      <x:c r="K594" s="16" t="n">
        <x:f>G594/1000/E594</x:f>
        <x:v>2.317577161908492</x:v>
      </x:c>
    </x:row>
    <x:row r="595">
      <x:c r="A595" s="8" t="d">
        <x:v>2025-08-12T00:00:00.000Z</x:v>
      </x:c>
      <x:c r="B595" t="str">
        <x:v>Good</x:v>
      </x:c>
      <x:c r="C595" t="str">
        <x:v>Workday</x:v>
      </x:c>
      <x:c r="D595" s="10" t="n">
        <x:v>12.04</x:v>
      </x:c>
      <x:c r="E595" s="12" t="n">
        <x:v>148459</x:v>
      </x:c>
      <x:c r="F595" s="12" t="n">
        <x:v>2968220</x:v>
      </x:c>
      <x:c r="G595" s="14" t="n">
        <x:v>332002408.56</x:v>
      </x:c>
      <x:c r="H595" t="n">
        <x:v>0</x:v>
      </x:c>
      <x:c r="I595" t="n">
        <x:f>IF(H595=0,1,0)</x:f>
        <x:v>1</x:v>
      </x:c>
      <x:c r="J595" s="16" t="n">
        <x:f>F595/E595</x:f>
        <x:v>19.993533568190543</x:v>
      </x:c>
      <x:c r="K595" s="16" t="n">
        <x:f>G595/1000/E595</x:f>
        <x:v>2.2363238911753416</x:v>
      </x:c>
    </x:row>
    <x:row r="596">
      <x:c r="A596" s="8" t="d">
        <x:v>2025-08-13T00:00:00.000Z</x:v>
      </x:c>
      <x:c r="B596" t="str">
        <x:v>Good</x:v>
      </x:c>
      <x:c r="C596" t="str">
        <x:v>Workday</x:v>
      </x:c>
      <x:c r="D596" s="10" t="n">
        <x:v>3.32</x:v>
      </x:c>
      <x:c r="E596" s="12" t="n">
        <x:v>26358</x:v>
      </x:c>
      <x:c r="F596" s="12" t="n">
        <x:v>492238</x:v>
      </x:c>
      <x:c r="G596" s="14" t="n">
        <x:v>51752320.39</x:v>
      </x:c>
      <x:c r="H596" t="n">
        <x:v>0</x:v>
      </x:c>
      <x:c r="I596" t="n">
        <x:f>IF(H596=0,1,0)</x:f>
        <x:v>1</x:v>
      </x:c>
      <x:c r="J596" s="16" t="n">
        <x:f>F596/E596</x:f>
        <x:v>18.675089156992186</x:v>
      </x:c>
      <x:c r="K596" s="16" t="n">
        <x:f>G596/1000/E596</x:f>
        <x:v>1.9634388189543972</x:v>
      </x:c>
    </x:row>
    <x:row r="597">
      <x:c r="A597" s="8" t="d">
        <x:v>2025-08-14T00:00:00.000Z</x:v>
      </x:c>
      <x:c r="B597" t="str">
        <x:v>Good</x:v>
      </x:c>
      <x:c r="C597" t="str">
        <x:v>Workday</x:v>
      </x:c>
      <x:c r="D597" s="10" t="n">
        <x:v>5.56</x:v>
      </x:c>
      <x:c r="E597" s="12" t="n">
        <x:v>80291</x:v>
      </x:c>
      <x:c r="F597" s="12" t="n">
        <x:v>1733420</x:v>
      </x:c>
      <x:c r="G597" s="14" t="n">
        <x:v>178251195.32</x:v>
      </x:c>
      <x:c r="H597" t="n">
        <x:v>0</x:v>
      </x:c>
      <x:c r="I597" t="n">
        <x:f>IF(H597=0,1,0)</x:f>
        <x:v>1</x:v>
      </x:c>
      <x:c r="J597" s="16" t="n">
        <x:f>F597/E597</x:f>
        <x:v>21.589219215105054</x:v>
      </x:c>
      <x:c r="K597" s="16" t="n">
        <x:f>G597/1000/E597</x:f>
        <x:v>2.220064457037526</x:v>
      </x:c>
    </x:row>
    <x:row r="598">
      <x:c r="A598" s="8" t="d">
        <x:v>2025-08-15T00:00:00.000Z</x:v>
      </x:c>
      <x:c r="B598" t="str">
        <x:v>Good</x:v>
      </x:c>
      <x:c r="C598" t="str">
        <x:v>Day off</x:v>
      </x:c>
      <x:c r="D598" s="10" t="n">
        <x:v>10.08</x:v>
      </x:c>
      <x:c r="E598" s="12" t="n">
        <x:v>91507</x:v>
      </x:c>
      <x:c r="F598" s="12" t="n">
        <x:v>2228293</x:v>
      </x:c>
      <x:c r="G598" s="14" t="n">
        <x:v>253029253.87</x:v>
      </x:c>
      <x:c r="H598" t="n">
        <x:v>0</x:v>
      </x:c>
      <x:c r="I598" t="n">
        <x:f>IF(H598=0,1,0)</x:f>
        <x:v>1</x:v>
      </x:c>
      <x:c r="J598" s="16" t="n">
        <x:f>F598/E598</x:f>
        <x:v>24.35106603866371</x:v>
      </x:c>
      <x:c r="K598" s="16" t="n">
        <x:f>G598/1000/E598</x:f>
        <x:v>2.7651354964101107</x:v>
      </x:c>
    </x:row>
    <x:row r="599">
      <x:c r="A599" s="8" t="d">
        <x:v>2025-08-16T00:00:00.000Z</x:v>
      </x:c>
      <x:c r="B599" t="str">
        <x:v>Good</x:v>
      </x:c>
      <x:c r="C599" t="str">
        <x:v>Day off</x:v>
      </x:c>
      <x:c r="D599" s="10" t="n">
        <x:v>5.16</x:v>
      </x:c>
      <x:c r="E599" s="12" t="n">
        <x:v>108987</x:v>
      </x:c>
      <x:c r="F599" s="12" t="n">
        <x:v>2685641</x:v>
      </x:c>
      <x:c r="G599" s="14" t="n">
        <x:v>300494536.6</x:v>
      </x:c>
      <x:c r="H599" t="n">
        <x:v>0</x:v>
      </x:c>
      <x:c r="I599" t="n">
        <x:f>IF(H599=0,1,0)</x:f>
        <x:v>1</x:v>
      </x:c>
      <x:c r="J599" s="16" t="n">
        <x:f>F599/E599</x:f>
        <x:v>24.64184719278446</x:v>
      </x:c>
      <x:c r="K599" s="16" t="n">
        <x:f>G599/1000/E599</x:f>
        <x:v>2.757159446539496</x:v>
      </x:c>
    </x:row>
    <x:row r="600">
      <x:c r="A600" s="8" t="d">
        <x:v>2025-08-17T00:00:00.000Z</x:v>
      </x:c>
      <x:c r="B600" t="str">
        <x:v>Good</x:v>
      </x:c>
      <x:c r="C600" t="str">
        <x:v>Day off</x:v>
      </x:c>
      <x:c r="D600" s="10" t="n">
        <x:v>8.28</x:v>
      </x:c>
      <x:c r="E600" s="12" t="n">
        <x:v>104200</x:v>
      </x:c>
      <x:c r="F600" s="12" t="n">
        <x:v>2521336</x:v>
      </x:c>
      <x:c r="G600" s="14" t="n">
        <x:v>292479074.35</x:v>
      </x:c>
      <x:c r="H600" t="n">
        <x:v>0</x:v>
      </x:c>
      <x:c r="I600" t="n">
        <x:f>IF(H600=0,1,0)</x:f>
        <x:v>1</x:v>
      </x:c>
      <x:c r="J600" s="16" t="n">
        <x:f>F600/E600</x:f>
        <x:v>24.197082533589253</x:v>
      </x:c>
      <x:c r="K600" s="16" t="n">
        <x:f>G600/1000/E600</x:f>
        <x:v>2.8069009054702496</x:v>
      </x:c>
    </x:row>
    <x:row r="601">
      <x:c r="A601" s="8" t="d">
        <x:v>2025-08-18T00:00:00.000Z</x:v>
      </x:c>
      <x:c r="B601" t="str">
        <x:v>Moderate</x:v>
      </x:c>
      <x:c r="C601" t="str">
        <x:v>Workday</x:v>
      </x:c>
      <x:c r="D601" s="10" t="n">
        <x:v>18.44</x:v>
      </x:c>
      <x:c r="E601" s="12" t="n">
        <x:v>108971</x:v>
      </x:c>
      <x:c r="F601" s="12" t="n">
        <x:v>1983381</x:v>
      </x:c>
      <x:c r="G601" s="14" t="n">
        <x:v>214962101.61</x:v>
      </x:c>
      <x:c r="H601" t="n">
        <x:v>0</x:v>
      </x:c>
      <x:c r="I601" t="n">
        <x:f>IF(H601=0,1,0)</x:f>
        <x:v>1</x:v>
      </x:c>
      <x:c r="J601" s="16" t="n">
        <x:f>F601/E601</x:f>
        <x:v>18.20099843077516</x:v>
      </x:c>
      <x:c r="K601" s="16" t="n">
        <x:f>G601/1000/E601</x:f>
        <x:v>1.972654207174386</x:v>
      </x:c>
    </x:row>
    <x:row r="602">
      <x:c r="A602" s="8" t="d">
        <x:v>2025-08-19T00:00:00.000Z</x:v>
      </x:c>
      <x:c r="B602" t="str">
        <x:v>Good</x:v>
      </x:c>
      <x:c r="C602" t="str">
        <x:v>Workday</x:v>
      </x:c>
      <x:c r="D602" s="10" t="n">
        <x:v>5.04</x:v>
      </x:c>
      <x:c r="E602" s="12" t="n">
        <x:v>140132</x:v>
      </x:c>
      <x:c r="F602" s="12" t="n">
        <x:v>2751530</x:v>
      </x:c>
      <x:c r="G602" s="14" t="n">
        <x:v>305941596.39</x:v>
      </x:c>
      <x:c r="H602" t="n">
        <x:v>0</x:v>
      </x:c>
      <x:c r="I602" t="n">
        <x:f>IF(H602=0,1,0)</x:f>
        <x:v>1</x:v>
      </x:c>
      <x:c r="J602" s="16" t="n">
        <x:f>F602/E602</x:f>
        <x:v>19.63527245739731</x:v>
      </x:c>
      <x:c r="K602" s="16" t="n">
        <x:f>G602/1000/E602</x:f>
        <x:v>2.183238634929923</x:v>
      </x:c>
    </x:row>
    <x:row r="603">
      <x:c r="A603" s="8" t="d">
        <x:v>2025-08-20T00:00:00.000Z</x:v>
      </x:c>
      <x:c r="B603" t="str">
        <x:v>Good</x:v>
      </x:c>
      <x:c r="C603" t="str">
        <x:v>Workday</x:v>
      </x:c>
      <x:c r="D603" s="10" t="n">
        <x:v>6.92</x:v>
      </x:c>
      <x:c r="E603" s="12" t="n">
        <x:v>142190</x:v>
      </x:c>
      <x:c r="F603" s="12" t="n">
        <x:v>2748789</x:v>
      </x:c>
      <x:c r="G603" s="14" t="n">
        <x:v>304464010.33</x:v>
      </x:c>
      <x:c r="H603" t="n">
        <x:v>0</x:v>
      </x:c>
      <x:c r="I603" t="n">
        <x:f>IF(H603=0,1,0)</x:f>
        <x:v>1</x:v>
      </x:c>
      <x:c r="J603" s="16" t="n">
        <x:f>F603/E603</x:f>
        <x:v>19.33180251775793</x:v>
      </x:c>
      <x:c r="K603" s="16" t="n">
        <x:f>G603/1000/E603</x:f>
        <x:v>2.1412476990646314</x:v>
      </x:c>
    </x:row>
    <x:row r="604">
      <x:c r="A604" s="8" t="d">
        <x:v>2025-08-21T00:00:00.000Z</x:v>
      </x:c>
      <x:c r="B604" t="str">
        <x:v>Good</x:v>
      </x:c>
      <x:c r="C604" t="str">
        <x:v>Workday</x:v>
      </x:c>
      <x:c r="D604" s="10" t="n">
        <x:v>8.8</x:v>
      </x:c>
      <x:c r="E604" s="12" t="n">
        <x:v>141944</x:v>
      </x:c>
      <x:c r="F604" s="12" t="n">
        <x:v>2712077</x:v>
      </x:c>
      <x:c r="G604" s="14" t="n">
        <x:v>302580439.94</x:v>
      </x:c>
      <x:c r="H604" t="n">
        <x:v>0</x:v>
      </x:c>
      <x:c r="I604" t="n">
        <x:f>IF(H604=0,1,0)</x:f>
        <x:v>1</x:v>
      </x:c>
      <x:c r="J604" s="16" t="n">
        <x:f>F604/E604</x:f>
        <x:v>19.1066688271431</x:v>
      </x:c>
      <x:c r="K604" s="16" t="n">
        <x:f>G604/1000/E604</x:f>
        <x:v>2.1316888346108325</x:v>
      </x:c>
    </x:row>
    <x:row r="605">
      <x:c r="A605" s="8" t="d">
        <x:v>2025-08-22T00:00:00.000Z</x:v>
      </x:c>
      <x:c r="B605" t="str">
        <x:v>Good</x:v>
      </x:c>
      <x:c r="C605" t="str">
        <x:v>Workday</x:v>
      </x:c>
      <x:c r="D605" s="10" t="n">
        <x:v>6.72</x:v>
      </x:c>
      <x:c r="E605" s="12" t="n">
        <x:v>141080</x:v>
      </x:c>
      <x:c r="F605" s="12" t="n">
        <x:v>2753436</x:v>
      </x:c>
      <x:c r="G605" s="14" t="n">
        <x:v>303881952.84</x:v>
      </x:c>
      <x:c r="H605" t="n">
        <x:v>0</x:v>
      </x:c>
      <x:c r="I605" t="n">
        <x:f>IF(H605=0,1,0)</x:f>
        <x:v>1</x:v>
      </x:c>
      <x:c r="J605" s="16" t="n">
        <x:f>F605/E605</x:f>
        <x:v>19.51684150836405</x:v>
      </x:c>
      <x:c r="K605" s="16" t="n">
        <x:f>G605/1000/E605</x:f>
        <x:v>2.153969044797278</x:v>
      </x:c>
    </x:row>
    <x:row r="606">
      <x:c r="A606" s="8" t="d">
        <x:v>2025-08-23T00:00:00.000Z</x:v>
      </x:c>
      <x:c r="B606" t="str">
        <x:v>Good</x:v>
      </x:c>
      <x:c r="C606" t="str">
        <x:v>Day off</x:v>
      </x:c>
      <x:c r="D606" s="10" t="n">
        <x:v>10.16</x:v>
      </x:c>
      <x:c r="E606" s="12" t="n">
        <x:v>114416</x:v>
      </x:c>
      <x:c r="F606" s="12" t="n">
        <x:v>2598216</x:v>
      </x:c>
      <x:c r="G606" s="14" t="n">
        <x:v>289910927.3</x:v>
      </x:c>
      <x:c r="H606" t="n">
        <x:v>0</x:v>
      </x:c>
      <x:c r="I606" t="n">
        <x:f>IF(H606=0,1,0)</x:f>
        <x:v>1</x:v>
      </x:c>
      <x:c r="J606" s="16" t="n">
        <x:f>F606/E606</x:f>
        <x:v>22.7085023073696</x:v>
      </x:c>
      <x:c r="K606" s="16" t="n">
        <x:f>G606/1000/E606</x:f>
        <x:v>2.533832045343309</x:v>
      </x:c>
    </x:row>
    <x:row r="607">
      <x:c r="A607" s="8" t="d">
        <x:v>2025-08-24T00:00:00.000Z</x:v>
      </x:c>
      <x:c r="B607" t="str">
        <x:v>Good</x:v>
      </x:c>
      <x:c r="C607" t="str">
        <x:v>Day off</x:v>
      </x:c>
      <x:c r="D607" s="10" t="n">
        <x:v>14</x:v>
      </x:c>
      <x:c r="E607" s="12" t="n">
        <x:v>98956</x:v>
      </x:c>
      <x:c r="F607" s="12" t="n">
        <x:v>2286783</x:v>
      </x:c>
      <x:c r="G607" s="14" t="n">
        <x:v>265221684.62</x:v>
      </x:c>
      <x:c r="H607" t="n">
        <x:v>0</x:v>
      </x:c>
      <x:c r="I607" t="n">
        <x:f>IF(H607=0,1,0)</x:f>
        <x:v>1</x:v>
      </x:c>
      <x:c r="J607" s="16" t="n">
        <x:f>F607/E607</x:f>
        <x:v>23.109088887990623</x:v>
      </x:c>
      <x:c r="K607" s="16" t="n">
        <x:f>G607/1000/E607</x:f>
        <x:v>2.6801981145155422</x:v>
      </x:c>
    </x:row>
    <x:row r="608">
      <x:c r="A608" s="8" t="d">
        <x:v>2025-08-25T00:00:00.000Z</x:v>
      </x:c>
      <x:c r="B608" t="str">
        <x:v>Good</x:v>
      </x:c>
      <x:c r="C608" t="str">
        <x:v>Workday</x:v>
      </x:c>
      <x:c r="D608" s="10" t="n">
        <x:v>11.48</x:v>
      </x:c>
      <x:c r="E608" s="12" t="n">
        <x:v>112100</x:v>
      </x:c>
      <x:c r="F608" s="12" t="n">
        <x:v>2027931</x:v>
      </x:c>
      <x:c r="G608" s="14" t="n">
        <x:v>222898865.4</x:v>
      </x:c>
      <x:c r="H608" t="n">
        <x:v>0</x:v>
      </x:c>
      <x:c r="I608" t="n">
        <x:f>IF(H608=0,1,0)</x:f>
        <x:v>1</x:v>
      </x:c>
      <x:c r="J608" s="16" t="n">
        <x:f>F608/E608</x:f>
        <x:v>18.090374665477253</x:v>
      </x:c>
      <x:c r="K608" s="16" t="n">
        <x:f>G608/1000/E608</x:f>
        <x:v>1.9883930900981268</x:v>
      </x:c>
    </x:row>
    <x:row r="609">
      <x:c r="A609" s="8" t="d">
        <x:v>2025-08-26T00:00:00.000Z</x:v>
      </x:c>
      <x:c r="B609" t="str">
        <x:v>Good</x:v>
      </x:c>
      <x:c r="C609" t="str">
        <x:v>Workday</x:v>
      </x:c>
      <x:c r="D609" s="10" t="n">
        <x:v>7.6</x:v>
      </x:c>
      <x:c r="E609" s="12" t="n">
        <x:v>119255</x:v>
      </x:c>
      <x:c r="F609" s="12" t="n">
        <x:v>2413800</x:v>
      </x:c>
      <x:c r="G609" s="14" t="n">
        <x:v>261340644.99</x:v>
      </x:c>
      <x:c r="H609" t="n">
        <x:v>0</x:v>
      </x:c>
      <x:c r="I609" t="n">
        <x:f>IF(H609=0,1,0)</x:f>
        <x:v>1</x:v>
      </x:c>
      <x:c r="J609" s="16" t="n">
        <x:f>F609/E609</x:f>
        <x:v>20.240660768940504</x:v>
      </x:c>
      <x:c r="K609" s="16" t="n">
        <x:f>G609/1000/E609</x:f>
        <x:v>2.1914439226028257</x:v>
      </x:c>
    </x:row>
    <x:row r="610">
      <x:c r="A610" s="8" t="d">
        <x:v>2025-08-27T00:00:00.000Z</x:v>
      </x:c>
      <x:c r="B610" t="str">
        <x:v>Good</x:v>
      </x:c>
      <x:c r="C610" t="str">
        <x:v>Workday</x:v>
      </x:c>
      <x:c r="D610" s="10" t="n">
        <x:v>10.04</x:v>
      </x:c>
      <x:c r="E610" s="12" t="n">
        <x:v>148793</x:v>
      </x:c>
      <x:c r="F610" s="12" t="n">
        <x:v>2922747</x:v>
      </x:c>
      <x:c r="G610" s="14" t="n">
        <x:v>328189279.65</x:v>
      </x:c>
      <x:c r="H610" t="n">
        <x:v>0</x:v>
      </x:c>
      <x:c r="I610" t="n">
        <x:f>IF(H610=0,1,0)</x:f>
        <x:v>1</x:v>
      </x:c>
      <x:c r="J610" s="16" t="n">
        <x:f>F610/E610</x:f>
        <x:v>19.643041003273005</x:v>
      </x:c>
      <x:c r="K610" s="16" t="n">
        <x:f>G610/1000/E610</x:f>
        <x:v>2.2056768776084894</x:v>
      </x:c>
    </x:row>
    <x:row r="611">
      <x:c r="A611" s="8" t="d">
        <x:v>2025-08-28T00:00:00.000Z</x:v>
      </x:c>
      <x:c r="B611" t="str">
        <x:v>Good</x:v>
      </x:c>
      <x:c r="C611" t="str">
        <x:v>Workday</x:v>
      </x:c>
      <x:c r="D611" s="10" t="n">
        <x:v>12.44</x:v>
      </x:c>
      <x:c r="E611" s="12" t="n">
        <x:v>148650</x:v>
      </x:c>
      <x:c r="F611" s="12" t="n">
        <x:v>2879228</x:v>
      </x:c>
      <x:c r="G611" s="14" t="n">
        <x:v>321327021.06</x:v>
      </x:c>
      <x:c r="H611" t="n">
        <x:v>0</x:v>
      </x:c>
      <x:c r="I611" t="n">
        <x:f>IF(H611=0,1,0)</x:f>
        <x:v>1</x:v>
      </x:c>
      <x:c r="J611" s="16" t="n">
        <x:f>F611/E611</x:f>
        <x:v>19.369175916582577</x:v>
      </x:c>
      <x:c r="K611" s="16" t="n">
        <x:f>G611/1000/E611</x:f>
        <x:v>2.161634854086781</x:v>
      </x:c>
    </x:row>
    <x:row r="612">
      <x:c r="A612" s="8" t="d">
        <x:v>2025-08-29T00:00:00.000Z</x:v>
      </x:c>
      <x:c r="B612" t="str">
        <x:v>Good</x:v>
      </x:c>
      <x:c r="C612" t="str">
        <x:v>Workday</x:v>
      </x:c>
      <x:c r="D612" s="10" t="n">
        <x:v>7.68</x:v>
      </x:c>
      <x:c r="E612" s="12" t="n">
        <x:v>110681</x:v>
      </x:c>
      <x:c r="F612" s="12" t="n">
        <x:v>2091890</x:v>
      </x:c>
      <x:c r="G612" s="14" t="n">
        <x:v>217703776.61</x:v>
      </x:c>
      <x:c r="H612" t="n">
        <x:v>0</x:v>
      </x:c>
      <x:c r="I612" t="n">
        <x:f>IF(H612=0,1,0)</x:f>
        <x:v>1</x:v>
      </x:c>
      <x:c r="J612" s="16" t="n">
        <x:f>F612/E612</x:f>
        <x:v>18.90017256801077</x:v>
      </x:c>
      <x:c r="K612" s="16" t="n">
        <x:f>G612/1000/E612</x:f>
        <x:v>1.9669480453736414</x:v>
      </x:c>
    </x:row>
    <x:row r="613">
      <x:c r="A613" s="8" t="d">
        <x:v>2025-08-30T00:00:00.000Z</x:v>
      </x:c>
      <x:c r="B613" t="str">
        <x:v>Good</x:v>
      </x:c>
      <x:c r="C613" t="str">
        <x:v>Day off</x:v>
      </x:c>
      <x:c r="D613" s="10" t="n">
        <x:v>6.08</x:v>
      </x:c>
      <x:c r="E613" s="12" t="n">
        <x:v>94645</x:v>
      </x:c>
      <x:c r="F613" s="12" t="n">
        <x:v>2240034</x:v>
      </x:c>
      <x:c r="G613" s="14" t="n">
        <x:v>240828014.05</x:v>
      </x:c>
      <x:c r="H613" t="n">
        <x:v>0</x:v>
      </x:c>
      <x:c r="I613" t="n">
        <x:f>IF(H613=0,1,0)</x:f>
        <x:v>1</x:v>
      </x:c>
      <x:c r="J613" s="16" t="n">
        <x:f>F613/E613</x:f>
        <x:v>23.667747900047544</x:v>
      </x:c>
      <x:c r="K613" s="16" t="n">
        <x:f>G613/1000/E613</x:f>
        <x:v>2.5445402720693115</x:v>
      </x:c>
    </x:row>
    <x:row r="614">
      <x:c r="A614" s="8" t="d">
        <x:v>2025-08-31T00:00:00.000Z</x:v>
      </x:c>
      <x:c r="B614" t="str">
        <x:v>Moderate</x:v>
      </x:c>
      <x:c r="C614" t="str">
        <x:v>Day off</x:v>
      </x:c>
      <x:c r="D614" s="10" t="n">
        <x:v>15.2</x:v>
      </x:c>
      <x:c r="E614" s="12" t="n">
        <x:v>103141</x:v>
      </x:c>
      <x:c r="F614" s="12" t="n">
        <x:v>2396349</x:v>
      </x:c>
      <x:c r="G614" s="14" t="n">
        <x:v>270030765.41</x:v>
      </x:c>
      <x:c r="H614" t="n">
        <x:v>0</x:v>
      </x:c>
      <x:c r="I614" t="n">
        <x:f>IF(H614=0,1,0)</x:f>
        <x:v>1</x:v>
      </x:c>
      <x:c r="J614" s="16" t="n">
        <x:f>F614/E614</x:f>
        <x:v>23.2337188896753</x:v>
      </x:c>
      <x:c r="K614" s="16" t="n">
        <x:f>G614/1000/E614</x:f>
        <x:v>2.618073951289982</x:v>
      </x:c>
    </x:row>
    <x:row r="615">
      <x:c r="A615" s="8" t="d">
        <x:v>2025-09-01T00:00:00.000Z</x:v>
      </x:c>
      <x:c r="B615" t="str">
        <x:v>Good</x:v>
      </x:c>
      <x:c r="C615" t="str">
        <x:v>Workday</x:v>
      </x:c>
      <x:c r="D615" s="10" t="n">
        <x:v>5.48</x:v>
      </x:c>
      <x:c r="E615" s="12" t="n">
        <x:v>89505</x:v>
      </x:c>
      <x:c r="F615" s="12" t="n">
        <x:v>1725437</x:v>
      </x:c>
      <x:c r="G615" s="14" t="n">
        <x:v>179598603.18</x:v>
      </x:c>
      <x:c r="H615" t="n">
        <x:v>0</x:v>
      </x:c>
      <x:c r="I615" t="n">
        <x:f>IF(H615=0,1,0)</x:f>
        <x:v>1</x:v>
      </x:c>
      <x:c r="J615" s="16" t="n">
        <x:f>F615/E615</x:f>
        <x:v>19.277548740293838</x:v>
      </x:c>
      <x:c r="K615" s="16" t="n">
        <x:f>G615/1000/E615</x:f>
        <x:v>2.0065762044578515</x:v>
      </x:c>
    </x:row>
    <x:row r="616">
      <x:c r="A616" s="8" t="d">
        <x:v>2025-09-02T00:00:00.000Z</x:v>
      </x:c>
      <x:c r="B616" t="str">
        <x:v>Good</x:v>
      </x:c>
      <x:c r="C616" t="str">
        <x:v>Workday</x:v>
      </x:c>
      <x:c r="D616" s="10" t="n">
        <x:v>8.88</x:v>
      </x:c>
      <x:c r="E616" s="12" t="n">
        <x:v>154041</x:v>
      </x:c>
      <x:c r="F616" s="12" t="n">
        <x:v>3089775</x:v>
      </x:c>
      <x:c r="G616" s="14" t="n">
        <x:v>345628689.68</x:v>
      </x:c>
      <x:c r="H616" t="n">
        <x:v>0</x:v>
      </x:c>
      <x:c r="I616" t="n">
        <x:f>IF(H616=0,1,0)</x:f>
        <x:v>1</x:v>
      </x:c>
      <x:c r="J616" s="16" t="n">
        <x:f>F616/E616</x:f>
        <x:v>20.058133873449275</x:v>
      </x:c>
      <x:c r="K616" s="16" t="n">
        <x:f>G616/1000/E616</x:f>
        <x:v>2.2437447801559327</x:v>
      </x:c>
    </x:row>
    <x:row r="617">
      <x:c r="A617" s="8" t="d">
        <x:v>2025-09-03T00:00:00.000Z</x:v>
      </x:c>
      <x:c r="B617" t="str">
        <x:v>Good</x:v>
      </x:c>
      <x:c r="C617" t="str">
        <x:v>Workday</x:v>
      </x:c>
      <x:c r="D617" s="10" t="n">
        <x:v>11.76</x:v>
      </x:c>
      <x:c r="E617" s="12" t="n">
        <x:v>155136</x:v>
      </x:c>
      <x:c r="F617" s="12" t="n">
        <x:v>3029509</x:v>
      </x:c>
      <x:c r="G617" s="14" t="n">
        <x:v>341588444.04</x:v>
      </x:c>
      <x:c r="H617" t="n">
        <x:v>0</x:v>
      </x:c>
      <x:c r="I617" t="n">
        <x:f>IF(H617=0,1,0)</x:f>
        <x:v>1</x:v>
      </x:c>
      <x:c r="J617" s="16" t="n">
        <x:f>F617/E617</x:f>
        <x:v>19.528085035066006</x:v>
      </x:c>
      <x:c r="K617" s="16" t="n">
        <x:f>G617/1000/E617</x:f>
        <x:v>2.20186445467203</x:v>
      </x:c>
    </x:row>
    <x:row r="618">
      <x:c r="A618" s="8" t="d">
        <x:v>2025-09-04T00:00:00.000Z</x:v>
      </x:c>
      <x:c r="B618" t="str">
        <x:v>Good</x:v>
      </x:c>
      <x:c r="C618" t="str">
        <x:v>Workday</x:v>
      </x:c>
      <x:c r="D618" s="10" t="n">
        <x:v>4.8</x:v>
      </x:c>
      <x:c r="E618" s="12" t="n">
        <x:v>99884</x:v>
      </x:c>
      <x:c r="F618" s="12" t="n">
        <x:v>2164372</x:v>
      </x:c>
      <x:c r="G618" s="14" t="n">
        <x:v>233455580.33</x:v>
      </x:c>
      <x:c r="H618" t="n">
        <x:v>0</x:v>
      </x:c>
      <x:c r="I618" t="n">
        <x:f>IF(H618=0,1,0)</x:f>
        <x:v>1</x:v>
      </x:c>
      <x:c r="J618" s="16" t="n">
        <x:f>F618/E618</x:f>
        <x:v>21.66885587281246</x:v>
      </x:c>
      <x:c r="K618" s="16" t="n">
        <x:f>G618/1000/E618</x:f>
        <x:v>2.337267033058348</x:v>
      </x:c>
    </x:row>
    <x:row r="619">
      <x:c r="A619" s="8" t="d">
        <x:v>2025-09-05T00:00:00.000Z</x:v>
      </x:c>
      <x:c r="B619" t="str">
        <x:v>Good</x:v>
      </x:c>
      <x:c r="C619" t="str">
        <x:v>Workday</x:v>
      </x:c>
      <x:c r="D619" s="10" t="n">
        <x:v>8</x:v>
      </x:c>
      <x:c r="E619" s="12" t="n">
        <x:v>152732</x:v>
      </x:c>
      <x:c r="F619" s="12" t="n">
        <x:v>3062352</x:v>
      </x:c>
      <x:c r="G619" s="14" t="n">
        <x:v>339705102.34</x:v>
      </x:c>
      <x:c r="H619" t="n">
        <x:v>0</x:v>
      </x:c>
      <x:c r="I619" t="n">
        <x:f>IF(H619=0,1,0)</x:f>
        <x:v>1</x:v>
      </x:c>
      <x:c r="J619" s="16" t="n">
        <x:f>F619/E619</x:f>
        <x:v>20.050493675195767</x:v>
      </x:c>
      <x:c r="K619" s="16" t="n">
        <x:f>G619/1000/E619</x:f>
        <x:v>2.224190754655213</x:v>
      </x:c>
    </x:row>
    <x:row r="620">
      <x:c r="A620" s="8" t="d">
        <x:v>2025-09-06T00:00:00.000Z</x:v>
      </x:c>
      <x:c r="B620" t="str">
        <x:v>Good</x:v>
      </x:c>
      <x:c r="C620" t="str">
        <x:v>Day off</x:v>
      </x:c>
      <x:c r="D620" s="10" t="n">
        <x:v>9.84</x:v>
      </x:c>
      <x:c r="E620" s="12" t="n">
        <x:v>57072</x:v>
      </x:c>
      <x:c r="F620" s="12" t="n">
        <x:v>1152222</x:v>
      </x:c>
      <x:c r="G620" s="14" t="n">
        <x:v>119508505.99</x:v>
      </x:c>
      <x:c r="H620" t="n">
        <x:v>0</x:v>
      </x:c>
      <x:c r="I620" t="n">
        <x:f>IF(H620=0,1,0)</x:f>
        <x:v>1</x:v>
      </x:c>
      <x:c r="J620" s="16" t="n">
        <x:f>F620/E620</x:f>
        <x:v>20.188919259882255</x:v>
      </x:c>
      <x:c r="K620" s="16" t="n">
        <x:f>G620/1000/E620</x:f>
        <x:v>2.093995409132324</x:v>
      </x:c>
    </x:row>
    <x:row r="621">
      <x:c r="A621" s="8" t="d">
        <x:v>2025-09-07T00:00:00.000Z</x:v>
      </x:c>
      <x:c r="B621" t="str">
        <x:v>Good</x:v>
      </x:c>
      <x:c r="C621" t="str">
        <x:v>Day off</x:v>
      </x:c>
      <x:c r="D621" s="10" t="n">
        <x:v>7.75</x:v>
      </x:c>
      <x:c r="E621" s="12" t="n">
        <x:v>116306</x:v>
      </x:c>
      <x:c r="F621" s="12" t="n">
        <x:v>3030796</x:v>
      </x:c>
      <x:c r="G621" s="14" t="n">
        <x:v>345922019.53</x:v>
      </x:c>
      <x:c r="H621" t="n">
        <x:v>0</x:v>
      </x:c>
      <x:c r="I621" t="n">
        <x:f>IF(H621=0,1,0)</x:f>
        <x:v>1</x:v>
      </x:c>
      <x:c r="J621" s="16" t="n">
        <x:f>F621/E621</x:f>
        <x:v>26.058810379516103</x:v>
      </x:c>
      <x:c r="K621" s="16" t="n">
        <x:f>G621/1000/E621</x:f>
        <x:v>2.9742405338503604</x:v>
      </x:c>
    </x:row>
    <x:row r="622">
      <x:c r="A622" s="8" t="d">
        <x:v>2025-09-08T00:00:00.000Z</x:v>
      </x:c>
      <x:c r="B622" t="str">
        <x:v>Good</x:v>
      </x:c>
      <x:c r="C622" t="str">
        <x:v>Workday</x:v>
      </x:c>
      <x:c r="D622" s="10" t="n">
        <x:v>12.8</x:v>
      </x:c>
      <x:c r="E622" s="12" t="n">
        <x:v>152238</x:v>
      </x:c>
      <x:c r="F622" s="12" t="n">
        <x:v>2987777</x:v>
      </x:c>
      <x:c r="G622" s="14" t="n">
        <x:v>341070303.7</x:v>
      </x:c>
      <x:c r="H622" t="n">
        <x:v>0</x:v>
      </x:c>
      <x:c r="I622" t="n">
        <x:f>IF(H622=0,1,0)</x:f>
        <x:v>1</x:v>
      </x:c>
      <x:c r="J622" s="16" t="n">
        <x:f>F622/E622</x:f>
        <x:v>19.62569792036154</x:v>
      </x:c>
      <x:c r="K622" s="16" t="n">
        <x:f>G622/1000/E622</x:f>
        <x:v>2.240375620410147</x:v>
      </x:c>
    </x:row>
    <x:row r="623">
      <x:c r="A623" s="8" t="d">
        <x:v>2025-09-09T00:00:00.000Z</x:v>
      </x:c>
      <x:c r="B623" t="str">
        <x:v>Moderate</x:v>
      </x:c>
      <x:c r="C623" t="str">
        <x:v>Workday</x:v>
      </x:c>
      <x:c r="D623" s="10" t="n">
        <x:v>16.96</x:v>
      </x:c>
      <x:c r="E623" s="12" t="n">
        <x:v>165309</x:v>
      </x:c>
      <x:c r="F623" s="12" t="n">
        <x:v>3355624</x:v>
      </x:c>
      <x:c r="G623" s="14" t="n">
        <x:v>386494403.52</x:v>
      </x:c>
      <x:c r="H623" t="n">
        <x:v>0</x:v>
      </x:c>
      <x:c r="I623" t="n">
        <x:f>IF(H623=0,1,0)</x:f>
        <x:v>1</x:v>
      </x:c>
      <x:c r="J623" s="16" t="n">
        <x:f>F623/E623</x:f>
        <x:v>20.299100472448565</x:v>
      </x:c>
      <x:c r="K623" s="16" t="n">
        <x:f>G623/1000/E623</x:f>
        <x:v>2.3380118657786326</x:v>
      </x:c>
    </x:row>
    <x:row r="624">
      <x:c r="A624" s="8" t="d">
        <x:v>2025-09-10T00:00:00.000Z</x:v>
      </x:c>
      <x:c r="B624" t="str">
        <x:v>Good</x:v>
      </x:c>
      <x:c r="C624" t="str">
        <x:v>Workday</x:v>
      </x:c>
      <x:c r="D624" s="10" t="n">
        <x:v>12.64</x:v>
      </x:c>
      <x:c r="E624" s="12" t="n">
        <x:v>165849</x:v>
      </x:c>
      <x:c r="F624" s="12" t="n">
        <x:v>3354104</x:v>
      </x:c>
      <x:c r="G624" s="14" t="n">
        <x:v>385875077.7</x:v>
      </x:c>
      <x:c r="H624" t="n">
        <x:v>0</x:v>
      </x:c>
      <x:c r="I624" t="n">
        <x:f>IF(H624=0,1,0)</x:f>
        <x:v>1</x:v>
      </x:c>
      <x:c r="J624" s="16" t="n">
        <x:f>F624/E624</x:f>
        <x:v>20.22384216968447</x:v>
      </x:c>
      <x:c r="K624" s="16" t="n">
        <x:f>G624/1000/E624</x:f>
        <x:v>2.3266650851075372</x:v>
      </x:c>
    </x:row>
    <x:row r="625">
      <x:c r="A625" s="8" t="d">
        <x:v>2025-09-11T00:00:00.000Z</x:v>
      </x:c>
      <x:c r="B625" t="str">
        <x:v>Good</x:v>
      </x:c>
      <x:c r="C625" t="str">
        <x:v>Workday</x:v>
      </x:c>
      <x:c r="D625" s="10" t="n">
        <x:v>9.24</x:v>
      </x:c>
      <x:c r="E625" s="12" t="n">
        <x:v>166211</x:v>
      </x:c>
      <x:c r="F625" s="12" t="n">
        <x:v>3358588</x:v>
      </x:c>
      <x:c r="G625" s="14" t="n">
        <x:v>384460765.18</x:v>
      </x:c>
      <x:c r="H625" t="n">
        <x:v>0</x:v>
      </x:c>
      <x:c r="I625" t="n">
        <x:f>IF(H625=0,1,0)</x:f>
        <x:v>1</x:v>
      </x:c>
      <x:c r="J625" s="16" t="n">
        <x:f>F625/E625</x:f>
        <x:v>20.2067733182521</x:v>
      </x:c>
      <x:c r="K625" s="16" t="n">
        <x:f>G625/1000/E625</x:f>
        <x:v>2.313088575244719</x:v>
      </x:c>
    </x:row>
    <x:row r="626">
      <x:c r="A626" s="8" t="d">
        <x:v>2025-09-12T00:00:00.000Z</x:v>
      </x:c>
      <x:c r="B626" t="str">
        <x:v>Good</x:v>
      </x:c>
      <x:c r="C626" t="str">
        <x:v>Workday</x:v>
      </x:c>
      <x:c r="D626" s="10" t="n">
        <x:v>7.68</x:v>
      </x:c>
      <x:c r="E626" s="12" t="n">
        <x:v>106260</x:v>
      </x:c>
      <x:c r="F626" s="12" t="n">
        <x:v>1928353</x:v>
      </x:c>
      <x:c r="G626" s="14" t="n">
        <x:v>212647047.75</x:v>
      </x:c>
      <x:c r="H626" t="n">
        <x:v>0</x:v>
      </x:c>
      <x:c r="I626" t="n">
        <x:f>IF(H626=0,1,0)</x:f>
        <x:v>1</x:v>
      </x:c>
      <x:c r="J626" s="16" t="n">
        <x:f>F626/E626</x:f>
        <x:v>18.14749670619236</x:v>
      </x:c>
      <x:c r="K626" s="16" t="n">
        <x:f>G626/1000/E626</x:f>
        <x:v>2.0011956309994354</x:v>
      </x:c>
    </x:row>
    <x:row r="627">
      <x:c r="A627" s="8" t="d">
        <x:v>2025-09-13T00:00:00.000Z</x:v>
      </x:c>
      <x:c r="B627" t="str">
        <x:v>Good</x:v>
      </x:c>
      <x:c r="C627" t="str">
        <x:v>Day off</x:v>
      </x:c>
      <x:c r="D627" s="10" t="n">
        <x:v>2.16</x:v>
      </x:c>
      <x:c r="E627" s="12" t="n">
        <x:v>113754</x:v>
      </x:c>
      <x:c r="F627" s="12" t="n">
        <x:v>2985101</x:v>
      </x:c>
      <x:c r="G627" s="14" t="n">
        <x:v>327124926.71</x:v>
      </x:c>
      <x:c r="H627" t="n">
        <x:v>0</x:v>
      </x:c>
      <x:c r="I627" t="n">
        <x:f>IF(H627=0,1,0)</x:f>
        <x:v>1</x:v>
      </x:c>
      <x:c r="J627" s="16" t="n">
        <x:f>F627/E627</x:f>
        <x:v>26.241723367969477</x:v>
      </x:c>
      <x:c r="K627" s="16" t="n">
        <x:f>G627/1000/E627</x:f>
        <x:v>2.875722407212054</x:v>
      </x:c>
    </x:row>
    <x:row r="628">
      <x:c r="A628" s="8" t="d">
        <x:v>2025-09-14T00:00:00.000Z</x:v>
      </x:c>
      <x:c r="B628" t="str">
        <x:v>Good</x:v>
      </x:c>
      <x:c r="C628" t="str">
        <x:v>Day off</x:v>
      </x:c>
      <x:c r="D628" s="10" t="n">
        <x:v>5.8</x:v>
      </x:c>
      <x:c r="E628" s="12" t="n">
        <x:v>134623</x:v>
      </x:c>
      <x:c r="F628" s="12" t="n">
        <x:v>3617938</x:v>
      </x:c>
      <x:c r="G628" s="14" t="n">
        <x:v>418387153.68</x:v>
      </x:c>
      <x:c r="H628" t="n">
        <x:v>0</x:v>
      </x:c>
      <x:c r="I628" t="n">
        <x:f>IF(H628=0,1,0)</x:f>
        <x:v>1</x:v>
      </x:c>
      <x:c r="J628" s="16" t="n">
        <x:f>F628/E628</x:f>
        <x:v>26.874590523164688</x:v>
      </x:c>
      <x:c r="K628" s="16" t="n">
        <x:f>G628/1000/E628</x:f>
        <x:v>3.1078430407879782</x:v>
      </x:c>
    </x:row>
    <x:row r="629">
      <x:c r="A629" s="8" t="d">
        <x:v>2025-09-15T00:00:00.000Z</x:v>
      </x:c>
      <x:c r="B629" t="str">
        <x:v>Good</x:v>
      </x:c>
      <x:c r="C629" t="str">
        <x:v>Workday</x:v>
      </x:c>
      <x:c r="D629" s="10" t="n">
        <x:v>11.12</x:v>
      </x:c>
      <x:c r="E629" s="12" t="n">
        <x:v>165343</x:v>
      </x:c>
      <x:c r="F629" s="12" t="n">
        <x:v>3390704</x:v>
      </x:c>
      <x:c r="G629" s="14" t="n">
        <x:v>391887513.59</x:v>
      </x:c>
      <x:c r="H629" t="n">
        <x:v>0</x:v>
      </x:c>
      <x:c r="I629" t="n">
        <x:f>IF(H629=0,1,0)</x:f>
        <x:v>1</x:v>
      </x:c>
      <x:c r="J629" s="16" t="n">
        <x:f>F629/E629</x:f>
        <x:v>20.507091319257544</x:v>
      </x:c>
      <x:c r="K629" s="16" t="n">
        <x:f>G629/1000/E629</x:f>
        <x:v>2.3701488033360953</x:v>
      </x:c>
    </x:row>
    <x:row r="630">
      <x:c r="A630" s="8" t="d">
        <x:v>2025-09-16T00:00:00.000Z</x:v>
      </x:c>
      <x:c r="B630" t="str">
        <x:v>Good</x:v>
      </x:c>
      <x:c r="C630" t="str">
        <x:v>Workday</x:v>
      </x:c>
      <x:c r="D630" s="10" t="n">
        <x:v>12.28</x:v>
      </x:c>
      <x:c r="E630" s="12" t="n">
        <x:v>107806</x:v>
      </x:c>
      <x:c r="F630" s="12" t="n">
        <x:v>1900361</x:v>
      </x:c>
      <x:c r="G630" s="14" t="n">
        <x:v>212187169.95</x:v>
      </x:c>
      <x:c r="H630" t="n">
        <x:v>0</x:v>
      </x:c>
      <x:c r="I630" t="n">
        <x:f>IF(H630=0,1,0)</x:f>
        <x:v>1</x:v>
      </x:c>
      <x:c r="J630" s="16" t="n">
        <x:f>F630/E630</x:f>
        <x:v>17.62759957701798</x:v>
      </x:c>
      <x:c r="K630" s="16" t="n">
        <x:f>G630/1000/E630</x:f>
        <x:v>1.9682315450902546</x:v>
      </x:c>
    </x:row>
    <x:row r="631">
      <x:c r="A631" s="8" t="d">
        <x:v>2025-09-17T00:00:00.000Z</x:v>
      </x:c>
      <x:c r="B631" t="str">
        <x:v>Good</x:v>
      </x:c>
      <x:c r="C631" t="str">
        <x:v>Workday</x:v>
      </x:c>
      <x:c r="D631" s="10" t="n">
        <x:v>5.96</x:v>
      </x:c>
      <x:c r="E631" s="12" t="n">
        <x:v>84085</x:v>
      </x:c>
      <x:c r="F631" s="12" t="n">
        <x:v>1619642</x:v>
      </x:c>
      <x:c r="G631" s="14" t="n">
        <x:v>183309893.46</x:v>
      </x:c>
      <x:c r="H631" t="n">
        <x:v>0</x:v>
      </x:c>
      <x:c r="I631" t="n">
        <x:f>IF(H631=0,1,0)</x:f>
        <x:v>1</x:v>
      </x:c>
      <x:c r="J631" s="16" t="n">
        <x:f>F631/E631</x:f>
        <x:v>19.261961110780756</x:v>
      </x:c>
      <x:c r="K631" s="16" t="n">
        <x:f>G631/1000/E631</x:f>
        <x:v>2.1800546287685085</x:v>
      </x:c>
    </x:row>
    <x:row r="632">
      <x:c r="A632" s="8" t="d">
        <x:v>2025-09-18T00:00:00.000Z</x:v>
      </x:c>
      <x:c r="B632" t="str">
        <x:v>Good</x:v>
      </x:c>
      <x:c r="C632" t="str">
        <x:v>Workday</x:v>
      </x:c>
      <x:c r="D632" s="10" t="n">
        <x:v>3.68</x:v>
      </x:c>
      <x:c r="E632" s="12" t="n">
        <x:v>168435</x:v>
      </x:c>
      <x:c r="F632" s="12" t="n">
        <x:v>3553604</x:v>
      </x:c>
      <x:c r="G632" s="14" t="n">
        <x:v>404390505.42</x:v>
      </x:c>
      <x:c r="H632" t="n">
        <x:v>0</x:v>
      </x:c>
      <x:c r="I632" t="n">
        <x:f>IF(H632=0,1,0)</x:f>
        <x:v>1</x:v>
      </x:c>
      <x:c r="J632" s="16" t="n">
        <x:f>F632/E632</x:f>
        <x:v>21.09777659037611</x:v>
      </x:c>
      <x:c r="K632" s="16" t="n">
        <x:f>G632/1000/E632</x:f>
        <x:v>2.4008698039006147</x:v>
      </x:c>
    </x:row>
    <x:row r="633">
      <x:c r="A633" s="8" t="d">
        <x:v>2025-09-19T00:00:00.000Z</x:v>
      </x:c>
      <x:c r="B633" t="str">
        <x:v>Good</x:v>
      </x:c>
      <x:c r="C633" t="str">
        <x:v>Workday</x:v>
      </x:c>
      <x:c r="D633" s="10" t="n">
        <x:v>4.6</x:v>
      </x:c>
      <x:c r="E633" s="12" t="n">
        <x:v>62548</x:v>
      </x:c>
      <x:c r="F633" s="12" t="n">
        <x:v>1033613</x:v>
      </x:c>
      <x:c r="G633" s="14" t="n">
        <x:v>119007952.74</x:v>
      </x:c>
      <x:c r="H633" t="n">
        <x:v>0</x:v>
      </x:c>
      <x:c r="I633" t="n">
        <x:f>IF(H633=0,1,0)</x:f>
        <x:v>1</x:v>
      </x:c>
      <x:c r="J633" s="16" t="n">
        <x:f>F633/E633</x:f>
        <x:v>16.52511671036644</x:v>
      </x:c>
      <x:c r="K633" s="16" t="n">
        <x:f>G633/1000/E633</x:f>
        <x:v>1.9026659963547994</x:v>
      </x:c>
    </x:row>
    <x:row r="634">
      <x:c r="A634" s="8" t="d">
        <x:v>2025-09-20T00:00:00.000Z</x:v>
      </x:c>
      <x:c r="B634" t="str">
        <x:v>Good</x:v>
      </x:c>
      <x:c r="C634" t="str">
        <x:v>Day off</x:v>
      </x:c>
      <x:c r="D634" s="10" t="n">
        <x:v>2.6</x:v>
      </x:c>
      <x:c r="E634" s="12" t="n">
        <x:v>112489</x:v>
      </x:c>
      <x:c r="F634" s="12" t="n">
        <x:v>2931830</x:v>
      </x:c>
      <x:c r="G634" s="14" t="n">
        <x:v>316209717.24</x:v>
      </x:c>
      <x:c r="H634" t="n">
        <x:v>0</x:v>
      </x:c>
      <x:c r="I634" t="n">
        <x:f>IF(H634=0,1,0)</x:f>
        <x:v>1</x:v>
      </x:c>
      <x:c r="J634" s="16" t="n">
        <x:f>F634/E634</x:f>
        <x:v>26.063259518708495</x:v>
      </x:c>
      <x:c r="K634" s="16" t="n">
        <x:f>G634/1000/E634</x:f>
        <x:v>2.8110278981944905</x:v>
      </x:c>
    </x:row>
    <x:row r="635">
      <x:c r="A635" s="8" t="d">
        <x:v>2025-09-21T00:00:00.000Z</x:v>
      </x:c>
      <x:c r="B635" t="str">
        <x:v>Good</x:v>
      </x:c>
      <x:c r="C635" t="str">
        <x:v>Day off</x:v>
      </x:c>
      <x:c r="D635" s="10" t="n">
        <x:v>2.6</x:v>
      </x:c>
      <x:c r="E635" s="12" t="n">
        <x:v>146259</x:v>
      </x:c>
      <x:c r="F635" s="12" t="n">
        <x:v>4105647</x:v>
      </x:c>
      <x:c r="G635" s="14" t="n">
        <x:v>464000098.76</x:v>
      </x:c>
      <x:c r="H635" t="n">
        <x:v>0</x:v>
      </x:c>
      <x:c r="I635" t="n">
        <x:f>IF(H635=0,1,0)</x:f>
        <x:v>1</x:v>
      </x:c>
      <x:c r="J635" s="16" t="n">
        <x:f>F635/E635</x:f>
        <x:v>28.071072549381576</x:v>
      </x:c>
      <x:c r="K635" s="16" t="n">
        <x:f>G635/1000/E635</x:f>
        <x:v>3.172455019930397</x:v>
      </x:c>
    </x:row>
    <x:row r="636">
      <x:c r="A636" s="8" t="d">
        <x:v>2025-09-22T00:00:00.000Z</x:v>
      </x:c>
      <x:c r="B636" t="str">
        <x:v>Good</x:v>
      </x:c>
      <x:c r="C636" t="str">
        <x:v>Workday</x:v>
      </x:c>
      <x:c r="D636" s="10" t="n">
        <x:v>4.68</x:v>
      </x:c>
      <x:c r="E636" s="12" t="n">
        <x:v>169397</x:v>
      </x:c>
      <x:c r="F636" s="12" t="n">
        <x:v>3538482</x:v>
      </x:c>
      <x:c r="G636" s="14" t="n">
        <x:v>407739069.75</x:v>
      </x:c>
      <x:c r="H636" t="n">
        <x:v>0</x:v>
      </x:c>
      <x:c r="I636" t="n">
        <x:f>IF(H636=0,1,0)</x:f>
        <x:v>1</x:v>
      </x:c>
      <x:c r="J636" s="16" t="n">
        <x:f>F636/E636</x:f>
        <x:v>20.888693424322746</x:v>
      </x:c>
      <x:c r="K636" s="16" t="n">
        <x:f>G636/1000/E636</x:f>
        <x:v>2.40700289704068</x:v>
      </x:c>
    </x:row>
    <x:row r="637">
      <x:c r="A637" s="8" t="d">
        <x:v>2025-09-23T00:00:00.000Z</x:v>
      </x:c>
      <x:c r="B637" t="str">
        <x:v>Good</x:v>
      </x:c>
      <x:c r="C637" t="str">
        <x:v>Workday</x:v>
      </x:c>
      <x:c r="D637" s="10" t="n">
        <x:v>5.68</x:v>
      </x:c>
      <x:c r="E637" s="12" t="n">
        <x:v>173585</x:v>
      </x:c>
      <x:c r="F637" s="12" t="n">
        <x:v>3549421</x:v>
      </x:c>
      <x:c r="G637" s="14" t="n">
        <x:v>405848918.08</x:v>
      </x:c>
      <x:c r="H637" t="n">
        <x:v>0</x:v>
      </x:c>
      <x:c r="I637" t="n">
        <x:f>IF(H637=0,1,0)</x:f>
        <x:v>1</x:v>
      </x:c>
      <x:c r="J637" s="16" t="n">
        <x:f>F637/E637</x:f>
        <x:v>20.44774030014114</x:v>
      </x:c>
      <x:c r="K637" s="16" t="n">
        <x:f>G637/1000/E637</x:f>
        <x:v>2.338041409568799</x:v>
      </x:c>
    </x:row>
    <x:row r="638">
      <x:c r="A638" s="8" t="d">
        <x:v>2025-09-24T00:00:00.000Z</x:v>
      </x:c>
      <x:c r="B638" t="str">
        <x:v>Good</x:v>
      </x:c>
      <x:c r="C638" t="str">
        <x:v>Workday</x:v>
      </x:c>
      <x:c r="D638" s="10" t="n">
        <x:v>5.64</x:v>
      </x:c>
      <x:c r="E638" s="12" t="n">
        <x:v>69984</x:v>
      </x:c>
      <x:c r="F638" s="12" t="n">
        <x:v>1117024</x:v>
      </x:c>
      <x:c r="G638" s="14" t="n">
        <x:v>131225613.12</x:v>
      </x:c>
      <x:c r="H638" t="n">
        <x:v>0</x:v>
      </x:c>
      <x:c r="I638" t="n">
        <x:f>IF(H638=0,1,0)</x:f>
        <x:v>1</x:v>
      </x:c>
      <x:c r="J638" s="16" t="n">
        <x:f>F638/E638</x:f>
        <x:v>15.961133973479653</x:v>
      </x:c>
      <x:c r="K638" s="16" t="n">
        <x:f>G638/1000/E638</x:f>
        <x:v>1.8750802057613167</x:v>
      </x:c>
    </x:row>
    <x:row r="639">
      <x:c r="A639" s="8" t="d">
        <x:v>2025-09-25T00:00:00.000Z</x:v>
      </x:c>
      <x:c r="B639" t="str">
        <x:v>Good</x:v>
      </x:c>
      <x:c r="C639" t="str">
        <x:v>Workday</x:v>
      </x:c>
      <x:c r="D639" s="10" t="n">
        <x:v>8.72</x:v>
      </x:c>
      <x:c r="E639" s="12" t="n">
        <x:v>157347</x:v>
      </x:c>
      <x:c r="F639" s="12" t="n">
        <x:v>3328453</x:v>
      </x:c>
      <x:c r="G639" s="14" t="n">
        <x:v>371595861.94</x:v>
      </x:c>
      <x:c r="H639" t="n">
        <x:v>0</x:v>
      </x:c>
      <x:c r="I639" t="n">
        <x:f>IF(H639=0,1,0)</x:f>
        <x:v>1</x:v>
      </x:c>
      <x:c r="J639" s="16" t="n">
        <x:f>F639/E639</x:f>
        <x:v>21.153584116633937</x:v>
      </x:c>
      <x:c r="K639" s="16" t="n">
        <x:f>G639/1000/E639</x:f>
        <x:v>2.361632963704424</x:v>
      </x:c>
    </x:row>
    <x:row r="640">
      <x:c r="A640" s="8" t="d">
        <x:v>2025-09-26T00:00:00.000Z</x:v>
      </x:c>
      <x:c r="B640" t="str">
        <x:v>Moderate</x:v>
      </x:c>
      <x:c r="C640" t="str">
        <x:v>Workday</x:v>
      </x:c>
      <x:c r="D640" s="10" t="n">
        <x:v>18.28</x:v>
      </x:c>
      <x:c r="E640" s="12" t="n">
        <x:v>176011</x:v>
      </x:c>
      <x:c r="F640" s="12" t="n">
        <x:v>3785947</x:v>
      </x:c>
      <x:c r="G640" s="14" t="n">
        <x:v>420685722.11</x:v>
      </x:c>
      <x:c r="H640" t="n">
        <x:v>0</x:v>
      </x:c>
      <x:c r="I640" t="n">
        <x:f>IF(H640=0,1,0)</x:f>
        <x:v>1</x:v>
      </x:c>
      <x:c r="J640" s="16" t="n">
        <x:f>F640/E640</x:f>
        <x:v>21.509718142616087</x:v>
      </x:c>
      <x:c r="K640" s="16" t="n">
        <x:f>G640/1000/E640</x:f>
        <x:v>2.390110402815733</x:v>
      </x:c>
    </x:row>
    <x:row r="641">
      <x:c r="A641" s="8" t="d">
        <x:v>2025-09-27T00:00:00.000Z</x:v>
      </x:c>
      <x:c r="B641" t="str">
        <x:v>Moderate</x:v>
      </x:c>
      <x:c r="C641" t="str">
        <x:v>Day off</x:v>
      </x:c>
      <x:c r="D641" s="10" t="n">
        <x:v>16.48</x:v>
      </x:c>
      <x:c r="E641" s="12" t="n">
        <x:v>153156</x:v>
      </x:c>
      <x:c r="F641" s="12" t="n">
        <x:v>4189371</x:v>
      </x:c>
      <x:c r="G641" s="14" t="n">
        <x:v>437613990.99</x:v>
      </x:c>
      <x:c r="H641" t="n">
        <x:v>0</x:v>
      </x:c>
      <x:c r="I641" t="n">
        <x:f>IF(H641=0,1,0)</x:f>
        <x:v>1</x:v>
      </x:c>
      <x:c r="J641" s="16" t="n">
        <x:f>F641/E641</x:f>
        <x:v>27.353619838595943</x:v>
      </x:c>
      <x:c r="K641" s="16" t="n">
        <x:f>G641/1000/E641</x:f>
        <x:v>2.8573088288411816</x:v>
      </x:c>
    </x:row>
    <x:row r="642">
      <x:c r="A642" s="8" t="d">
        <x:v>2025-09-28T00:00:00.000Z</x:v>
      </x:c>
      <x:c r="B642" t="str">
        <x:v>Good</x:v>
      </x:c>
      <x:c r="C642" t="str">
        <x:v>Day off</x:v>
      </x:c>
      <x:c r="D642" s="10" t="n">
        <x:v>10.04</x:v>
      </x:c>
      <x:c r="E642" s="12" t="n">
        <x:v>77624</x:v>
      </x:c>
      <x:c r="F642" s="12" t="n">
        <x:v>1959075</x:v>
      </x:c>
      <x:c r="G642" s="14" t="n">
        <x:v>221227984.94</x:v>
      </x:c>
      <x:c r="H642" t="n">
        <x:v>0</x:v>
      </x:c>
      <x:c r="I642" t="n">
        <x:f>IF(H642=0,1,0)</x:f>
        <x:v>1</x:v>
      </x:c>
      <x:c r="J642" s="16" t="n">
        <x:f>F642/E642</x:f>
        <x:v>25.23800628671545</x:v>
      </x:c>
      <x:c r="K642" s="16" t="n">
        <x:f>G642/1000/E642</x:f>
        <x:v>2.8499946529423887</x:v>
      </x:c>
    </x:row>
    <x:row r="643">
      <x:c r="A643" s="8" t="d">
        <x:v>2025-09-29T00:00:00.000Z</x:v>
      </x:c>
      <x:c r="B643" t="str">
        <x:v>Moderate</x:v>
      </x:c>
      <x:c r="C643" t="str">
        <x:v>Workday</x:v>
      </x:c>
      <x:c r="D643" s="10" t="n">
        <x:v>17.32</x:v>
      </x:c>
      <x:c r="E643" s="12" t="n">
        <x:v>168318</x:v>
      </x:c>
      <x:c r="F643" s="12" t="n">
        <x:v>3471832</x:v>
      </x:c>
      <x:c r="G643" s="14" t="n">
        <x:v>396132087.81</x:v>
      </x:c>
      <x:c r="H643" t="n">
        <x:v>0</x:v>
      </x:c>
      <x:c r="I643" t="n">
        <x:f>IF(H643=0,1,0)</x:f>
        <x:v>1</x:v>
      </x:c>
      <x:c r="J643" s="16" t="n">
        <x:f>F643/E643</x:f>
        <x:v>20.626623415202175</x:v>
      </x:c>
      <x:c r="K643" s="16" t="n">
        <x:f>G643/1000/E643</x:f>
        <x:v>2.3534743034613053</x:v>
      </x:c>
    </x:row>
    <x:row r="644">
      <x:c r="A644" s="8" t="d">
        <x:v>2025-09-30T00:00:00.000Z</x:v>
      </x:c>
      <x:c r="B644" t="str">
        <x:v>Moderate</x:v>
      </x:c>
      <x:c r="C644" t="str">
        <x:v>Workday</x:v>
      </x:c>
      <x:c r="D644" s="10" t="n">
        <x:v>20.72</x:v>
      </x:c>
      <x:c r="E644" s="12" t="n">
        <x:v>170955</x:v>
      </x:c>
      <x:c r="F644" s="12" t="n">
        <x:v>3500999</x:v>
      </x:c>
      <x:c r="G644" s="14" t="n">
        <x:v>395190739.24</x:v>
      </x:c>
      <x:c r="H644" t="n">
        <x:v>0</x:v>
      </x:c>
      <x:c r="I644" t="n">
        <x:f>IF(H644=0,1,0)</x:f>
        <x:v>1</x:v>
      </x:c>
      <x:c r="J644" s="16" t="n">
        <x:f>F644/E644</x:f>
        <x:v>20.47906759088649</x:v>
      </x:c>
      <x:c r="K644" s="16" t="n">
        <x:f>G644/1000/E644</x:f>
        <x:v>2.311665287590302</x:v>
      </x:c>
    </x:row>
    <x:row r="645">
      <x:c r="A645" s="8" t="d">
        <x:v>2025-10-01T00:00:00.000Z</x:v>
      </x:c>
      <x:c r="B645" t="str">
        <x:v>Moderate</x:v>
      </x:c>
      <x:c r="C645" t="str">
        <x:v>Workday</x:v>
      </x:c>
      <x:c r="D645" s="10" t="n">
        <x:v>19.88</x:v>
      </x:c>
      <x:c r="E645" s="12" t="n">
        <x:v>169645</x:v>
      </x:c>
      <x:c r="F645" s="12" t="n">
        <x:v>3454702</x:v>
      </x:c>
      <x:c r="G645" s="14" t="n">
        <x:v>388483901.81</x:v>
      </x:c>
      <x:c r="H645" t="n">
        <x:v>0</x:v>
      </x:c>
      <x:c r="I645" t="n">
        <x:f>IF(H645=0,1,0)</x:f>
        <x:v>1</x:v>
      </x:c>
      <x:c r="J645" s="16" t="n">
        <x:f>F645/E645</x:f>
        <x:v>20.36430192460727</x:v>
      </x:c>
      <x:c r="K645" s="16" t="n">
        <x:f>G645/1000/E645</x:f>
        <x:v>2.2899814424828318</x:v>
      </x:c>
    </x:row>
    <x:row r="646">
      <x:c r="A646" s="8" t="d">
        <x:v>2025-10-02T00:00:00.000Z</x:v>
      </x:c>
      <x:c r="B646" t="str">
        <x:v>Moderate</x:v>
      </x:c>
      <x:c r="C646" t="str">
        <x:v>Workday</x:v>
      </x:c>
      <x:c r="D646" s="10" t="n">
        <x:v>17.28</x:v>
      </x:c>
      <x:c r="E646" s="12" t="n">
        <x:v>175021</x:v>
      </x:c>
      <x:c r="F646" s="12" t="n">
        <x:v>3688712</x:v>
      </x:c>
      <x:c r="G646" s="14" t="n">
        <x:v>410615036.02</x:v>
      </x:c>
      <x:c r="H646" t="n">
        <x:v>0</x:v>
      </x:c>
      <x:c r="I646" t="n">
        <x:f>IF(H646=0,1,0)</x:f>
        <x:v>1</x:v>
      </x:c>
      <x:c r="J646" s="16" t="n">
        <x:f>F646/E646</x:f>
        <x:v>21.075825186691883</x:v>
      </x:c>
      <x:c r="K646" s="16" t="n">
        <x:f>G646/1000/E646</x:f>
        <x:v>2.3460901035875694</x:v>
      </x:c>
    </x:row>
    <x:row r="647">
      <x:c r="A647" s="8" t="d">
        <x:v>2025-10-03T00:00:00.000Z</x:v>
      </x:c>
      <x:c r="B647" t="str">
        <x:v>Moderate</x:v>
      </x:c>
      <x:c r="C647" t="str">
        <x:v>Day off</x:v>
      </x:c>
      <x:c r="D647" s="10" t="n">
        <x:v>16.12</x:v>
      </x:c>
      <x:c r="E647" s="12" t="n">
        <x:v>89958</x:v>
      </x:c>
      <x:c r="F647" s="12" t="n">
        <x:v>2208095</x:v>
      </x:c>
      <x:c r="G647" s="14" t="n">
        <x:v>247842727.45</x:v>
      </x:c>
      <x:c r="H647" t="n">
        <x:v>0</x:v>
      </x:c>
      <x:c r="I647" t="n">
        <x:f>IF(H647=0,1,0)</x:f>
        <x:v>1</x:v>
      </x:c>
      <x:c r="J647" s="16" t="n">
        <x:f>F647/E647</x:f>
        <x:v>24.545843615909646</x:v>
      </x:c>
      <x:c r="K647" s="16" t="n">
        <x:f>G647/1000/E647</x:f>
        <x:v>2.755093793214611</x:v>
      </x:c>
    </x:row>
    <x:row r="648">
      <x:c r="A648" s="8" t="d">
        <x:v>2025-10-04T00:00:00.000Z</x:v>
      </x:c>
      <x:c r="B648" t="str">
        <x:v>Good</x:v>
      </x:c>
      <x:c r="C648" t="str">
        <x:v>Day off</x:v>
      </x:c>
      <x:c r="D648" s="10" t="n">
        <x:v>5.04</x:v>
      </x:c>
      <x:c r="E648" s="12" t="n">
        <x:v>113200</x:v>
      </x:c>
      <x:c r="F648" s="12" t="n">
        <x:v>2944678</x:v>
      </x:c>
      <x:c r="G648" s="14" t="n">
        <x:v>332497390.89</x:v>
      </x:c>
      <x:c r="H648" t="n">
        <x:v>0</x:v>
      </x:c>
      <x:c r="I648" t="n">
        <x:f>IF(H648=0,1,0)</x:f>
        <x:v>1</x:v>
      </x:c>
      <x:c r="J648" s="16" t="n">
        <x:f>F648/E648</x:f>
        <x:v>26.013056537102475</x:v>
      </x:c>
      <x:c r="K648" s="16" t="n">
        <x:f>G648/1000/E648</x:f>
        <x:v>2.937256103268551</x:v>
      </x:c>
    </x:row>
    <x:row r="649">
      <x:c r="A649" s="8" t="d">
        <x:v>2025-10-05T00:00:00.000Z</x:v>
      </x:c>
      <x:c r="B649" t="str">
        <x:v>Good</x:v>
      </x:c>
      <x:c r="C649" t="str">
        <x:v>Day off</x:v>
      </x:c>
      <x:c r="D649" s="10" t="n">
        <x:v>4.6</x:v>
      </x:c>
      <x:c r="E649" s="12" t="n">
        <x:v>53622</x:v>
      </x:c>
      <x:c r="F649" s="12" t="n">
        <x:v>1314303</x:v>
      </x:c>
      <x:c r="G649" s="14" t="n">
        <x:v>153046659.39</x:v>
      </x:c>
      <x:c r="H649" t="n">
        <x:v>0</x:v>
      </x:c>
      <x:c r="I649" t="n">
        <x:f>IF(H649=0,1,0)</x:f>
        <x:v>1</x:v>
      </x:c>
      <x:c r="J649" s="16" t="n">
        <x:f>F649/E649</x:f>
        <x:v>24.510518070941032</x:v>
      </x:c>
      <x:c r="K649" s="16" t="n">
        <x:f>G649/1000/E649</x:f>
        <x:v>2.854176632538883</x:v>
      </x:c>
    </x:row>
    <x:row r="650">
      <x:c r="A650" s="8" t="d">
        <x:v>2025-10-06T00:00:00.000Z</x:v>
      </x:c>
      <x:c r="B650" t="str">
        <x:v>Good</x:v>
      </x:c>
      <x:c r="C650" t="str">
        <x:v>Day off</x:v>
      </x:c>
      <x:c r="D650" s="10" t="n">
        <x:v>2.08</x:v>
      </x:c>
      <x:c r="E650" s="12" t="n">
        <x:v>10493</x:v>
      </x:c>
      <x:c r="F650" s="12" t="n">
        <x:v>215963</x:v>
      </x:c>
      <x:c r="G650" s="14" t="n">
        <x:v>26151520.22</x:v>
      </x:c>
      <x:c r="H650" t="n">
        <x:v>0</x:v>
      </x:c>
      <x:c r="I650" t="n">
        <x:f>IF(H650=0,1,0)</x:f>
        <x:v>1</x:v>
      </x:c>
      <x:c r="J650" s="16" t="n">
        <x:f>F650/E650</x:f>
        <x:v>20.581625845801963</x:v>
      </x:c>
      <x:c r="K650" s="16" t="n">
        <x:f>G650/1000/E650</x:f>
        <x:v>2.4922824949966644</x:v>
      </x:c>
    </x:row>
    <x:row r="651">
      <x:c r="A651" s="8" t="d">
        <x:v>2025-10-07T00:00:00.000Z</x:v>
      </x:c>
      <x:c r="B651" t="str">
        <x:v>Good</x:v>
      </x:c>
      <x:c r="C651" t="str">
        <x:v>Day off</x:v>
      </x:c>
      <x:c r="D651" s="10" t="n">
        <x:v>1.56</x:v>
      </x:c>
      <x:c r="E651" s="12" t="n">
        <x:v>26673</x:v>
      </x:c>
      <x:c r="F651" s="12" t="n">
        <x:v>651892</x:v>
      </x:c>
      <x:c r="G651" s="14" t="n">
        <x:v>72286057.02</x:v>
      </x:c>
      <x:c r="H651" t="n">
        <x:v>0</x:v>
      </x:c>
      <x:c r="I651" t="n">
        <x:f>IF(H651=0,1,0)</x:f>
        <x:v>1</x:v>
      </x:c>
      <x:c r="J651" s="16" t="n">
        <x:f>F651/E651</x:f>
        <x:v>24.440145465451955</x:v>
      </x:c>
      <x:c r="K651" s="16" t="n">
        <x:f>G651/1000/E651</x:f>
        <x:v>2.7100834934203126</x:v>
      </x:c>
    </x:row>
    <x:row r="652">
      <x:c r="A652" s="8" t="d">
        <x:v>2025-10-08T00:00:00.000Z</x:v>
      </x:c>
      <x:c r="B652" t="str">
        <x:v>Good</x:v>
      </x:c>
      <x:c r="C652" t="str">
        <x:v>Day off</x:v>
      </x:c>
      <x:c r="D652" s="10" t="n">
        <x:v>4.32</x:v>
      </x:c>
      <x:c r="E652" s="12" t="n">
        <x:v>126692</x:v>
      </x:c>
      <x:c r="F652" s="12" t="n">
        <x:v>3844571</x:v>
      </x:c>
      <x:c r="G652" s="14" t="n">
        <x:v>440923547.18</x:v>
      </x:c>
      <x:c r="H652" t="n">
        <x:v>0</x:v>
      </x:c>
      <x:c r="I652" t="n">
        <x:f>IF(H652=0,1,0)</x:f>
        <x:v>1</x:v>
      </x:c>
      <x:c r="J652" s="16" t="n">
        <x:f>F652/E652</x:f>
        <x:v>30.345807154358603</x:v>
      </x:c>
      <x:c r="K652" s="16" t="n">
        <x:f>G652/1000/E652</x:f>
        <x:v>3.4802793166103623</x:v>
      </x:c>
    </x:row>
    <x:row r="653">
      <x:c r="A653" s="8" t="d">
        <x:v>2025-10-09T00:00:00.000Z</x:v>
      </x:c>
      <x:c r="B653" t="str">
        <x:v>Good</x:v>
      </x:c>
      <x:c r="C653" t="str">
        <x:v>Day off</x:v>
      </x:c>
      <x:c r="D653" s="10" t="n">
        <x:v>4.64</x:v>
      </x:c>
      <x:c r="E653" s="12" t="n">
        <x:v>113031</x:v>
      </x:c>
      <x:c r="F653" s="12" t="n">
        <x:v>2945922</x:v>
      </x:c>
      <x:c r="G653" s="14" t="n">
        <x:v>336815092.24</x:v>
      </x:c>
      <x:c r="H653" t="n">
        <x:v>0</x:v>
      </x:c>
      <x:c r="I653" t="n">
        <x:f>IF(H653=0,1,0)</x:f>
        <x:v>1</x:v>
      </x:c>
      <x:c r="J653" s="16" t="n">
        <x:f>F653/E653</x:f>
        <x:v>26.062956180162963</x:v>
      </x:c>
      <x:c r="K653" s="16" t="n">
        <x:f>G653/1000/E653</x:f>
        <x:v>2.9798470529323815</x:v>
      </x:c>
    </x:row>
    <x:row r="654">
      <x:c r="A654" s="8" t="d">
        <x:v>2025-10-10T00:00:00.000Z</x:v>
      </x:c>
      <x:c r="B654" t="str">
        <x:v>Good</x:v>
      </x:c>
      <x:c r="C654" t="str">
        <x:v>Workday</x:v>
      </x:c>
      <x:c r="D654" s="10" t="n">
        <x:v>2.84</x:v>
      </x:c>
      <x:c r="E654" s="12" t="n">
        <x:v>13939</x:v>
      </x:c>
      <x:c r="F654" s="12" t="n">
        <x:v>250595</x:v>
      </x:c>
      <x:c r="G654" s="14" t="n">
        <x:v>25279501.67</x:v>
      </x:c>
      <x:c r="H654" t="n">
        <x:v>0</x:v>
      </x:c>
      <x:c r="I654" t="n">
        <x:f>IF(H654=0,1,0)</x:f>
        <x:v>1</x:v>
      </x:c>
      <x:c r="J654" s="16" t="n">
        <x:f>F654/E654</x:f>
        <x:v>17.977975464523997</x:v>
      </x:c>
      <x:c r="K654" s="16" t="n">
        <x:f>G654/1000/E654</x:f>
        <x:v>1.813580720998637</x:v>
      </x:c>
    </x:row>
    <x:row r="655">
      <x:c r="A655" s="8" t="d">
        <x:v>2025-10-11T00:00:00.000Z</x:v>
      </x:c>
      <x:c r="B655" t="str">
        <x:v>Good</x:v>
      </x:c>
      <x:c r="C655" t="str">
        <x:v>Day off</x:v>
      </x:c>
      <x:c r="D655" s="10" t="n">
        <x:v>5.48</x:v>
      </x:c>
      <x:c r="E655" s="12" t="n">
        <x:v>55776</x:v>
      </x:c>
      <x:c r="F655" s="12" t="n">
        <x:v>1357396</x:v>
      </x:c>
      <x:c r="G655" s="14" t="n">
        <x:v>139199601.4</x:v>
      </x:c>
      <x:c r="H655" t="n">
        <x:v>0</x:v>
      </x:c>
      <x:c r="I655" t="n">
        <x:f>IF(H655=0,1,0)</x:f>
        <x:v>1</x:v>
      </x:c>
      <x:c r="J655" s="16" t="n">
        <x:f>F655/E655</x:f>
        <x:v>24.336560527825586</x:v>
      </x:c>
      <x:c r="K655" s="16" t="n">
        <x:f>G655/1000/E655</x:f>
        <x:v>2.4956899275674127</x:v>
      </x:c>
    </x:row>
    <x:row r="656">
      <x:c r="A656" s="8" t="d">
        <x:v>2025-10-12T00:00:00.000Z</x:v>
      </x:c>
      <x:c r="B656" t="str">
        <x:v>Good</x:v>
      </x:c>
      <x:c r="C656" t="str">
        <x:v>Day off</x:v>
      </x:c>
      <x:c r="D656" s="10" t="n">
        <x:v>2</x:v>
      </x:c>
      <x:c r="E656" s="12" t="n">
        <x:v>108469</x:v>
      </x:c>
      <x:c r="F656" s="12" t="n">
        <x:v>2818278</x:v>
      </x:c>
      <x:c r="G656" s="14" t="n">
        <x:v>319091685.78</x:v>
      </x:c>
      <x:c r="H656" t="n">
        <x:v>0</x:v>
      </x:c>
      <x:c r="I656" t="n">
        <x:f>IF(H656=0,1,0)</x:f>
        <x:v>1</x:v>
      </x:c>
      <x:c r="J656" s="16" t="n">
        <x:f>F656/E656</x:f>
        <x:v>25.982335966958303</x:v>
      </x:c>
      <x:c r="K656" s="16" t="n">
        <x:f>G656/1000/E656</x:f>
        <x:v>2.9417777040444735</x:v>
      </x:c>
    </x:row>
    <x:row r="657">
      <x:c r="A657" s="8" t="d">
        <x:v>2025-10-13T00:00:00.000Z</x:v>
      </x:c>
      <x:c r="B657" t="str">
        <x:v>Good</x:v>
      </x:c>
      <x:c r="C657" t="str">
        <x:v>Workday</x:v>
      </x:c>
      <x:c r="D657" s="10" t="n">
        <x:v>1.64</x:v>
      </x:c>
      <x:c r="E657" s="12" t="n">
        <x:v>28941</x:v>
      </x:c>
      <x:c r="F657" s="12" t="n">
        <x:v>511741</x:v>
      </x:c>
      <x:c r="G657" s="14" t="n">
        <x:v>50545438.43</x:v>
      </x:c>
      <x:c r="H657" t="n">
        <x:v>0</x:v>
      </x:c>
      <x:c r="I657" t="n">
        <x:f>IF(H657=0,1,0)</x:f>
        <x:v>1</x:v>
      </x:c>
      <x:c r="J657" s="16" t="n">
        <x:f>F657/E657</x:f>
        <x:v>17.682215541964688</x:v>
      </x:c>
      <x:c r="K657" s="16" t="n">
        <x:f>G657/1000/E657</x:f>
        <x:v>1.746499375626274</x:v>
      </x:c>
    </x:row>
    <x:row r="658">
      <x:c r="A658" s="8" t="d">
        <x:v>2025-10-14T00:00:00.000Z</x:v>
      </x:c>
      <x:c r="B658" t="str">
        <x:v>Good</x:v>
      </x:c>
      <x:c r="C658" t="str">
        <x:v>Workday</x:v>
      </x:c>
      <x:c r="D658" s="10" t="n">
        <x:v>1.96</x:v>
      </x:c>
      <x:c r="E658" s="12" t="n">
        <x:v>130812</x:v>
      </x:c>
      <x:c r="F658" s="12" t="n">
        <x:v>2665526</x:v>
      </x:c>
      <x:c r="G658" s="14" t="n">
        <x:v>292423993.86</x:v>
      </x:c>
      <x:c r="H658" t="n">
        <x:v>0</x:v>
      </x:c>
      <x:c r="I658" t="n">
        <x:f>IF(H658=0,1,0)</x:f>
        <x:v>1</x:v>
      </x:c>
      <x:c r="J658" s="16" t="n">
        <x:f>F658/E658</x:f>
        <x:v>20.376769715316637</x:v>
      </x:c>
      <x:c r="K658" s="16" t="n">
        <x:f>G658/1000/E658</x:f>
        <x:v>2.2354523580405465</x:v>
      </x:c>
    </x:row>
    <x:row r="659">
      <x:c r="A659" s="8" t="d">
        <x:v>2025-10-15T00:00:00.000Z</x:v>
      </x:c>
      <x:c r="B659" t="str">
        <x:v>Good</x:v>
      </x:c>
      <x:c r="C659" t="str">
        <x:v>Workday</x:v>
      </x:c>
      <x:c r="D659" s="10" t="n">
        <x:v>3.4</x:v>
      </x:c>
      <x:c r="E659" s="12" t="n">
        <x:v>119884</x:v>
      </x:c>
      <x:c r="F659" s="12" t="n">
        <x:v>2263070</x:v>
      </x:c>
      <x:c r="G659" s="14" t="n">
        <x:v>247974694</x:v>
      </x:c>
      <x:c r="H659" t="n">
        <x:v>0</x:v>
      </x:c>
      <x:c r="I659" t="n">
        <x:f>IF(H659=0,1,0)</x:f>
        <x:v>1</x:v>
      </x:c>
      <x:c r="J659" s="16" t="n">
        <x:f>F659/E659</x:f>
        <x:v>18.877164592439357</x:v>
      </x:c>
      <x:c r="K659" s="16" t="n">
        <x:f>G659/1000/E659</x:f>
        <x:v>2.0684552901137767</x:v>
      </x:c>
    </x:row>
    <x:row r="660">
      <x:c r="A660" s="8" t="d">
        <x:v>2025-10-16T00:00:00.000Z</x:v>
      </x:c>
      <x:c r="B660" t="str">
        <x:v>Good</x:v>
      </x:c>
      <x:c r="C660" t="str">
        <x:v>Workday</x:v>
      </x:c>
      <x:c r="D660" s="10" t="n">
        <x:v>3.04</x:v>
      </x:c>
      <x:c r="E660" s="12" t="n">
        <x:v>152149</x:v>
      </x:c>
      <x:c r="F660" s="12" t="n">
        <x:v>3195263</x:v>
      </x:c>
      <x:c r="G660" s="14" t="n">
        <x:v>357297420.35</x:v>
      </x:c>
      <x:c r="H660" t="n">
        <x:v>0</x:v>
      </x:c>
      <x:c r="I660" t="n">
        <x:f>IF(H660=0,1,0)</x:f>
        <x:v>1</x:v>
      </x:c>
      <x:c r="J660" s="16" t="n">
        <x:f>F660/E660</x:f>
        <x:v>21.0008807156143</x:v>
      </x:c>
      <x:c r="K660" s="16" t="n">
        <x:f>G660/1000/E660</x:f>
        <x:v>2.348338933216781</x:v>
      </x:c>
    </x:row>
    <x:row r="661">
      <x:c r="A661" s="8" t="d">
        <x:v>2025-10-17T00:00:00.000Z</x:v>
      </x:c>
      <x:c r="B661" t="str">
        <x:v>Good</x:v>
      </x:c>
      <x:c r="C661" t="str">
        <x:v>Workday</x:v>
      </x:c>
      <x:c r="D661" s="10" t="n">
        <x:v>4.96</x:v>
      </x:c>
      <x:c r="E661" s="12" t="n">
        <x:v>112544</x:v>
      </x:c>
      <x:c r="F661" s="12" t="n">
        <x:v>2160219</x:v>
      </x:c>
      <x:c r="G661" s="14" t="n">
        <x:v>233186270.28</x:v>
      </x:c>
      <x:c r="H661" t="n">
        <x:v>0</x:v>
      </x:c>
      <x:c r="I661" t="n">
        <x:f>IF(H661=0,1,0)</x:f>
        <x:v>1</x:v>
      </x:c>
      <x:c r="J661" s="16" t="n">
        <x:f>F661/E661</x:f>
        <x:v>19.194439508103496</x:v>
      </x:c>
      <x:c r="K661" s="16" t="n">
        <x:f>G661/1000/E661</x:f>
        <x:v>2.0719564817315894</x:v>
      </x:c>
    </x:row>
    <x:row r="662">
      <x:c r="A662" s="8" t="d">
        <x:v>2025-10-18T00:00:00.000Z</x:v>
      </x:c>
      <x:c r="B662" t="str">
        <x:v>Good</x:v>
      </x:c>
      <x:c r="C662" t="str">
        <x:v>Day off</x:v>
      </x:c>
      <x:c r="D662" s="10" t="n">
        <x:v>7.56</x:v>
      </x:c>
      <x:c r="E662" s="12" t="n">
        <x:v>99434</x:v>
      </x:c>
      <x:c r="F662" s="12" t="n">
        <x:v>2422393</x:v>
      </x:c>
      <x:c r="G662" s="14" t="n">
        <x:v>256203964.53</x:v>
      </x:c>
      <x:c r="H662" t="n">
        <x:v>0</x:v>
      </x:c>
      <x:c r="I662" t="n">
        <x:f>IF(H662=0,1,0)</x:f>
        <x:v>1</x:v>
      </x:c>
      <x:c r="J662" s="16" t="n">
        <x:f>F662/E662</x:f>
        <x:v>24.361817889253174</x:v>
      </x:c>
      <x:c r="K662" s="16" t="n">
        <x:f>G662/1000/E662</x:f>
        <x:v>2.5766233333668564</x:v>
      </x:c>
    </x:row>
    <x:row r="663">
      <x:c r="A663" s="8" t="d">
        <x:v>2025-10-19T00:00:00.000Z</x:v>
      </x:c>
      <x:c r="B663" t="str">
        <x:v>Good</x:v>
      </x:c>
      <x:c r="C663" t="str">
        <x:v>Day off</x:v>
      </x:c>
      <x:c r="D663" s="10" t="n">
        <x:v>9.24</x:v>
      </x:c>
      <x:c r="E663" s="12" t="n">
        <x:v>116009</x:v>
      </x:c>
      <x:c r="F663" s="12" t="n">
        <x:v>2940681</x:v>
      </x:c>
      <x:c r="G663" s="14" t="n">
        <x:v>324081323.8</x:v>
      </x:c>
      <x:c r="H663" t="n">
        <x:v>0</x:v>
      </x:c>
      <x:c r="I663" t="n">
        <x:f>IF(H663=0,1,0)</x:f>
        <x:v>1</x:v>
      </x:c>
      <x:c r="J663" s="16" t="n">
        <x:f>F663/E663</x:f>
        <x:v>25.348731563930386</x:v>
      </x:c>
      <x:c r="K663" s="16" t="n">
        <x:f>G663/1000/E663</x:f>
        <x:v>2.7935877716384074</x:v>
      </x:c>
    </x:row>
    <x:row r="664">
      <x:c r="A664" s="8" t="d">
        <x:v>2025-10-20T00:00:00.000Z</x:v>
      </x:c>
      <x:c r="B664" t="str">
        <x:v>Good</x:v>
      </x:c>
      <x:c r="C664" t="str">
        <x:v>Workday</x:v>
      </x:c>
      <x:c r="D664" s="10" t="n">
        <x:v>10.76</x:v>
      </x:c>
      <x:c r="E664" s="12" t="n">
        <x:v>131382</x:v>
      </x:c>
      <x:c r="F664" s="12" t="n">
        <x:v>2468276</x:v>
      </x:c>
      <x:c r="G664" s="14" t="n">
        <x:v>274520090.38</x:v>
      </x:c>
      <x:c r="H664" t="n">
        <x:v>0</x:v>
      </x:c>
      <x:c r="I664" t="n">
        <x:f>IF(H664=0,1,0)</x:f>
        <x:v>1</x:v>
      </x:c>
      <x:c r="J664" s="16" t="n">
        <x:f>F664/E664</x:f>
        <x:v>18.787018008555204</x:v>
      </x:c>
      <x:c r="K664" s="16" t="n">
        <x:f>G664/1000/E664</x:f>
        <x:v>2.089480220882617</x:v>
      </x:c>
    </x:row>
    <x:row r="665">
      <x:c r="A665" s="8" t="d">
        <x:v>2025-10-21T00:00:00.000Z</x:v>
      </x:c>
      <x:c r="B665" t="str">
        <x:v>Good</x:v>
      </x:c>
      <x:c r="C665" t="str">
        <x:v>Workday</x:v>
      </x:c>
      <x:c r="D665" s="10" t="n">
        <x:v>12.6</x:v>
      </x:c>
      <x:c r="E665" s="12" t="n">
        <x:v>134707</x:v>
      </x:c>
      <x:c r="F665" s="12" t="n">
        <x:v>2503412</x:v>
      </x:c>
      <x:c r="G665" s="14" t="n">
        <x:v>276825798.21</x:v>
      </x:c>
      <x:c r="H665" t="n">
        <x:v>0</x:v>
      </x:c>
      <x:c r="I665" t="n">
        <x:f>IF(H665=0,1,0)</x:f>
        <x:v>1</x:v>
      </x:c>
      <x:c r="J665" s="16" t="n">
        <x:f>F665/E665</x:f>
        <x:v>18.58412703126044</x:v>
      </x:c>
      <x:c r="K665" s="16" t="n">
        <x:f>G665/1000/E665</x:f>
        <x:v>2.0550216262703493</x:v>
      </x:c>
    </x:row>
    <x:row r="666">
      <x:c r="A666" s="8" t="d">
        <x:v>2025-10-22T00:00:00.000Z</x:v>
      </x:c>
      <x:c r="B666" t="str">
        <x:v>Good</x:v>
      </x:c>
      <x:c r="C666" t="str">
        <x:v>Workday</x:v>
      </x:c>
      <x:c r="D666" s="10" t="n">
        <x:v>8.8</x:v>
      </x:c>
      <x:c r="E666" s="12" t="n">
        <x:v>145055</x:v>
      </x:c>
      <x:c r="F666" s="12" t="n">
        <x:v>2832289</x:v>
      </x:c>
      <x:c r="G666" s="14" t="n">
        <x:v>315011268.65</x:v>
      </x:c>
      <x:c r="H666" t="n">
        <x:v>0</x:v>
      </x:c>
      <x:c r="I666" t="n">
        <x:f>IF(H666=0,1,0)</x:f>
        <x:v>1</x:v>
      </x:c>
      <x:c r="J666" s="16" t="n">
        <x:f>F666/E666</x:f>
        <x:v>19.525621316052533</x:v>
      </x:c>
      <x:c r="K666" s="16" t="n">
        <x:f>G666/1000/E666</x:f>
        <x:v>2.1716677718796316</x:v>
      </x:c>
    </x:row>
    <x:row r="667">
      <x:c r="A667" s="8" t="d">
        <x:v>2025-10-23T00:00:00.000Z</x:v>
      </x:c>
      <x:c r="B667" t="str">
        <x:v>Good</x:v>
      </x:c>
      <x:c r="C667" t="str">
        <x:v>Workday</x:v>
      </x:c>
      <x:c r="D667" s="10" t="n">
        <x:v>4.68</x:v>
      </x:c>
      <x:c r="E667" s="12" t="n">
        <x:v>151467</x:v>
      </x:c>
      <x:c r="F667" s="12" t="n">
        <x:v>3005295</x:v>
      </x:c>
      <x:c r="G667" s="14" t="n">
        <x:v>334698018.82</x:v>
      </x:c>
      <x:c r="H667" t="n">
        <x:v>0</x:v>
      </x:c>
      <x:c r="I667" t="n">
        <x:f>IF(H667=0,1,0)</x:f>
        <x:v>1</x:v>
      </x:c>
      <x:c r="J667" s="16" t="n">
        <x:f>F667/E667</x:f>
        <x:v>19.84125255006041</x:v>
      </x:c>
      <x:c r="K667" s="16" t="n">
        <x:f>G667/1000/E667</x:f>
        <x:v>2.209709169786158</x:v>
      </x:c>
    </x:row>
    <x:row r="668">
      <x:c r="A668" s="8" t="d">
        <x:v>2025-10-24T00:00:00.000Z</x:v>
      </x:c>
      <x:c r="B668" t="str">
        <x:v>Good</x:v>
      </x:c>
      <x:c r="C668" t="str">
        <x:v>Workday</x:v>
      </x:c>
      <x:c r="D668" s="10" t="n">
        <x:v>4.48</x:v>
      </x:c>
      <x:c r="E668" s="12" t="n">
        <x:v>154754</x:v>
      </x:c>
      <x:c r="F668" s="12" t="n">
        <x:v>3191436</x:v>
      </x:c>
      <x:c r="G668" s="14" t="n">
        <x:v>353362089.8</x:v>
      </x:c>
      <x:c r="H668" t="n">
        <x:v>0</x:v>
      </x:c>
      <x:c r="I668" t="n">
        <x:f>IF(H668=0,1,0)</x:f>
        <x:v>1</x:v>
      </x:c>
      <x:c r="J668" s="16" t="n">
        <x:f>F668/E668</x:f>
        <x:v>20.6226398025253</x:v>
      </x:c>
      <x:c r="K668" s="16" t="n">
        <x:f>G668/1000/E668</x:f>
        <x:v>2.2833793620843403</x:v>
      </x:c>
    </x:row>
    <x:row r="669">
      <x:c r="A669" s="8" t="d">
        <x:v>2025-10-25T00:00:00.000Z</x:v>
      </x:c>
      <x:c r="B669" t="str">
        <x:v>Good</x:v>
      </x:c>
      <x:c r="C669" t="str">
        <x:v>Day off</x:v>
      </x:c>
      <x:c r="D669" s="10" t="n">
        <x:v>10.72</x:v>
      </x:c>
      <x:c r="E669" s="12" t="n">
        <x:v>124942</x:v>
      </x:c>
      <x:c r="F669" s="12" t="n">
        <x:v>3027955</x:v>
      </x:c>
      <x:c r="G669" s="14" t="n">
        <x:v>327706938.25</x:v>
      </x:c>
      <x:c r="H669" t="n">
        <x:v>0</x:v>
      </x:c>
      <x:c r="I669" t="n">
        <x:f>IF(H669=0,1,0)</x:f>
        <x:v>1</x:v>
      </x:c>
      <x:c r="J669" s="16" t="n">
        <x:f>F669/E669</x:f>
        <x:v>24.234884986633798</x:v>
      </x:c>
      <x:c r="K669" s="16" t="n">
        <x:f>G669/1000/E669</x:f>
        <x:v>2.622872518848746</x:v>
      </x:c>
    </x:row>
    <x:row r="670">
      <x:c r="A670" s="8" t="d">
        <x:v>2025-10-26T00:00:00.000Z</x:v>
      </x:c>
      <x:c r="B670" t="str">
        <x:v>Moderate</x:v>
      </x:c>
      <x:c r="C670" t="str">
        <x:v>Day off</x:v>
      </x:c>
      <x:c r="D670" s="10" t="n">
        <x:v>23.6</x:v>
      </x:c>
      <x:c r="E670" s="12" t="n">
        <x:v>82071</x:v>
      </x:c>
      <x:c r="F670" s="12" t="n">
        <x:v>1829747</x:v>
      </x:c>
      <x:c r="G670" s="14" t="n">
        <x:v>205850026.67</x:v>
      </x:c>
      <x:c r="H670" t="n">
        <x:v>0</x:v>
      </x:c>
      <x:c r="I670" t="n">
        <x:f>IF(H670=0,1,0)</x:f>
        <x:v>1</x:v>
      </x:c>
      <x:c r="J670" s="16" t="n">
        <x:f>F670/E670</x:f>
        <x:v>22.29468387128218</x:v>
      </x:c>
      <x:c r="K670" s="16" t="n">
        <x:f>G670/1000/E670</x:f>
        <x:v>2.5081944495619646</x:v>
      </x:c>
    </x:row>
    <x:row r="671">
      <x:c r="A671" s="8" t="d">
        <x:v>2025-10-27T00:00:00.000Z</x:v>
      </x:c>
      <x:c r="B671" t="str">
        <x:v>Good</x:v>
      </x:c>
      <x:c r="C671" t="str">
        <x:v>Workday</x:v>
      </x:c>
      <x:c r="D671" s="10" t="n">
        <x:v>11.32</x:v>
      </x:c>
      <x:c r="E671" s="12" t="n">
        <x:v>119997</x:v>
      </x:c>
      <x:c r="F671" s="12" t="n">
        <x:v>2139567</x:v>
      </x:c>
      <x:c r="G671" s="14" t="n">
        <x:v>234826926.92</x:v>
      </x:c>
      <x:c r="H671" t="n">
        <x:v>0</x:v>
      </x:c>
      <x:c r="I671" t="n">
        <x:f>IF(H671=0,1,0)</x:f>
        <x:v>1</x:v>
      </x:c>
      <x:c r="J671" s="16" t="n">
        <x:f>F671/E671</x:f>
        <x:v>17.830170754268856</x:v>
      </x:c>
      <x:c r="K671" s="16" t="n">
        <x:f>G671/1000/E671</x:f>
        <x:v>1.9569399811661958</x:v>
      </x:c>
    </x:row>
    <x:row r="672">
      <x:c r="A672" s="8" t="d">
        <x:v>2025-10-28T00:00:00.000Z</x:v>
      </x:c>
      <x:c r="B672" t="str">
        <x:v>Good</x:v>
      </x:c>
      <x:c r="C672" t="str">
        <x:v>Workday</x:v>
      </x:c>
      <x:c r="D672" s="10" t="n">
        <x:v>9</x:v>
      </x:c>
      <x:c r="E672" s="12" t="n">
        <x:v>127462</x:v>
      </x:c>
      <x:c r="F672" s="12" t="n">
        <x:v>2338385</x:v>
      </x:c>
      <x:c r="G672" s="14" t="n">
        <x:v>256054525.09</x:v>
      </x:c>
      <x:c r="H672" t="n">
        <x:v>0</x:v>
      </x:c>
      <x:c r="I672" t="n">
        <x:f>IF(H672=0,1,0)</x:f>
        <x:v>1</x:v>
      </x:c>
      <x:c r="J672" s="16" t="n">
        <x:f>F672/E672</x:f>
        <x:v>18.345742260438406</x:v>
      </x:c>
      <x:c r="K672" s="16" t="n">
        <x:f>G672/1000/E672</x:f>
        <x:v>2.008869506911864</x:v>
      </x:c>
    </x:row>
    <x:row r="673">
      <x:c r="A673" s="8" t="d">
        <x:v>2025-10-29T00:00:00.000Z</x:v>
      </x:c>
      <x:c r="B673" t="str">
        <x:v>Good</x:v>
      </x:c>
      <x:c r="C673" t="str">
        <x:v>Workday</x:v>
      </x:c>
      <x:c r="D673" s="10" t="n">
        <x:v>14.72</x:v>
      </x:c>
      <x:c r="E673" s="12" t="n">
        <x:v>137699</x:v>
      </x:c>
      <x:c r="F673" s="12" t="n">
        <x:v>2633688</x:v>
      </x:c>
      <x:c r="G673" s="14" t="n">
        <x:v>288931093.36</x:v>
      </x:c>
      <x:c r="H673" t="n">
        <x:v>0</x:v>
      </x:c>
      <x:c r="I673" t="n">
        <x:f>IF(H673=0,1,0)</x:f>
        <x:v>1</x:v>
      </x:c>
      <x:c r="J673" s="16" t="n">
        <x:f>F673/E673</x:f>
        <x:v>19.12641340895722</x:v>
      </x:c>
      <x:c r="K673" s="16" t="n">
        <x:f>G673/1000/E673</x:f>
        <x:v>2.098280258825409</x:v>
      </x:c>
    </x:row>
    <x:row r="674">
      <x:c r="A674" s="8" t="d">
        <x:v>2025-10-30T00:00:00.000Z</x:v>
      </x:c>
      <x:c r="B674" t="str">
        <x:v>Moderate</x:v>
      </x:c>
      <x:c r="C674" t="str">
        <x:v>Workday</x:v>
      </x:c>
      <x:c r="D674" s="10" t="n">
        <x:v>22.2</x:v>
      </x:c>
      <x:c r="E674" s="12" t="n">
        <x:v>140129</x:v>
      </x:c>
      <x:c r="F674" s="12" t="n">
        <x:v>2704425</x:v>
      </x:c>
      <x:c r="G674" s="14" t="n">
        <x:v>296939578.41</x:v>
      </x:c>
      <x:c r="H674" t="n">
        <x:v>0</x:v>
      </x:c>
      <x:c r="I674" t="n">
        <x:f>IF(H674=0,1,0)</x:f>
        <x:v>1</x:v>
      </x:c>
      <x:c r="J674" s="16" t="n">
        <x:f>F674/E674</x:f>
        <x:v>19.29953828258248</x:v>
      </x:c>
      <x:c r="K674" s="16" t="n">
        <x:f>G674/1000/E674</x:f>
        <x:v>2.1190444405512063</x:v>
      </x:c>
    </x:row>
    <x:row r="675">
      <x:c r="A675" s="8" t="d">
        <x:v>2025-10-31T00:00:00.000Z</x:v>
      </x:c>
      <x:c r="B675" t="str">
        <x:v>Moderate</x:v>
      </x:c>
      <x:c r="C675" t="str">
        <x:v>Workday</x:v>
      </x:c>
      <x:c r="D675" s="10" t="n">
        <x:v>23.44</x:v>
      </x:c>
      <x:c r="E675" s="12" t="n">
        <x:v>141807</x:v>
      </x:c>
      <x:c r="F675" s="12" t="n">
        <x:v>2782911</x:v>
      </x:c>
      <x:c r="G675" s="14" t="n">
        <x:v>300636338.69</x:v>
      </x:c>
      <x:c r="H675" t="n">
        <x:v>0</x:v>
      </x:c>
      <x:c r="I675" t="n">
        <x:f>IF(H675=0,1,0)</x:f>
        <x:v>1</x:v>
      </x:c>
      <x:c r="J675" s="16" t="n">
        <x:f>F675/E675</x:f>
        <x:v>19.624637711819584</x:v>
      </x:c>
      <x:c r="K675" s="16" t="n">
        <x:f>G675/1000/E675</x:f>
        <x:v>2.1200387758714307</x:v>
      </x:c>
    </x:row>
    <x:row r="676">
      <x:c r="A676" s="8" t="d">
        <x:v>2025-11-01T00:00:00.000Z</x:v>
      </x:c>
      <x:c r="B676" t="str">
        <x:v>Good</x:v>
      </x:c>
      <x:c r="C676" t="str">
        <x:v>Day off</x:v>
      </x:c>
      <x:c r="D676" s="10" t="n">
        <x:v>13.68</x:v>
      </x:c>
      <x:c r="E676" s="12" t="n">
        <x:v>94090</x:v>
      </x:c>
      <x:c r="F676" s="12" t="n">
        <x:v>2207841</x:v>
      </x:c>
      <x:c r="G676" s="14" t="n">
        <x:v>231644877.67</x:v>
      </x:c>
      <x:c r="H676" t="n">
        <x:v>0</x:v>
      </x:c>
      <x:c r="I676" t="n">
        <x:f>IF(H676=0,1,0)</x:f>
        <x:v>1</x:v>
      </x:c>
      <x:c r="J676" s="16" t="n">
        <x:f>F676/E676</x:f>
        <x:v>23.465203528536506</x:v>
      </x:c>
      <x:c r="K676" s="16" t="n">
        <x:f>G676/1000/E676</x:f>
        <x:v>2.4619500230630247</x:v>
      </x:c>
    </x:row>
    <x:row r="677">
      <x:c r="A677" s="8" t="d">
        <x:v>2025-11-02T00:00:00.000Z</x:v>
      </x:c>
      <x:c r="B677" t="str">
        <x:v>Good</x:v>
      </x:c>
      <x:c r="C677" t="str">
        <x:v>Day off</x:v>
      </x:c>
      <x:c r="D677" s="10" t="n">
        <x:v>8.96</x:v>
      </x:c>
      <x:c r="E677" s="12" t="n">
        <x:v>78413</x:v>
      </x:c>
      <x:c r="F677" s="12" t="n">
        <x:v>1740149</x:v>
      </x:c>
      <x:c r="G677" s="14" t="n">
        <x:v>184714453.71</x:v>
      </x:c>
      <x:c r="H677" t="n">
        <x:v>0</x:v>
      </x:c>
      <x:c r="I677" t="n">
        <x:f>IF(H677=0,1,0)</x:f>
        <x:v>1</x:v>
      </x:c>
      <x:c r="J677" s="16" t="n">
        <x:f>F677/E677</x:f>
        <x:v>22.192098249014833</x:v>
      </x:c>
      <x:c r="K677" s="16" t="n">
        <x:f>G677/1000/E677</x:f>
        <x:v>2.355661098414804</x:v>
      </x:c>
    </x:row>
    <x:row r="678">
      <x:c r="A678" s="8" t="d">
        <x:v>2025-11-03T00:00:00.000Z</x:v>
      </x:c>
      <x:c r="B678" t="str">
        <x:v>Good</x:v>
      </x:c>
      <x:c r="C678" t="str">
        <x:v>Workday</x:v>
      </x:c>
      <x:c r="D678" s="10" t="n">
        <x:v>11.76</x:v>
      </x:c>
      <x:c r="E678" s="12" t="n">
        <x:v>117514</x:v>
      </x:c>
      <x:c r="F678" s="12" t="n">
        <x:v>2176588</x:v>
      </x:c>
      <x:c r="G678" s="14" t="n">
        <x:v>233728019.52</x:v>
      </x:c>
      <x:c r="H678" t="n">
        <x:v>0</x:v>
      </x:c>
      <x:c r="I678" t="n">
        <x:f>IF(H678=0,1,0)</x:f>
        <x:v>1</x:v>
      </x:c>
      <x:c r="J678" s="16" t="n">
        <x:f>F678/E678</x:f>
        <x:v>18.521946321289377</x:v>
      </x:c>
      <x:c r="K678" s="16" t="n">
        <x:f>G678/1000/E678</x:f>
        <x:v>1.9889376544071344</x:v>
      </x:c>
    </x:row>
    <x:row r="679">
      <x:c r="A679" s="8" t="d">
        <x:v>2025-11-04T00:00:00.000Z</x:v>
      </x:c>
      <x:c r="B679" t="str">
        <x:v>Moderate</x:v>
      </x:c>
      <x:c r="C679" t="str">
        <x:v>Workday</x:v>
      </x:c>
      <x:c r="D679" s="10" t="n">
        <x:v>17.64</x:v>
      </x:c>
      <x:c r="E679" s="12" t="n">
        <x:v>131250</x:v>
      </x:c>
      <x:c r="F679" s="12" t="n">
        <x:v>2440503</x:v>
      </x:c>
      <x:c r="G679" s="14" t="n">
        <x:v>267541736.77</x:v>
      </x:c>
      <x:c r="H679" t="n">
        <x:v>0</x:v>
      </x:c>
      <x:c r="I679" t="n">
        <x:f>IF(H679=0,1,0)</x:f>
        <x:v>1</x:v>
      </x:c>
      <x:c r="J679" s="16" t="n">
        <x:f>F679/E679</x:f>
        <x:v>18.59430857142857</x:v>
      </x:c>
      <x:c r="K679" s="16" t="n">
        <x:f>G679/1000/E679</x:f>
        <x:v>2.0384132325333333</x:v>
      </x:c>
    </x:row>
    <x:row r="680">
      <x:c r="A680" s="8" t="d">
        <x:v>2025-11-05T00:00:00.000Z</x:v>
      </x:c>
      <x:c r="B680" t="str">
        <x:v>Moderate</x:v>
      </x:c>
      <x:c r="C680" t="str">
        <x:v>Workday</x:v>
      </x:c>
      <x:c r="D680" s="10" t="n">
        <x:v>21.6</x:v>
      </x:c>
      <x:c r="E680" s="12" t="n">
        <x:v>137250</x:v>
      </x:c>
      <x:c r="F680" s="12" t="n">
        <x:v>2614268</x:v>
      </x:c>
      <x:c r="G680" s="14" t="n">
        <x:v>285699968.32</x:v>
      </x:c>
      <x:c r="H680" t="n">
        <x:v>0</x:v>
      </x:c>
      <x:c r="I680" t="n">
        <x:f>IF(H680=0,1,0)</x:f>
        <x:v>1</x:v>
      </x:c>
      <x:c r="J680" s="16" t="n">
        <x:f>F680/E680</x:f>
        <x:v>19.047489981785063</x:v>
      </x:c>
      <x:c r="K680" s="16" t="n">
        <x:f>G680/1000/E680</x:f>
        <x:v>2.0816026835701273</x:v>
      </x:c>
    </x:row>
    <x:row r="681">
      <x:c r="A681" s="8" t="d">
        <x:v>2025-11-06T00:00:00.000Z</x:v>
      </x:c>
      <x:c r="B681" t="str">
        <x:v>Moderate</x:v>
      </x:c>
      <x:c r="C681" t="str">
        <x:v>Workday</x:v>
      </x:c>
      <x:c r="D681" s="10" t="n">
        <x:v>32.88</x:v>
      </x:c>
      <x:c r="E681" s="12" t="n">
        <x:v>138404</x:v>
      </x:c>
      <x:c r="F681" s="12" t="n">
        <x:v>2626536</x:v>
      </x:c>
      <x:c r="G681" s="14" t="n">
        <x:v>288250169.64</x:v>
      </x:c>
      <x:c r="H681" t="n">
        <x:v>0</x:v>
      </x:c>
      <x:c r="I681" t="n">
        <x:f>IF(H681=0,1,0)</x:f>
        <x:v>1</x:v>
      </x:c>
      <x:c r="J681" s="16" t="n">
        <x:f>F681/E681</x:f>
        <x:v>18.977312794427906</x:v>
      </x:c>
      <x:c r="K681" s="16" t="n">
        <x:f>G681/1000/E681</x:f>
        <x:v>2.082672246755874</x:v>
      </x:c>
    </x:row>
    <x:row r="682">
      <x:c r="A682" s="8" t="d">
        <x:v>2025-11-07T00:00:00.000Z</x:v>
      </x:c>
      <x:c r="B682" t="str">
        <x:v>Moderate</x:v>
      </x:c>
      <x:c r="C682" t="str">
        <x:v>Workday</x:v>
      </x:c>
      <x:c r="D682" s="10" t="n">
        <x:v>32.76</x:v>
      </x:c>
      <x:c r="E682" s="12" t="n">
        <x:v>141345</x:v>
      </x:c>
      <x:c r="F682" s="12" t="n">
        <x:v>2792115</x:v>
      </x:c>
      <x:c r="G682" s="14" t="n">
        <x:v>303731016.01</x:v>
      </x:c>
      <x:c r="H682" t="n">
        <x:v>0</x:v>
      </x:c>
      <x:c r="I682" t="n">
        <x:f>IF(H682=0,1,0)</x:f>
        <x:v>1</x:v>
      </x:c>
      <x:c r="J682" s="16" t="n">
        <x:f>F682/E682</x:f>
        <x:v>19.753900031836995</x:v>
      </x:c>
      <x:c r="K682" s="16" t="n">
        <x:f>G682/1000/E682</x:f>
        <x:v>2.148862825073402</x:v>
      </x:c>
    </x:row>
    <x:row r="683">
      <x:c r="A683" s="8" t="d">
        <x:v>2025-11-08T00:00:00.000Z</x:v>
      </x:c>
      <x:c r="B683" t="str">
        <x:v>Moderate</x:v>
      </x:c>
      <x:c r="C683" t="str">
        <x:v>Day off</x:v>
      </x:c>
      <x:c r="D683" s="10" t="n">
        <x:v>16.52</x:v>
      </x:c>
      <x:c r="E683" s="12" t="n">
        <x:v>109656</x:v>
      </x:c>
      <x:c r="F683" s="12" t="n">
        <x:v>2492506</x:v>
      </x:c>
      <x:c r="G683" s="14" t="n">
        <x:v>268457875.69</x:v>
      </x:c>
      <x:c r="H683" t="n">
        <x:v>0</x:v>
      </x:c>
      <x:c r="I683" t="n">
        <x:f>IF(H683=0,1,0)</x:f>
        <x:v>1</x:v>
      </x:c>
      <x:c r="J683" s="16" t="n">
        <x:f>F683/E683</x:f>
        <x:v>22.7302290800321</x:v>
      </x:c>
      <x:c r="K683" s="16" t="n">
        <x:f>G683/1000/E683</x:f>
        <x:v>2.4481822763004306</x:v>
      </x:c>
    </x:row>
    <x:row r="684">
      <x:c r="A684" s="8" t="d">
        <x:v>2025-11-09T00:00:00.000Z</x:v>
      </x:c>
      <x:c r="B684" t="str">
        <x:v>Moderate</x:v>
      </x:c>
      <x:c r="C684" t="str">
        <x:v>Day off</x:v>
      </x:c>
      <x:c r="D684" s="10" t="n">
        <x:v>19.8</x:v>
      </x:c>
      <x:c r="E684" s="12" t="n">
        <x:v>96346</x:v>
      </x:c>
      <x:c r="F684" s="12" t="n">
        <x:v>2291420</x:v>
      </x:c>
      <x:c r="G684" s="14" t="n">
        <x:v>251793694.46</x:v>
      </x:c>
      <x:c r="H684" t="n">
        <x:v>0</x:v>
      </x:c>
      <x:c r="I684" t="n">
        <x:f>IF(H684=0,1,0)</x:f>
        <x:v>1</x:v>
      </x:c>
      <x:c r="J684" s="16" t="n">
        <x:f>F684/E684</x:f>
        <x:v>23.78323957403525</x:v>
      </x:c>
      <x:c r="K684" s="16" t="n">
        <x:f>G684/1000/E684</x:f>
        <x:v>2.6134317403939966</x:v>
      </x:c>
    </x:row>
    <x:row r="685">
      <x:c r="A685" s="8" t="d">
        <x:v>2025-11-10T00:00:00.000Z</x:v>
      </x:c>
      <x:c r="B685" t="str">
        <x:v>Good</x:v>
      </x:c>
      <x:c r="C685" t="str">
        <x:v>Workday</x:v>
      </x:c>
      <x:c r="D685" s="10" t="n">
        <x:v>6.72</x:v>
      </x:c>
      <x:c r="E685" s="12" t="n">
        <x:v>119499</x:v>
      </x:c>
      <x:c r="F685" s="12" t="n">
        <x:v>2165493</x:v>
      </x:c>
      <x:c r="G685" s="14" t="n">
        <x:v>234125058.27</x:v>
      </x:c>
      <x:c r="H685" t="n">
        <x:v>0</x:v>
      </x:c>
      <x:c r="I685" t="n">
        <x:f>IF(H685=0,1,0)</x:f>
        <x:v>1</x:v>
      </x:c>
      <x:c r="J685" s="16" t="n">
        <x:f>F685/E685</x:f>
        <x:v>18.12143197851028</x:v>
      </x:c>
      <x:c r="K685" s="16" t="n">
        <x:f>G685/1000/E685</x:f>
        <x:v>1.959221903697939</x:v>
      </x:c>
    </x:row>
    <x:row r="686">
      <x:c r="A686" s="8" t="d">
        <x:v>2025-11-11T00:00:00.000Z</x:v>
      </x:c>
      <x:c r="B686" t="str">
        <x:v>Good</x:v>
      </x:c>
      <x:c r="C686" t="str">
        <x:v>Workday</x:v>
      </x:c>
      <x:c r="D686" s="10" t="n">
        <x:v>10.2</x:v>
      </x:c>
      <x:c r="E686" s="12" t="n">
        <x:v>128960</x:v>
      </x:c>
      <x:c r="F686" s="12" t="n">
        <x:v>2391003</x:v>
      </x:c>
      <x:c r="G686" s="14" t="n">
        <x:v>257704394.11</x:v>
      </x:c>
      <x:c r="H686" t="n">
        <x:v>0</x:v>
      </x:c>
      <x:c r="I686" t="n">
        <x:f>IF(H686=0,1,0)</x:f>
        <x:v>1</x:v>
      </x:c>
      <x:c r="J686" s="16" t="n">
        <x:f>F686/E686</x:f>
        <x:v>18.540656017369727</x:v>
      </x:c>
      <x:c r="K686" s="16" t="n">
        <x:f>G686/1000/E686</x:f>
        <x:v>1.9983281180986354</x:v>
      </x:c>
    </x:row>
    <x:row r="687">
      <x:c r="A687" s="8" t="d">
        <x:v>2025-11-12T00:00:00.000Z</x:v>
      </x:c>
      <x:c r="B687" t="str">
        <x:v>Moderate</x:v>
      </x:c>
      <x:c r="C687" t="str">
        <x:v>Workday</x:v>
      </x:c>
      <x:c r="D687" s="10" t="n">
        <x:v>18.36</x:v>
      </x:c>
      <x:c r="E687" s="12" t="n">
        <x:v>134781</x:v>
      </x:c>
      <x:c r="F687" s="12" t="n">
        <x:v>2547775</x:v>
      </x:c>
      <x:c r="G687" s="14" t="n">
        <x:v>276412412.54</x:v>
      </x:c>
      <x:c r="H687" t="n">
        <x:v>0</x:v>
      </x:c>
      <x:c r="I687" t="n">
        <x:f>IF(H687=0,1,0)</x:f>
        <x:v>1</x:v>
      </x:c>
      <x:c r="J687" s="16" t="n">
        <x:f>F687/E687</x:f>
        <x:v>18.903072391509188</x:v>
      </x:c>
      <x:c r="K687" s="16" t="n">
        <x:f>G687/1000/E687</x:f>
        <x:v>2.0508262480616706</x:v>
      </x:c>
    </x:row>
    <x:row r="688">
      <x:c r="A688" s="8" t="d">
        <x:v>2025-11-13T00:00:00.000Z</x:v>
      </x:c>
      <x:c r="B688" t="str">
        <x:v>Moderate</x:v>
      </x:c>
      <x:c r="C688" t="str">
        <x:v>Workday</x:v>
      </x:c>
      <x:c r="D688" s="10" t="n">
        <x:v>25.84</x:v>
      </x:c>
      <x:c r="E688" s="12" t="n">
        <x:v>130926</x:v>
      </x:c>
      <x:c r="F688" s="12" t="n">
        <x:v>2486901</x:v>
      </x:c>
      <x:c r="G688" s="14" t="n">
        <x:v>271010315.62</x:v>
      </x:c>
      <x:c r="H688" t="n">
        <x:v>0</x:v>
      </x:c>
      <x:c r="I688" t="n">
        <x:f>IF(H688=0,1,0)</x:f>
        <x:v>1</x:v>
      </x:c>
      <x:c r="J688" s="16" t="n">
        <x:f>F688/E688</x:f>
        <x:v>18.99470693368773</x:v>
      </x:c>
      <x:c r="K688" s="16" t="n">
        <x:f>G688/1000/E688</x:f>
        <x:v>2.0699503201808658</x:v>
      </x:c>
    </x:row>
    <x:row r="689">
      <x:c r="A689" s="8" t="d">
        <x:v>2025-11-14T00:00:00.000Z</x:v>
      </x:c>
      <x:c r="B689" t="str">
        <x:v>Good</x:v>
      </x:c>
      <x:c r="C689" t="str">
        <x:v>Workday</x:v>
      </x:c>
      <x:c r="D689" s="10" t="n">
        <x:v>14.8</x:v>
      </x:c>
      <x:c r="E689" s="12" t="n">
        <x:v>126744</x:v>
      </x:c>
      <x:c r="F689" s="12" t="n">
        <x:v>2428395</x:v>
      </x:c>
      <x:c r="G689" s="14" t="n">
        <x:v>262021186.12</x:v>
      </x:c>
      <x:c r="H689" t="n">
        <x:v>0</x:v>
      </x:c>
      <x:c r="I689" t="n">
        <x:f>IF(H689=0,1,0)</x:f>
        <x:v>1</x:v>
      </x:c>
      <x:c r="J689" s="16" t="n">
        <x:f>F689/E689</x:f>
        <x:v>19.15984188600644</x:v>
      </x:c>
      <x:c r="K689" s="16" t="n">
        <x:f>G689/1000/E689</x:f>
        <x:v>2.0673261544530708</x:v>
      </x:c>
    </x:row>
    <x:row r="690">
      <x:c r="A690" s="8" t="d">
        <x:v>2025-11-15T00:00:00.000Z</x:v>
      </x:c>
      <x:c r="B690" t="str">
        <x:v>Moderate</x:v>
      </x:c>
      <x:c r="C690" t="str">
        <x:v>Day off</x:v>
      </x:c>
      <x:c r="D690" s="10" t="n">
        <x:v>20.32</x:v>
      </x:c>
      <x:c r="E690" s="12" t="n">
        <x:v>100268</x:v>
      </x:c>
      <x:c r="F690" s="12" t="n">
        <x:v>2280666</x:v>
      </x:c>
      <x:c r="G690" s="14" t="n">
        <x:v>241242037.83</x:v>
      </x:c>
      <x:c r="H690" t="n">
        <x:v>0</x:v>
      </x:c>
      <x:c r="I690" t="n">
        <x:f>IF(H690=0,1,0)</x:f>
        <x:v>1</x:v>
      </x:c>
      <x:c r="J690" s="16" t="n">
        <x:f>F690/E690</x:f>
        <x:v>22.745701519926598</x:v>
      </x:c>
      <x:c r="K690" s="16" t="n">
        <x:f>G690/1000/E690</x:f>
        <x:v>2.405972372342123</x:v>
      </x:c>
    </x:row>
    <x:row r="691">
      <x:c r="A691" s="8" t="d">
        <x:v>2025-11-16T00:00:00.000Z</x:v>
      </x:c>
      <x:c r="B691" t="str">
        <x:v>Moderate</x:v>
      </x:c>
      <x:c r="C691" t="str">
        <x:v>Day off</x:v>
      </x:c>
      <x:c r="D691" s="10" t="n">
        <x:v>23.96</x:v>
      </x:c>
      <x:c r="E691" s="12" t="n">
        <x:v>86122</x:v>
      </x:c>
      <x:c r="F691" s="12" t="n">
        <x:v>2066304</x:v>
      </x:c>
      <x:c r="G691" s="14" t="n">
        <x:v>223772081.38</x:v>
      </x:c>
      <x:c r="H691" t="n">
        <x:v>0</x:v>
      </x:c>
      <x:c r="I691" t="n">
        <x:f>IF(H691=0,1,0)</x:f>
        <x:v>1</x:v>
      </x:c>
      <x:c r="J691" s="16" t="n">
        <x:f>F691/E691</x:f>
        <x:v>23.992754464596736</x:v>
      </x:c>
      <x:c r="K691" s="16" t="n">
        <x:f>G691/1000/E691</x:f>
        <x:v>2.598314964585123</x:v>
      </x:c>
    </x:row>
    <x:row r="692">
      <x:c r="A692" s="8" t="d">
        <x:v>2025-11-17T00:00:00.000Z</x:v>
      </x:c>
      <x:c r="B692" t="str">
        <x:v>Good</x:v>
      </x:c>
      <x:c r="C692" t="str">
        <x:v>Workday</x:v>
      </x:c>
      <x:c r="D692" s="10" t="n">
        <x:v>10.68</x:v>
      </x:c>
      <x:c r="E692" s="12" t="n">
        <x:v>94202</x:v>
      </x:c>
      <x:c r="F692" s="12" t="n">
        <x:v>1588148</x:v>
      </x:c>
      <x:c r="G692" s="14" t="n">
        <x:v>169772518.59</x:v>
      </x:c>
      <x:c r="H692" t="n">
        <x:v>0</x:v>
      </x:c>
      <x:c r="I692" t="n">
        <x:f>IF(H692=0,1,0)</x:f>
        <x:v>1</x:v>
      </x:c>
      <x:c r="J692" s="16" t="n">
        <x:f>F692/E692</x:f>
        <x:v>16.858962654720706</x:v>
      </x:c>
      <x:c r="K692" s="16" t="n">
        <x:f>G692/1000/E692</x:f>
        <x:v>1.80221777234029</x:v>
      </x:c>
    </x:row>
    <x:row r="693">
      <x:c r="A693" s="8" t="d">
        <x:v>2025-11-18T00:00:00.000Z</x:v>
      </x:c>
      <x:c r="B693" t="str">
        <x:v>Good</x:v>
      </x:c>
      <x:c r="C693" t="str">
        <x:v>Workday</x:v>
      </x:c>
      <x:c r="D693" s="10" t="n">
        <x:v>11.36</x:v>
      </x:c>
      <x:c r="E693" s="12" t="n">
        <x:v>96573</x:v>
      </x:c>
      <x:c r="F693" s="12" t="n">
        <x:v>1627764</x:v>
      </x:c>
      <x:c r="G693" s="14" t="n">
        <x:v>171955669.9</x:v>
      </x:c>
      <x:c r="H693" t="n">
        <x:v>0</x:v>
      </x:c>
      <x:c r="I693" t="n">
        <x:f>IF(H693=0,1,0)</x:f>
        <x:v>1</x:v>
      </x:c>
      <x:c r="J693" s="16" t="n">
        <x:f>F693/E693</x:f>
        <x:v>16.855270106551522</x:v>
      </x:c>
      <x:c r="K693" s="16" t="n">
        <x:f>G693/1000/E693</x:f>
        <x:v>1.780577075373034</x:v>
      </x:c>
    </x:row>
    <x:row r="694">
      <x:c r="A694" s="8" t="d">
        <x:v>2025-11-19T00:00:00.000Z</x:v>
      </x:c>
      <x:c r="B694" t="str">
        <x:v>Good</x:v>
      </x:c>
      <x:c r="C694" t="str">
        <x:v>Workday</x:v>
      </x:c>
      <x:c r="D694" s="10" t="n">
        <x:v>15</x:v>
      </x:c>
      <x:c r="E694" s="12" t="n">
        <x:v>103020</x:v>
      </x:c>
      <x:c r="F694" s="12" t="n">
        <x:v>1780959</x:v>
      </x:c>
      <x:c r="G694" s="14" t="n">
        <x:v>189558743.37</x:v>
      </x:c>
      <x:c r="H694" t="n">
        <x:v>0</x:v>
      </x:c>
      <x:c r="I694" t="n">
        <x:f>IF(H694=0,1,0)</x:f>
        <x:v>1</x:v>
      </x:c>
      <x:c r="J694" s="16" t="n">
        <x:f>F694/E694</x:f>
        <x:v>17.287507280139778</x:v>
      </x:c>
      <x:c r="K694" s="16" t="n">
        <x:f>G694/1000/E694</x:f>
        <x:v>1.840018864006989</x:v>
      </x:c>
    </x:row>
    <x:row r="695">
      <x:c r="A695" s="8" t="d">
        <x:v>2025-11-20T00:00:00.000Z</x:v>
      </x:c>
      <x:c r="B695" t="str">
        <x:v>Moderate</x:v>
      </x:c>
      <x:c r="C695" t="str">
        <x:v>Workday</x:v>
      </x:c>
      <x:c r="D695" s="10" t="n">
        <x:v>21</x:v>
      </x:c>
      <x:c r="E695" s="12" t="n">
        <x:v>111930</x:v>
      </x:c>
      <x:c r="F695" s="12" t="n">
        <x:v>1996728</x:v>
      </x:c>
      <x:c r="G695" s="14" t="n">
        <x:v>214362575.29</x:v>
      </x:c>
      <x:c r="H695" t="n">
        <x:v>0</x:v>
      </x:c>
      <x:c r="I695" t="n">
        <x:f>IF(H695=0,1,0)</x:f>
        <x:v>1</x:v>
      </x:c>
      <x:c r="J695" s="16" t="n">
        <x:f>F695/E695</x:f>
        <x:v>17.839077995175558</x:v>
      </x:c>
      <x:c r="K695" s="16" t="n">
        <x:f>G695/1000/E695</x:f>
        <x:v>1.915148532922362</x:v>
      </x:c>
    </x:row>
    <x:row r="696">
      <x:c r="A696" s="8" t="d">
        <x:v>2025-11-21T00:00:00.000Z</x:v>
      </x:c>
      <x:c r="B696" t="str">
        <x:v>Good</x:v>
      </x:c>
      <x:c r="C696" t="str">
        <x:v>Workday</x:v>
      </x:c>
      <x:c r="D696" s="10" t="n">
        <x:v>9.68</x:v>
      </x:c>
      <x:c r="E696" s="12" t="n">
        <x:v>112820</x:v>
      </x:c>
      <x:c r="F696" s="12" t="n">
        <x:v>2055336</x:v>
      </x:c>
      <x:c r="G696" s="14" t="n">
        <x:v>220416968.41</x:v>
      </x:c>
      <x:c r="H696" t="n">
        <x:v>0</x:v>
      </x:c>
      <x:c r="I696" t="n">
        <x:f>IF(H696=0,1,0)</x:f>
        <x:v>1</x:v>
      </x:c>
      <x:c r="J696" s="16" t="n">
        <x:f>F696/E696</x:f>
        <x:v>18.21783371742599</x:v>
      </x:c>
      <x:c r="K696" s="16" t="n">
        <x:f>G696/1000/E696</x:f>
        <x:v>1.9537047368374403</x:v>
      </x:c>
    </x:row>
    <x:row r="697">
      <x:c r="A697" s="8" t="d">
        <x:v>2025-11-22T00:00:00.000Z</x:v>
      </x:c>
      <x:c r="B697" t="str">
        <x:v>Moderate</x:v>
      </x:c>
      <x:c r="C697" t="str">
        <x:v>Day off</x:v>
      </x:c>
      <x:c r="D697" s="10" t="n">
        <x:v>23.2</x:v>
      </x:c>
      <x:c r="E697" s="12" t="n">
        <x:v>90719</x:v>
      </x:c>
      <x:c r="F697" s="12" t="n">
        <x:v>1980271</x:v>
      </x:c>
      <x:c r="G697" s="14" t="n">
        <x:v>211049171.91</x:v>
      </x:c>
      <x:c r="H697" t="n">
        <x:v>0</x:v>
      </x:c>
      <x:c r="I697" t="n">
        <x:f>IF(H697=0,1,0)</x:f>
        <x:v>1</x:v>
      </x:c>
      <x:c r="J697" s="16" t="n">
        <x:f>F697/E697</x:f>
        <x:v>21.82862465415183</x:v>
      </x:c>
      <x:c r="K697" s="16" t="n">
        <x:f>G697/1000/E697</x:f>
        <x:v>2.3264054047112515</x:v>
      </x:c>
    </x:row>
    <x:row r="698">
      <x:c r="A698" s="8" t="d">
        <x:v>2025-11-23T00:00:00.000Z</x:v>
      </x:c>
      <x:c r="B698" t="str">
        <x:v>Moderate</x:v>
      </x:c>
      <x:c r="C698" t="str">
        <x:v>Day off</x:v>
      </x:c>
      <x:c r="D698" s="10" t="n">
        <x:v>30.36</x:v>
      </x:c>
      <x:c r="E698" s="12" t="n">
        <x:v>80048</x:v>
      </x:c>
      <x:c r="F698" s="12" t="n">
        <x:v>1767877</x:v>
      </x:c>
      <x:c r="G698" s="14" t="n">
        <x:v>196183878.19</x:v>
      </x:c>
      <x:c r="H698" t="n">
        <x:v>0</x:v>
      </x:c>
      <x:c r="I698" t="n">
        <x:f>IF(H698=0,1,0)</x:f>
        <x:v>1</x:v>
      </x:c>
      <x:c r="J698" s="16" t="n">
        <x:f>F698/E698</x:f>
        <x:v>22.085211373176094</x:v>
      </x:c>
      <x:c r="K698" s="16" t="n">
        <x:f>G698/1000/E698</x:f>
        <x:v>2.4508279805866477</x:v>
      </x:c>
    </x:row>
    <x:row r="699">
      <x:c r="A699" s="8" t="d">
        <x:v>2025-11-24T00:00:00.000Z</x:v>
      </x:c>
      <x:c r="B699" t="str">
        <x:v>Bad</x:v>
      </x:c>
      <x:c r="C699" t="str">
        <x:v>Workday</x:v>
      </x:c>
      <x:c r="D699" s="10" t="n">
        <x:v>53.48</x:v>
      </x:c>
      <x:c r="E699" s="12" t="n">
        <x:v>118617</x:v>
      </x:c>
      <x:c r="F699" s="12" t="n">
        <x:v>2181666</x:v>
      </x:c>
      <x:c r="G699" s="14" t="n">
        <x:v>238942029.64</x:v>
      </x:c>
      <x:c r="H699" t="n">
        <x:v>0</x:v>
      </x:c>
      <x:c r="I699" t="n">
        <x:f>IF(H699=0,1,0)</x:f>
        <x:v>1</x:v>
      </x:c>
      <x:c r="J699" s="16" t="n">
        <x:f>F699/E699</x:f>
        <x:v>18.392523837224008</x:v>
      </x:c>
      <x:c r="K699" s="16" t="n">
        <x:f>G699/1000/E699</x:f>
        <x:v>2.0143995349739074</x:v>
      </x:c>
    </x:row>
    <x:row r="700">
      <x:c r="A700" s="8" t="d">
        <x:v>2025-11-25T00:00:00.000Z</x:v>
      </x:c>
      <x:c r="B700" t="str">
        <x:v>Bad</x:v>
      </x:c>
      <x:c r="C700" t="str">
        <x:v>Workday</x:v>
      </x:c>
      <x:c r="D700" s="10" t="n">
        <x:v>62.36</x:v>
      </x:c>
      <x:c r="E700" s="12" t="n">
        <x:v>72261</x:v>
      </x:c>
      <x:c r="F700" s="12" t="n">
        <x:v>1292926</x:v>
      </x:c>
      <x:c r="G700" s="14" t="n">
        <x:v>132771502.39</x:v>
      </x:c>
      <x:c r="H700" t="n">
        <x:v>0</x:v>
      </x:c>
      <x:c r="I700" t="n">
        <x:f>IF(H700=0,1,0)</x:f>
        <x:v>1</x:v>
      </x:c>
      <x:c r="J700" s="16" t="n">
        <x:f>F700/E700</x:f>
        <x:v>17.89244544083254</x:v>
      </x:c>
      <x:c r="K700" s="16" t="n">
        <x:f>G700/1000/E700</x:f>
        <x:v>1.8373881123981126</x:v>
      </x:c>
    </x:row>
    <x:row r="701">
      <x:c r="A701" s="8" t="d">
        <x:v>2025-11-26T00:00:00.000Z</x:v>
      </x:c>
      <x:c r="B701" t="str">
        <x:v>Moderate</x:v>
      </x:c>
      <x:c r="C701" t="str">
        <x:v>Workday</x:v>
      </x:c>
      <x:c r="D701" s="10" t="n">
        <x:v>33.208333</x:v>
      </x:c>
      <x:c r="E701" s="12" t="n">
        <x:v>113310</x:v>
      </x:c>
      <x:c r="F701" s="12" t="n">
        <x:v>2021254</x:v>
      </x:c>
      <x:c r="G701" s="14" t="n">
        <x:v>219532619.74</x:v>
      </x:c>
      <x:c r="H701" t="n">
        <x:v>0</x:v>
      </x:c>
      <x:c r="I701" t="n">
        <x:f>IF(H701=0,1,0)</x:f>
        <x:v>1</x:v>
      </x:c>
      <x:c r="J701" s="16" t="n">
        <x:f>F701/E701</x:f>
        <x:v>17.838266701968053</x:v>
      </x:c>
      <x:c r="K701" s="16" t="n">
        <x:f>G701/1000/E701</x:f>
        <x:v>1.9374514141735064</x:v>
      </x:c>
    </x:row>
    <x:row r="702">
      <x:c r="A702" s="8" t="d">
        <x:v>2025-11-27T00:00:00.000Z</x:v>
      </x:c>
      <x:c r="B702" t="str">
        <x:v>Moderate</x:v>
      </x:c>
      <x:c r="C702" t="str">
        <x:v>Workday</x:v>
      </x:c>
      <x:c r="D702" s="10" t="n">
        <x:v>20.5</x:v>
      </x:c>
      <x:c r="E702" s="12" t="n">
        <x:v>66248</x:v>
      </x:c>
      <x:c r="F702" s="12" t="n">
        <x:v>1078115</x:v>
      </x:c>
      <x:c r="G702" s="14" t="n">
        <x:v>116631917.17</x:v>
      </x:c>
      <x:c r="H702" t="n">
        <x:v>0</x:v>
      </x:c>
      <x:c r="I702" t="n">
        <x:f>IF(H702=0,1,0)</x:f>
        <x:v>1</x:v>
      </x:c>
      <x:c r="J702" s="16" t="n">
        <x:f>F702/E702</x:f>
        <x:v>16.2739252505736</x:v>
      </x:c>
      <x:c r="K702" s="16" t="n">
        <x:f>G702/1000/E702</x:f>
        <x:v>1.7605349168276778</x:v>
      </x:c>
    </x:row>
    <x:row r="703">
      <x:c r="A703" s="8" t="d">
        <x:v>2025-11-28T00:00:00.000Z</x:v>
      </x:c>
      <x:c r="B703" t="str">
        <x:v>Good</x:v>
      </x:c>
      <x:c r="C703" t="str">
        <x:v>Workday</x:v>
      </x:c>
      <x:c r="D703" s="10" t="n">
        <x:v>13.5</x:v>
      </x:c>
      <x:c r="E703" s="12" t="n">
        <x:v>99551</x:v>
      </x:c>
      <x:c r="F703" s="12" t="n">
        <x:v>1774995</x:v>
      </x:c>
      <x:c r="G703" s="14" t="n">
        <x:v>185641913.57</x:v>
      </x:c>
      <x:c r="H703" t="n">
        <x:v>0</x:v>
      </x:c>
      <x:c r="I703" t="n">
        <x:f>IF(H703=0,1,0)</x:f>
        <x:v>1</x:v>
      </x:c>
      <x:c r="J703" s="16" t="n">
        <x:f>F703/E703</x:f>
        <x:v>17.83000673021868</x:v>
      </x:c>
      <x:c r="K703" s="16" t="n">
        <x:f>G703/1000/E703</x:f>
        <x:v>1.8647920520135408</x:v>
      </x:c>
    </x:row>
    <x:row r="704">
      <x:c r="A704" s="8" t="d">
        <x:v>2025-11-29T00:00:00.000Z</x:v>
      </x:c>
      <x:c r="B704" t="str">
        <x:v>Moderate</x:v>
      </x:c>
      <x:c r="C704" t="str">
        <x:v>Day off</x:v>
      </x:c>
      <x:c r="D704" s="10" t="n">
        <x:v>15.833333</x:v>
      </x:c>
      <x:c r="E704" s="12" t="n">
        <x:v>75838</x:v>
      </x:c>
      <x:c r="F704" s="12" t="n">
        <x:v>1527843</x:v>
      </x:c>
      <x:c r="G704" s="14" t="n">
        <x:v>160323767.51</x:v>
      </x:c>
      <x:c r="H704" t="n">
        <x:v>0</x:v>
      </x:c>
      <x:c r="I704" t="n">
        <x:f>IF(H704=0,1,0)</x:f>
        <x:v>1</x:v>
      </x:c>
      <x:c r="J704" s="16" t="n">
        <x:f>F704/E704</x:f>
        <x:v>20.14614045729054</x:v>
      </x:c>
      <x:c r="K704" s="16" t="n">
        <x:f>G704/1000/E704</x:f>
        <x:v>2.1140294774387507</x:v>
      </x:c>
    </x:row>
    <x:row r="705">
      <x:c r="A705" s="8" t="d">
        <x:v>2025-11-30T00:00:00.000Z</x:v>
      </x:c>
      <x:c r="B705" t="str">
        <x:v>Moderate</x:v>
      </x:c>
      <x:c r="C705" t="str">
        <x:v>Day off</x:v>
      </x:c>
      <x:c r="D705" s="10" t="n">
        <x:v>28.708333</x:v>
      </x:c>
      <x:c r="E705" s="12" t="n">
        <x:v>80210</x:v>
      </x:c>
      <x:c r="F705" s="12" t="n">
        <x:v>1788697</x:v>
      </x:c>
      <x:c r="G705" s="14" t="n">
        <x:v>195540759.47</x:v>
      </x:c>
      <x:c r="H705" t="n">
        <x:v>0</x:v>
      </x:c>
      <x:c r="I705" t="n">
        <x:f>IF(H705=0,1,0)</x:f>
        <x:v>1</x:v>
      </x:c>
      <x:c r="J705" s="16" t="n">
        <x:f>F705/E705</x:f>
        <x:v>22.3001745418277</x:v>
      </x:c>
      <x:c r="K705" s="16" t="n">
        <x:f>G705/1000/E705</x:f>
        <x:v>2.437860110584715</x:v>
      </x:c>
    </x:row>
    <x:row r="706">
      <x:c r="A706" s="8" t="d">
        <x:v>2025-12-01T00:00:00.000Z</x:v>
      </x:c>
      <x:c r="B706" t="str">
        <x:v>Moderate</x:v>
      </x:c>
      <x:c r="C706" t="str">
        <x:v>Workday</x:v>
      </x:c>
      <x:c r="D706" s="10" t="n">
        <x:v>21</x:v>
      </x:c>
      <x:c r="E706" s="12" t="n">
        <x:v>101498</x:v>
      </x:c>
      <x:c r="F706" s="12" t="n">
        <x:v>1795920</x:v>
      </x:c>
      <x:c r="G706" s="14" t="n">
        <x:v>193260654.09</x:v>
      </x:c>
      <x:c r="H706" t="n">
        <x:v>0</x:v>
      </x:c>
      <x:c r="I706" t="n">
        <x:f>IF(H706=0,1,0)</x:f>
        <x:v>1</x:v>
      </x:c>
      <x:c r="J706" s="16" t="n">
        <x:f>F706/E706</x:f>
        <x:v>17.694141756487813</x:v>
      </x:c>
      <x:c r="K706" s="16" t="n">
        <x:f>G706/1000/E706</x:f>
        <x:v>1.9040833719876253</x:v>
      </x:c>
    </x:row>
    <x:row r="707">
      <x:c r="A707" s="8" t="d">
        <x:v>2025-12-02T00:00:00.000Z</x:v>
      </x:c>
      <x:c r="B707" t="str">
        <x:v>Good</x:v>
      </x:c>
      <x:c r="C707" t="str">
        <x:v>Workday</x:v>
      </x:c>
      <x:c r="D707" s="10" t="n">
        <x:v>7.25</x:v>
      </x:c>
      <x:c r="E707" s="12" t="n">
        <x:v>85747</x:v>
      </x:c>
      <x:c r="F707" s="12" t="n">
        <x:v>1399958</x:v>
      </x:c>
      <x:c r="G707" s="14" t="n">
        <x:v>148557456.66</x:v>
      </x:c>
      <x:c r="H707" t="n">
        <x:v>0</x:v>
      </x:c>
      <x:c r="I707" t="n">
        <x:f>IF(H707=0,1,0)</x:f>
        <x:v>1</x:v>
      </x:c>
      <x:c r="J707" s="16" t="n">
        <x:f>F707/E707</x:f>
        <x:v>16.326612009749613</x:v>
      </x:c>
      <x:c r="K707" s="16" t="n">
        <x:f>G707/1000/E707</x:f>
        <x:v>1.7325090867318973</x:v>
      </x:c>
    </x:row>
    <x:row r="708">
      <x:c r="A708" s="8" t="d">
        <x:v>2025-12-03T00:00:00.000Z</x:v>
      </x:c>
      <x:c r="B708" t="str">
        <x:v>Good</x:v>
      </x:c>
      <x:c r="C708" t="str">
        <x:v>Workday</x:v>
      </x:c>
      <x:c r="D708" s="10" t="n">
        <x:v>7.541667</x:v>
      </x:c>
      <x:c r="E708" s="12" t="n">
        <x:v>68173</x:v>
      </x:c>
      <x:c r="F708" s="12" t="n">
        <x:v>1075677</x:v>
      </x:c>
      <x:c r="G708" s="14" t="n">
        <x:v>109240012.34</x:v>
      </x:c>
      <x:c r="H708" t="n">
        <x:v>0</x:v>
      </x:c>
      <x:c r="I708" t="n">
        <x:f>IF(H708=0,1,0)</x:f>
        <x:v>1</x:v>
      </x:c>
      <x:c r="J708" s="16" t="n">
        <x:f>F708/E708</x:f>
        <x:v>15.778636703680343</x:v>
      </x:c>
      <x:c r="K708" s="16" t="n">
        <x:f>G708/1000/E708</x:f>
        <x:v>1.6023940906223872</x:v>
      </x:c>
    </x:row>
    <x:row r="709">
      <x:c r="A709" s="8" t="d">
        <x:v>2025-12-04T00:00:00.000Z</x:v>
      </x:c>
      <x:c r="B709" t="str">
        <x:v>Good</x:v>
      </x:c>
      <x:c r="C709" t="str">
        <x:v>Workday</x:v>
      </x:c>
      <x:c r="D709" s="10" t="n">
        <x:v>10.791667</x:v>
      </x:c>
      <x:c r="E709" s="12" t="n">
        <x:v>56809</x:v>
      </x:c>
      <x:c r="F709" s="12" t="n">
        <x:v>950126</x:v>
      </x:c>
      <x:c r="G709" s="14" t="n">
        <x:v>94972318.52</x:v>
      </x:c>
      <x:c r="H709" t="n">
        <x:v>0</x:v>
      </x:c>
      <x:c r="I709" t="n">
        <x:f>IF(H709=0,1,0)</x:f>
        <x:v>1</x:v>
      </x:c>
      <x:c r="J709" s="16" t="n">
        <x:f>F709/E709</x:f>
        <x:v>16.724920347128094</x:v>
      </x:c>
      <x:c r="K709" s="16" t="n">
        <x:f>G709/1000/E709</x:f>
        <x:v>1.6717829660793184</x:v>
      </x:c>
    </x:row>
    <x:row r="710">
      <x:c r="A710" s="8" t="d">
        <x:v>2025-12-05T00:00:00.000Z</x:v>
      </x:c>
      <x:c r="B710" t="str">
        <x:v>Good</x:v>
      </x:c>
      <x:c r="C710" t="str">
        <x:v>Workday</x:v>
      </x:c>
      <x:c r="D710" s="10" t="n">
        <x:v>14.541667</x:v>
      </x:c>
      <x:c r="E710" s="12" t="n">
        <x:v>35921</x:v>
      </x:c>
      <x:c r="F710" s="12" t="n">
        <x:v>660207</x:v>
      </x:c>
      <x:c r="G710" s="14" t="n">
        <x:v>58141234.39</x:v>
      </x:c>
      <x:c r="H710" t="n">
        <x:v>0</x:v>
      </x:c>
      <x:c r="I710" t="n">
        <x:f>IF(H710=0,1,0)</x:f>
        <x:v>1</x:v>
      </x:c>
      <x:c r="J710" s="16" t="n">
        <x:f>F710/E710</x:f>
        <x:v>18.379415940536177</x:v>
      </x:c>
      <x:c r="K710" s="16" t="n">
        <x:f>G710/1000/E710</x:f>
        <x:v>1.618586186074998</x:v>
      </x:c>
    </x:row>
    <x:row r="711">
      <x:c r="A711" s="8" t="d">
        <x:v>2025-12-06T00:00:00.000Z</x:v>
      </x:c>
      <x:c r="B711" t="str">
        <x:v>Moderate</x:v>
      </x:c>
      <x:c r="C711" t="str">
        <x:v>Day off</x:v>
      </x:c>
      <x:c r="D711" s="10" t="n">
        <x:v>17.083333</x:v>
      </x:c>
      <x:c r="E711" s="12" t="n">
        <x:v>40497</x:v>
      </x:c>
      <x:c r="F711" s="12" t="n">
        <x:v>778215</x:v>
      </x:c>
      <x:c r="G711" s="14" t="n">
        <x:v>74997333.91</x:v>
      </x:c>
      <x:c r="H711" t="n">
        <x:v>0</x:v>
      </x:c>
      <x:c r="I711" t="n">
        <x:f>IF(H711=0,1,0)</x:f>
        <x:v>1</x:v>
      </x:c>
      <x:c r="J711" s="16" t="n">
        <x:f>F711/E711</x:f>
        <x:v>19.216608637676863</x:v>
      </x:c>
      <x:c r="K711" s="16" t="n">
        <x:f>G711/1000/E711</x:f>
        <x:v>1.8519232019655778</x:v>
      </x:c>
    </x:row>
    <x:row r="712">
      <x:c r="A712" s="8" t="d">
        <x:v>2025-12-07T00:00:00.000Z</x:v>
      </x:c>
      <x:c r="B712" t="str">
        <x:v>Bad</x:v>
      </x:c>
      <x:c r="C712" t="str">
        <x:v>Day off</x:v>
      </x:c>
      <x:c r="D712" s="10" t="n">
        <x:v>52.833333</x:v>
      </x:c>
      <x:c r="E712" s="12" t="n">
        <x:v>56846</x:v>
      </x:c>
      <x:c r="F712" s="12" t="n">
        <x:v>1224847</x:v>
      </x:c>
      <x:c r="G712" s="14" t="n">
        <x:v>129440429.94</x:v>
      </x:c>
      <x:c r="H712" t="n">
        <x:v>0</x:v>
      </x:c>
      <x:c r="I712" t="n">
        <x:f>IF(H712=0,1,0)</x:f>
        <x:v>1</x:v>
      </x:c>
      <x:c r="J712" s="16" t="n">
        <x:f>F712/E712</x:f>
        <x:v>21.546757907328573</x:v>
      </x:c>
      <x:c r="K712" s="16" t="n">
        <x:f>G712/1000/E712</x:f>
        <x:v>2.277036729761109</x:v>
      </x:c>
    </x:row>
    <x:row r="713">
      <x:c r="A713" s="8" t="d">
        <x:v>2025-12-08T00:00:00.000Z</x:v>
      </x:c>
      <x:c r="B713" t="str">
        <x:v>Moderate</x:v>
      </x:c>
      <x:c r="C713" t="str">
        <x:v>Workday</x:v>
      </x:c>
      <x:c r="D713" s="10" t="n">
        <x:v>17.208333</x:v>
      </x:c>
      <x:c r="E713" s="12" t="n">
        <x:v>85128</x:v>
      </x:c>
      <x:c r="F713" s="12" t="n">
        <x:v>1492002</x:v>
      </x:c>
      <x:c r="G713" s="14" t="n">
        <x:v>157527819.65</x:v>
      </x:c>
      <x:c r="H713" t="n">
        <x:v>0</x:v>
      </x:c>
      <x:c r="I713" t="n">
        <x:f>IF(H713=0,1,0)</x:f>
        <x:v>1</x:v>
      </x:c>
      <x:c r="J713" s="16" t="n">
        <x:f>F713/E713</x:f>
        <x:v>17.526571750775304</x:v>
      </x:c>
      <x:c r="K713" s="16" t="n">
        <x:f>G713/1000/E713</x:f>
        <x:v>1.8504818584954423</x:v>
      </x:c>
    </x:row>
    <x:row r="714">
      <x:c r="A714" s="8" t="d">
        <x:v>2025-12-09T00:00:00.000Z</x:v>
      </x:c>
      <x:c r="B714" t="str">
        <x:v>Good</x:v>
      </x:c>
      <x:c r="C714" t="str">
        <x:v>Workday</x:v>
      </x:c>
      <x:c r="D714" s="10" t="n">
        <x:v>11.958333</x:v>
      </x:c>
      <x:c r="E714" s="12" t="n">
        <x:v>90395</x:v>
      </x:c>
      <x:c r="F714" s="12" t="n">
        <x:v>1576215</x:v>
      </x:c>
      <x:c r="G714" s="14" t="n">
        <x:v>167051842.18</x:v>
      </x:c>
      <x:c r="H714" t="n">
        <x:v>0</x:v>
      </x:c>
      <x:c r="I714" t="n">
        <x:f>IF(H714=0,1,0)</x:f>
        <x:v>1</x:v>
      </x:c>
      <x:c r="J714" s="16" t="n">
        <x:f>F714/E714</x:f>
        <x:v>17.436971071408816</x:v>
      </x:c>
      <x:c r="K714" s="16" t="n">
        <x:f>G714/1000/E714</x:f>
        <x:v>1.8480208217268654</x:v>
      </x:c>
    </x:row>
    <x:row r="715">
      <x:c r="A715" s="8" t="d">
        <x:v>2025-12-10T00:00:00.000Z</x:v>
      </x:c>
      <x:c r="B715" t="str">
        <x:v>Moderate</x:v>
      </x:c>
      <x:c r="C715" t="str">
        <x:v>Workday</x:v>
      </x:c>
      <x:c r="D715" s="10" t="n">
        <x:v>23.75</x:v>
      </x:c>
      <x:c r="E715" s="12" t="n">
        <x:v>95042</x:v>
      </x:c>
      <x:c r="F715" s="12" t="n">
        <x:v>1687690</x:v>
      </x:c>
      <x:c r="G715" s="14" t="n">
        <x:v>179910167.91</x:v>
      </x:c>
      <x:c r="H715" t="n">
        <x:v>0</x:v>
      </x:c>
      <x:c r="I715" t="n">
        <x:f>IF(H715=0,1,0)</x:f>
        <x:v>1</x:v>
      </x:c>
      <x:c r="J715" s="16" t="n">
        <x:f>F715/E715</x:f>
        <x:v>17.75730729572189</x:v>
      </x:c>
      <x:c r="K715" s="16" t="n">
        <x:f>G715/1000/E715</x:f>
        <x:v>1.8929543560741566</x:v>
      </x:c>
    </x:row>
    <x:row r="716">
      <x:c r="A716" s="8" t="d">
        <x:v>2025-12-11T00:00:00.000Z</x:v>
      </x:c>
      <x:c r="B716" t="str">
        <x:v>Moderate</x:v>
      </x:c>
      <x:c r="C716" t="str">
        <x:v>Workday</x:v>
      </x:c>
      <x:c r="D716" s="10" t="n">
        <x:v>26.708333</x:v>
      </x:c>
      <x:c r="E716" s="12" t="n">
        <x:v>71945</x:v>
      </x:c>
      <x:c r="F716" s="12" t="n">
        <x:v>1267476</x:v>
      </x:c>
      <x:c r="G716" s="14" t="n">
        <x:v>129174692.8</x:v>
      </x:c>
      <x:c r="H716" t="n">
        <x:v>0</x:v>
      </x:c>
      <x:c r="I716" t="n">
        <x:f>IF(H716=0,1,0)</x:f>
        <x:v>1</x:v>
      </x:c>
      <x:c r="J716" s="16" t="n">
        <x:f>F716/E716</x:f>
        <x:v>17.61729098616999</x:v>
      </x:c>
      <x:c r="K716" s="16" t="n">
        <x:f>G716/1000/E716</x:f>
        <x:v>1.795464490930572</x:v>
      </x:c>
    </x:row>
    <x:row r="717">
      <x:c r="A717" s="8" t="d">
        <x:v>2025-12-12T00:00:00.000Z</x:v>
      </x:c>
      <x:c r="B717" t="str">
        <x:v>Good</x:v>
      </x:c>
      <x:c r="C717" t="str">
        <x:v>Workday</x:v>
      </x:c>
      <x:c r="D717" s="10" t="n">
        <x:v>12.25</x:v>
      </x:c>
      <x:c r="E717" s="12" t="n">
        <x:v>86950</x:v>
      </x:c>
      <x:c r="F717" s="12" t="n">
        <x:v>1545042</x:v>
      </x:c>
      <x:c r="G717" s="14" t="n">
        <x:v>160265508.09</x:v>
      </x:c>
      <x:c r="H717" t="n">
        <x:v>0</x:v>
      </x:c>
      <x:c r="I717" t="n">
        <x:f>IF(H717=0,1,0)</x:f>
        <x:v>1</x:v>
      </x:c>
      <x:c r="J717" s="16" t="n">
        <x:f>F717/E717</x:f>
        <x:v>17.7693156986774</x:v>
      </x:c>
      <x:c r="K717" s="16" t="n">
        <x:f>G717/1000/E717</x:f>
        <x:v>1.8431915824036804</x:v>
      </x:c>
    </x:row>
    <x:row r="718">
      <x:c r="A718" s="8" t="d">
        <x:v>2025-12-13T00:00:00.000Z</x:v>
      </x:c>
      <x:c r="B718" t="str">
        <x:v>Good</x:v>
      </x:c>
      <x:c r="C718" t="str">
        <x:v>Day off</x:v>
      </x:c>
      <x:c r="D718" s="10" t="n">
        <x:v>7.083333</x:v>
      </x:c>
      <x:c r="E718" s="12" t="n">
        <x:v>19152</x:v>
      </x:c>
      <x:c r="F718" s="12" t="n">
        <x:v>322295</x:v>
      </x:c>
      <x:c r="G718" s="14" t="n">
        <x:v>36132361.4</x:v>
      </x:c>
      <x:c r="H718" t="n">
        <x:v>0</x:v>
      </x:c>
      <x:c r="I718" t="n">
        <x:f>IF(H718=0,1,0)</x:f>
        <x:v>1</x:v>
      </x:c>
      <x:c r="J718" s="16" t="n">
        <x:f>F718/E718</x:f>
        <x:v>16.82826858813701</x:v>
      </x:c>
      <x:c r="K718" s="16" t="n">
        <x:f>G718/1000/E718</x:f>
        <x:v>1.8866103487886383</x:v>
      </x:c>
    </x:row>
    <x:row r="719">
      <x:c r="A719" s="8" t="d">
        <x:v>2025-12-14T00:00:00.000Z</x:v>
      </x:c>
      <x:c r="B719" t="str">
        <x:v>Moderate</x:v>
      </x:c>
      <x:c r="C719" t="str">
        <x:v>Day off</x:v>
      </x:c>
      <x:c r="D719" s="10" t="n">
        <x:v>18.583333</x:v>
      </x:c>
      <x:c r="E719" s="12" t="n">
        <x:v>43136</x:v>
      </x:c>
      <x:c r="F719" s="12" t="n">
        <x:v>845211</x:v>
      </x:c>
      <x:c r="G719" s="14" t="n">
        <x:v>89219376.02</x:v>
      </x:c>
      <x:c r="H719" t="n">
        <x:v>0</x:v>
      </x:c>
      <x:c r="I719" t="n">
        <x:f>IF(H719=0,1,0)</x:f>
        <x:v>1</x:v>
      </x:c>
      <x:c r="J719" s="16" t="n">
        <x:f>F719/E719</x:f>
        <x:v>19.594097737388726</x:v>
      </x:c>
      <x:c r="K719" s="16" t="n">
        <x:f>G719/1000/E719</x:f>
        <x:v>2.0683275227188425</x:v>
      </x:c>
    </x:row>
    <x:row r="720">
      <x:c r="A720" s="8" t="d">
        <x:v>2025-12-15T00:00:00.000Z</x:v>
      </x:c>
      <x:c r="B720" t="str">
        <x:v>Moderate</x:v>
      </x:c>
      <x:c r="C720" t="str">
        <x:v>Workday</x:v>
      </x:c>
      <x:c r="D720" s="10" t="n">
        <x:v>23.125</x:v>
      </x:c>
      <x:c r="E720" s="12" t="n">
        <x:v>80403</x:v>
      </x:c>
      <x:c r="F720" s="12" t="n">
        <x:v>1402196</x:v>
      </x:c>
      <x:c r="G720" s="14" t="n">
        <x:v>146966049.74</x:v>
      </x:c>
      <x:c r="H720" t="n">
        <x:v>0</x:v>
      </x:c>
      <x:c r="I720" t="n">
        <x:f>IF(H720=0,1,0)</x:f>
        <x:v>1</x:v>
      </x:c>
      <x:c r="J720" s="16" t="n">
        <x:f>F720/E720</x:f>
        <x:v>17.43959802494932</x:v>
      </x:c>
      <x:c r="K720" s="16" t="n">
        <x:f>G720/1000/E720</x:f>
        <x:v>1.827867738019726</x:v>
      </x:c>
    </x:row>
    <x:row r="721">
      <x:c r="A721" s="8" t="d">
        <x:v>2025-12-16T00:00:00.000Z</x:v>
      </x:c>
      <x:c r="B721" t="str">
        <x:v>Moderate</x:v>
      </x:c>
      <x:c r="C721" t="str">
        <x:v>Workday</x:v>
      </x:c>
      <x:c r="D721" s="10" t="n">
        <x:v>28.25</x:v>
      </x:c>
      <x:c r="E721" s="12" t="n">
        <x:v>48592</x:v>
      </x:c>
      <x:c r="F721" s="12" t="n">
        <x:v>751838</x:v>
      </x:c>
      <x:c r="G721" s="14" t="n">
        <x:v>82598483.74</x:v>
      </x:c>
      <x:c r="H721" t="n">
        <x:v>0</x:v>
      </x:c>
      <x:c r="I721" t="n">
        <x:f>IF(H721=0,1,0)</x:f>
        <x:v>1</x:v>
      </x:c>
      <x:c r="J721" s="16" t="n">
        <x:f>F721/E721</x:f>
        <x:v>15.472464603226868</x:v>
      </x:c>
      <x:c r="K721" s="16" t="n">
        <x:f>G721/1000/E721</x:f>
        <x:v>1.6998370871748436</x:v>
      </x:c>
    </x:row>
    <x:row r="722">
      <x:c r="A722" s="8" t="d">
        <x:v>2025-12-17T00:00:00.000Z</x:v>
      </x:c>
      <x:c r="B722" t="str">
        <x:v>Bad</x:v>
      </x:c>
      <x:c r="C722" t="str">
        <x:v>Workday</x:v>
      </x:c>
      <x:c r="D722" s="10" t="n">
        <x:v>40.166667</x:v>
      </x:c>
      <x:c r="E722" s="12" t="n">
        <x:v>84960</x:v>
      </x:c>
      <x:c r="F722" s="12" t="n">
        <x:v>1525611</x:v>
      </x:c>
      <x:c r="G722" s="14" t="n">
        <x:v>158683110.47</x:v>
      </x:c>
      <x:c r="H722" t="n">
        <x:v>0</x:v>
      </x:c>
      <x:c r="I722" t="n">
        <x:f>IF(H722=0,1,0)</x:f>
        <x:v>1</x:v>
      </x:c>
      <x:c r="J722" s="16" t="n">
        <x:f>F722/E722</x:f>
        <x:v>17.956814971751413</x:v>
      </x:c>
      <x:c r="K722" s="16" t="n">
        <x:f>G722/1000/E722</x:f>
        <x:v>1.8677390592043313</x:v>
      </x:c>
    </x:row>
    <x:row r="723">
      <x:c r="A723" s="8" t="d">
        <x:v>2025-12-18T00:00:00.000Z</x:v>
      </x:c>
      <x:c r="B723" t="str">
        <x:v>Moderate</x:v>
      </x:c>
      <x:c r="C723" t="str">
        <x:v>Workday</x:v>
      </x:c>
      <x:c r="D723" s="10" t="n">
        <x:v>21.5</x:v>
      </x:c>
      <x:c r="E723" s="12" t="n">
        <x:v>87556</x:v>
      </x:c>
      <x:c r="F723" s="12" t="n">
        <x:v>1554420</x:v>
      </x:c>
      <x:c r="G723" s="14" t="n">
        <x:v>162823632.92</x:v>
      </x:c>
      <x:c r="H723" t="n">
        <x:v>0</x:v>
      </x:c>
      <x:c r="I723" t="n">
        <x:f>IF(H723=0,1,0)</x:f>
        <x:v>1</x:v>
      </x:c>
      <x:c r="J723" s="16" t="n">
        <x:f>F723/E723</x:f>
        <x:v>17.753437799808122</x:v>
      </x:c>
      <x:c r="K723" s="16" t="n">
        <x:f>G723/1000/E723</x:f>
        <x:v>1.859651342226689</x:v>
      </x:c>
    </x:row>
    <x:row r="724">
      <x:c r="A724" s="8" t="d">
        <x:v>2025-12-19T00:00:00.000Z</x:v>
      </x:c>
      <x:c r="B724" t="str">
        <x:v>Moderate</x:v>
      </x:c>
      <x:c r="C724" t="str">
        <x:v>Workday</x:v>
      </x:c>
      <x:c r="D724" s="10" t="n">
        <x:v>25.291667</x:v>
      </x:c>
      <x:c r="E724" s="12" t="n">
        <x:v>91581</x:v>
      </x:c>
      <x:c r="F724" s="12" t="n">
        <x:v>1653963</x:v>
      </x:c>
      <x:c r="G724" s="14" t="n">
        <x:v>175362859.46</x:v>
      </x:c>
      <x:c r="H724" t="n">
        <x:v>0</x:v>
      </x:c>
      <x:c r="I724" t="n">
        <x:f>IF(H724=0,1,0)</x:f>
        <x:v>1</x:v>
      </x:c>
      <x:c r="J724" s="16" t="n">
        <x:f>F724/E724</x:f>
        <x:v>18.06011072165624</x:v>
      </x:c>
      <x:c r="K724" s="16" t="n">
        <x:f>G724/1000/E724</x:f>
        <x:v>1.914838879898669</x:v>
      </x:c>
    </x:row>
    <x:row r="725">
      <x:c r="A725" s="8" t="d">
        <x:v>2025-12-20T00:00:00.000Z</x:v>
      </x:c>
      <x:c r="B725" t="str">
        <x:v>Moderate</x:v>
      </x:c>
      <x:c r="C725" t="str">
        <x:v>Day off</x:v>
      </x:c>
      <x:c r="D725" s="10" t="n">
        <x:v>30.708333</x:v>
      </x:c>
      <x:c r="E725" s="12" t="n">
        <x:v>46467</x:v>
      </x:c>
      <x:c r="F725" s="12" t="n">
        <x:v>876531</x:v>
      </x:c>
      <x:c r="G725" s="14" t="n">
        <x:v>91100048.82</x:v>
      </x:c>
      <x:c r="H725" t="n">
        <x:v>0</x:v>
      </x:c>
      <x:c r="I725" t="n">
        <x:f>IF(H725=0,1,0)</x:f>
        <x:v>1</x:v>
      </x:c>
      <x:c r="J725" s="16" t="n">
        <x:f>F725/E725</x:f>
        <x:v>18.863516043643877</x:v>
      </x:c>
      <x:c r="K725" s="16" t="n">
        <x:f>G725/1000/E725</x:f>
        <x:v>1.9605321802569564</x:v>
      </x:c>
    </x:row>
    <x:row r="726">
      <x:c r="A726" s="8" t="d">
        <x:v>2025-12-21T00:00:00.000Z</x:v>
      </x:c>
      <x:c r="B726" t="str">
        <x:v>Good</x:v>
      </x:c>
      <x:c r="C726" t="str">
        <x:v>Day off</x:v>
      </x:c>
      <x:c r="D726" s="10" t="n">
        <x:v>8.958333</x:v>
      </x:c>
      <x:c r="E726" s="12" t="n">
        <x:v>45073</x:v>
      </x:c>
      <x:c r="F726" s="12" t="n">
        <x:v>872510</x:v>
      </x:c>
      <x:c r="G726" s="14" t="n">
        <x:v>92883605.52</x:v>
      </x:c>
      <x:c r="H726" t="n">
        <x:v>0</x:v>
      </x:c>
      <x:c r="I726" t="n">
        <x:f>IF(H726=0,1,0)</x:f>
        <x:v>1</x:v>
      </x:c>
      <x:c r="J726" s="16" t="n">
        <x:f>F726/E726</x:f>
        <x:v>19.357708606039093</x:v>
      </x:c>
      <x:c r="K726" s="16" t="n">
        <x:f>G726/1000/E726</x:f>
        <x:v>2.0607371490692876</x:v>
      </x:c>
    </x:row>
    <x:row r="727">
      <x:c r="A727" s="8" t="d">
        <x:v>2025-12-22T00:00:00.000Z</x:v>
      </x:c>
      <x:c r="B727" t="str">
        <x:v>Good</x:v>
      </x:c>
      <x:c r="C727" t="str">
        <x:v>Workday</x:v>
      </x:c>
      <x:c r="D727" s="10" t="n">
        <x:v>13.583333</x:v>
      </x:c>
      <x:c r="E727" s="12" t="n">
        <x:v>76797</x:v>
      </x:c>
      <x:c r="F727" s="12" t="n">
        <x:v>1344523</x:v>
      </x:c>
      <x:c r="G727" s="14" t="n">
        <x:v>140888045.88</x:v>
      </x:c>
      <x:c r="H727" t="n">
        <x:v>0</x:v>
      </x:c>
      <x:c r="I727" t="n">
        <x:f>IF(H727=0,1,0)</x:f>
        <x:v>1</x:v>
      </x:c>
      <x:c r="J727" s="16" t="n">
        <x:f>F727/E727</x:f>
        <x:v>17.507493782309204</x:v>
      </x:c>
      <x:c r="K727" s="16" t="n">
        <x:f>G727/1000/E727</x:f>
        <x:v>1.8345514262275868</x:v>
      </x:c>
    </x:row>
    <x:row r="728">
      <x:c r="A728" s="8" t="d">
        <x:v>2025-12-23T00:00:00.000Z</x:v>
      </x:c>
      <x:c r="B728" t="str">
        <x:v>Good</x:v>
      </x:c>
      <x:c r="C728" t="str">
        <x:v>Workday</x:v>
      </x:c>
      <x:c r="D728" s="10" t="n">
        <x:v>12</x:v>
      </x:c>
      <x:c r="E728" s="12" t="n">
        <x:v>38687</x:v>
      </x:c>
      <x:c r="F728" s="12" t="n">
        <x:v>595275</x:v>
      </x:c>
      <x:c r="G728" s="14" t="n">
        <x:v>63904378.67</x:v>
      </x:c>
      <x:c r="H728" t="n">
        <x:v>0</x:v>
      </x:c>
      <x:c r="I728" t="n">
        <x:f>IF(H728=0,1,0)</x:f>
        <x:v>1</x:v>
      </x:c>
      <x:c r="J728" s="16" t="n">
        <x:f>F728/E728</x:f>
        <x:v>15.386951689197922</x:v>
      </x:c>
      <x:c r="K728" s="16" t="n">
        <x:f>G728/1000/E728</x:f>
        <x:v>1.6518308131930621</x:v>
      </x:c>
    </x:row>
    <x:row r="729">
      <x:c r="A729" s="8" t="d">
        <x:v>2025-12-24T00:00:00.000Z</x:v>
      </x:c>
      <x:c r="B729" t="str">
        <x:v>Moderate</x:v>
      </x:c>
      <x:c r="C729" t="str">
        <x:v>Workday</x:v>
      </x:c>
      <x:c r="D729" s="10" t="n">
        <x:v>19.458333</x:v>
      </x:c>
      <x:c r="E729" s="12" t="n">
        <x:v>73410</x:v>
      </x:c>
      <x:c r="F729" s="12" t="n">
        <x:v>1375130</x:v>
      </x:c>
      <x:c r="G729" s="14" t="n">
        <x:v>137885732.6</x:v>
      </x:c>
      <x:c r="H729" t="n">
        <x:v>0</x:v>
      </x:c>
      <x:c r="I729" t="n">
        <x:f>IF(H729=0,1,0)</x:f>
        <x:v>1</x:v>
      </x:c>
      <x:c r="J729" s="16" t="n">
        <x:f>F729/E729</x:f>
        <x:v>18.732189075057892</x:v>
      </x:c>
      <x:c r="K729" s="16" t="n">
        <x:f>G729/1000/E729</x:f>
        <x:v>1.8782963165781228</x:v>
      </x:c>
    </x:row>
    <x:row r="730">
      <x:c r="A730" s="8" t="d">
        <x:v>2025-12-25T00:00:00.000Z</x:v>
      </x:c>
      <x:c r="B730" t="str">
        <x:v>Moderate</x:v>
      </x:c>
      <x:c r="C730" t="str">
        <x:v>Day off</x:v>
      </x:c>
      <x:c r="D730" s="10" t="n">
        <x:v>15.166667</x:v>
      </x:c>
      <x:c r="E730" s="12" t="n">
        <x:v>32281</x:v>
      </x:c>
      <x:c r="F730" s="12" t="n">
        <x:v>600500</x:v>
      </x:c>
      <x:c r="G730" s="14" t="n">
        <x:v>61970812.14</x:v>
      </x:c>
      <x:c r="H730" t="n">
        <x:v>0</x:v>
      </x:c>
      <x:c r="I730" t="n">
        <x:f>IF(H730=0,1,0)</x:f>
        <x:v>1</x:v>
      </x:c>
      <x:c r="J730" s="16" t="n">
        <x:f>F730/E730</x:f>
        <x:v>18.602273783340046</x:v>
      </x:c>
      <x:c r="K730" s="16" t="n">
        <x:f>G730/1000/E730</x:f>
        <x:v>1.9197302481335772</x:v>
      </x:c>
    </x:row>
    <x:row r="731">
      <x:c r="A731" s="8" t="d">
        <x:v>2025-12-26T00:00:00.000Z</x:v>
      </x:c>
      <x:c r="B731" t="str">
        <x:v>Good</x:v>
      </x:c>
      <x:c r="C731" t="str">
        <x:v>Workday</x:v>
      </x:c>
      <x:c r="D731" s="10" t="n">
        <x:v>8.125</x:v>
      </x:c>
      <x:c r="E731" s="12" t="n">
        <x:v>45681</x:v>
      </x:c>
      <x:c r="F731" s="12" t="n">
        <x:v>752104</x:v>
      </x:c>
      <x:c r="G731" s="14" t="n">
        <x:v>73392058.93</x:v>
      </x:c>
      <x:c r="H731" t="n">
        <x:v>0</x:v>
      </x:c>
      <x:c r="I731" t="n">
        <x:f>IF(H731=0,1,0)</x:f>
        <x:v>1</x:v>
      </x:c>
      <x:c r="J731" s="16" t="n">
        <x:f>F731/E731</x:f>
        <x:v>16.46426304152711</x:v>
      </x:c>
      <x:c r="K731" s="16" t="n">
        <x:f>G731/1000/E731</x:f>
        <x:v>1.6066211100895342</x:v>
      </x:c>
    </x:row>
    <x:row r="732">
      <x:c r="A732" s="8" t="d">
        <x:v>2025-12-27T00:00:00.000Z</x:v>
      </x:c>
      <x:c r="B732" t="str">
        <x:v>Moderate</x:v>
      </x:c>
      <x:c r="C732" t="str">
        <x:v>Day off</x:v>
      </x:c>
      <x:c r="D732" s="10" t="n">
        <x:v>16.458333</x:v>
      </x:c>
      <x:c r="E732" s="12" t="n">
        <x:v>42381</x:v>
      </x:c>
      <x:c r="F732" s="12" t="n">
        <x:v>780144</x:v>
      </x:c>
      <x:c r="G732" s="14" t="n">
        <x:v>78963278.6</x:v>
      </x:c>
      <x:c r="H732" t="n">
        <x:v>0</x:v>
      </x:c>
      <x:c r="I732" t="n">
        <x:f>IF(H732=0,1,0)</x:f>
        <x:v>1</x:v>
      </x:c>
      <x:c r="J732" s="16" t="n">
        <x:f>F732/E732</x:f>
        <x:v>18.40787145182983</x:v>
      </x:c>
      <x:c r="K732" s="16" t="n">
        <x:f>G732/1000/E732</x:f>
        <x:v>1.863176390363606</x:v>
      </x:c>
    </x:row>
    <x:row r="733">
      <x:c r="A733" s="8" t="d">
        <x:v>2025-12-28T00:00:00.000Z</x:v>
      </x:c>
      <x:c r="B733" t="str">
        <x:v>Moderate</x:v>
      </x:c>
      <x:c r="C733" t="str">
        <x:v>Day off</x:v>
      </x:c>
      <x:c r="D733" s="10" t="n">
        <x:v>29.458333</x:v>
      </x:c>
      <x:c r="E733" s="12" t="n">
        <x:v>40774</x:v>
      </x:c>
      <x:c r="F733" s="12" t="n">
        <x:v>809141</x:v>
      </x:c>
      <x:c r="G733" s="14" t="n">
        <x:v>86241789.3</x:v>
      </x:c>
      <x:c r="H733" t="n">
        <x:v>0</x:v>
      </x:c>
      <x:c r="I733" t="n">
        <x:f>IF(H733=0,1,0)</x:f>
        <x:v>1</x:v>
      </x:c>
      <x:c r="J733" s="16" t="n">
        <x:f>F733/E733</x:f>
        <x:v>19.84453328101241</x:v>
      </x:c>
      <x:c r="K733" s="16" t="n">
        <x:f>G733/1000/E733</x:f>
        <x:v>2.115117214401334</x:v>
      </x:c>
    </x:row>
    <x:row r="734">
      <x:c r="A734" s="8" t="d">
        <x:v>2025-12-29T00:00:00.000Z</x:v>
      </x:c>
      <x:c r="B734" t="str">
        <x:v>Bad</x:v>
      </x:c>
      <x:c r="C734" t="str">
        <x:v>Workday</x:v>
      </x:c>
      <x:c r="D734" s="10" t="n">
        <x:v>42.708333</x:v>
      </x:c>
      <x:c r="E734" s="12" t="n">
        <x:v>66651</x:v>
      </x:c>
      <x:c r="F734" s="12" t="n">
        <x:v>1256956</x:v>
      </x:c>
      <x:c r="G734" s="14" t="n">
        <x:v>127663793.38</x:v>
      </x:c>
      <x:c r="H734" t="n">
        <x:v>0</x:v>
      </x:c>
      <x:c r="I734" t="n">
        <x:f>IF(H734=0,1,0)</x:f>
        <x:v>1</x:v>
      </x:c>
      <x:c r="J734" s="16" t="n">
        <x:f>F734/E734</x:f>
        <x:v>18.858771811375675</x:v>
      </x:c>
      <x:c r="K734" s="16" t="n">
        <x:f>G734/1000/E734</x:f>
        <x:v>1.9154070213500172</x:v>
      </x:c>
    </x:row>
    <x:row r="735">
      <x:c r="A735" s="8" t="d">
        <x:v>2025-12-30T00:00:00.000Z</x:v>
      </x:c>
      <x:c r="B735" t="str">
        <x:v>Good</x:v>
      </x:c>
      <x:c r="C735" t="str">
        <x:v>Workday</x:v>
      </x:c>
      <x:c r="D735" s="10" t="n">
        <x:v>9.25</x:v>
      </x:c>
      <x:c r="E735" s="12" t="n">
        <x:v>71025</x:v>
      </x:c>
      <x:c r="F735" s="12" t="n">
        <x:v>1247972</x:v>
      </x:c>
      <x:c r="G735" s="14" t="n">
        <x:v>129151464.5</x:v>
      </x:c>
      <x:c r="H735" t="n">
        <x:v>0</x:v>
      </x:c>
      <x:c r="I735" t="n">
        <x:f>IF(H735=0,1,0)</x:f>
        <x:v>1</x:v>
      </x:c>
      <x:c r="J735" s="16" t="n">
        <x:f>F735/E735</x:f>
        <x:v>17.570883491728264</x:v>
      </x:c>
      <x:c r="K735" s="16" t="n">
        <x:f>G735/1000/E735</x:f>
        <x:v>1.8183944315381908</x:v>
      </x:c>
    </x:row>
    <x:row r="736">
      <x:c r="A736" s="8" t="d">
        <x:v>2025-12-31T00:00:00.000Z</x:v>
      </x:c>
      <x:c r="B736" t="str">
        <x:v>Good</x:v>
      </x:c>
      <x:c r="C736" t="str">
        <x:v>Workday</x:v>
      </x:c>
      <x:c r="D736" s="10" t="n">
        <x:v>8.458333</x:v>
      </x:c>
      <x:c r="E736" s="12" t="n">
        <x:v>55569</x:v>
      </x:c>
      <x:c r="F736" s="12" t="n">
        <x:v>943397</x:v>
      </x:c>
      <x:c r="G736" s="14" t="n">
        <x:v>94224118.43</x:v>
      </x:c>
      <x:c r="H736" t="n">
        <x:v>0</x:v>
      </x:c>
      <x:c r="I736" t="n">
        <x:f>IF(H736=0,1,0)</x:f>
        <x:v>1</x:v>
      </x:c>
      <x:c r="J736" s="16" t="n">
        <x:f>F736/E736</x:f>
        <x:v>16.977037556911228</x:v>
      </x:c>
      <x:c r="K736" s="16" t="n">
        <x:f>G736/1000/E736</x:f>
        <x:v>1.6956237907826306</x:v>
      </x:c>
    </x:row>
  </x:sheetData>
  <x:pageMargins left="0.7" right="0.7" top="0.75" bottom="0.75" header="0.3" footer="0.3"/>
</x:worksheet>
</file>