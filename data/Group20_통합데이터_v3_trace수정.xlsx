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통합_서울일별" sheetId="1" state="visible" r:id="rId1"/>
    <sheet xmlns:r="http://schemas.openxmlformats.org/officeDocument/2006/relationships" name="검증_요약" sheetId="2" state="visible" r:id="rId2"/>
    <sheet xmlns:r="http://schemas.openxmlformats.org/officeDocument/2006/relationships" name="출처_메모" sheetId="3" state="visible" r:id="rId3"/>
    <sheet xmlns:r="http://schemas.openxmlformats.org/officeDocument/2006/relationships" name="따릉이_원본" sheetId="4" state="visible" r:id="rId4"/>
    <sheet xmlns:r="http://schemas.openxmlformats.org/officeDocument/2006/relationships" name="v2_검증요약" sheetId="5" state="visible" r:id="rId5"/>
    <sheet xmlns:r="http://schemas.openxmlformats.org/officeDocument/2006/relationships" name="변수_설명" sheetId="6" state="visible" r:id="rId6"/>
    <sheet xmlns:r="http://schemas.openxmlformats.org/officeDocument/2006/relationships" name="v3_검증요약" sheetId="7" state="visible" r:id="rId7"/>
  </sheets>
  <definedNames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0.0"/>
    <numFmt numFmtId="166" formatCode="0.0000"/>
    <numFmt numFmtId="167" formatCode="0.0%"/>
  </numFmts>
  <fonts count="4">
    <font>
      <name val="Carlito"/>
      <sz val="11"/>
    </font>
    <font>
      <name val="Carlito"/>
      <b val="1"/>
      <sz val="11"/>
    </font>
    <font>
      <name val="Carlito"/>
      <b val="1"/>
      <color rgb="FF000000"/>
      <sz val="11"/>
    </font>
    <font>
      <name val="Carlito"/>
      <b val="1"/>
      <color rgb="FFFFFFFF"/>
      <sz val="11"/>
    </font>
  </fonts>
  <fills count="7">
    <fill>
      <patternFill/>
    </fill>
    <fill>
      <patternFill patternType="gray125"/>
    </fill>
    <fill>
      <patternFill patternType="solid">
        <fgColor rgb="FFD9EAF7"/>
      </patternFill>
    </fill>
    <fill>
      <patternFill patternType="solid">
        <fgColor rgb="FFD9EAF7"/>
      </patternFill>
    </fill>
    <fill>
      <patternFill patternType="solid">
        <fgColor rgb="FFD9EAF7"/>
      </patternFill>
    </fill>
    <fill>
      <patternFill patternType="solid">
        <fgColor rgb="FFD9EAF7"/>
      </patternFill>
    </fill>
    <fill>
      <patternFill patternType="solid">
        <fgColor rgb="FF1F4E78"/>
      </patternFill>
    </fill>
  </fills>
  <borders count="2">
    <border/>
    <border/>
  </borders>
  <cellStyleXfs count="1">
    <xf numFmtId="0" fontId="0" fillId="0" borderId="1"/>
  </cellStyleXfs>
  <cellXfs count="90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164" fontId="0" fillId="0" borderId="0" pivotButton="0" quotePrefix="0" xfId="0"/>
    <xf numFmtId="164" fontId="0" fillId="0" borderId="1" pivotButton="0" quotePrefix="0" xfId="0"/>
    <xf numFmtId="3" fontId="0" fillId="0" borderId="0" pivotButton="0" quotePrefix="0" xfId="0"/>
    <xf numFmtId="3" fontId="0" fillId="0" borderId="1" pivotButton="0" quotePrefix="0" xfId="0"/>
    <xf numFmtId="2" fontId="0" fillId="0" borderId="0" pivotButton="0" quotePrefix="0" xfId="0"/>
    <xf numFmtId="2" fontId="0" fillId="0" borderId="1" pivotButton="0" quotePrefix="0" xfId="0"/>
    <xf numFmtId="165" fontId="0" fillId="0" borderId="0" pivotButton="0" quotePrefix="0" xfId="0"/>
    <xf numFmtId="165" fontId="0" fillId="0" borderId="1" pivotButton="0" quotePrefix="0" xfId="0"/>
    <xf numFmtId="164" fontId="0" fillId="0" borderId="0" applyAlignment="1" pivotButton="0" quotePrefix="0" xfId="0">
      <alignment wrapText="1"/>
    </xf>
    <xf numFmtId="3" fontId="0" fillId="0" borderId="0" applyAlignment="1" pivotButton="0" quotePrefix="0" xfId="0">
      <alignment wrapText="1"/>
    </xf>
    <xf numFmtId="2" fontId="0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165" fontId="0" fillId="0" borderId="0" applyAlignment="1" pivotButton="0" quotePrefix="0" xfId="0">
      <alignment wrapText="1"/>
    </xf>
    <xf numFmtId="164" fontId="0" fillId="0" borderId="1" applyAlignment="1" pivotButton="0" quotePrefix="0" xfId="0">
      <alignment wrapText="1"/>
    </xf>
    <xf numFmtId="3" fontId="0" fillId="0" borderId="1" applyAlignment="1" pivotButton="0" quotePrefix="0" xfId="0">
      <alignment wrapText="1"/>
    </xf>
    <xf numFmtId="2" fontId="0" fillId="0" borderId="1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165" fontId="0" fillId="0" borderId="1" applyAlignment="1" pivotButton="0" quotePrefix="0" xfId="0">
      <alignment wrapText="1"/>
    </xf>
    <xf numFmtId="0" fontId="0" fillId="0" borderId="0" pivotButton="0" quotePrefix="0" xfId="0"/>
    <xf numFmtId="0" fontId="1" fillId="3" borderId="0" applyAlignment="1" pivotButton="0" quotePrefix="0" xfId="0">
      <alignment wrapText="1"/>
    </xf>
    <xf numFmtId="0" fontId="0" fillId="3" borderId="0" pivotButton="0" quotePrefix="0" xfId="0"/>
    <xf numFmtId="0" fontId="1" fillId="3" borderId="0" pivotButton="0" quotePrefix="0" xfId="0"/>
    <xf numFmtId="164" fontId="0" fillId="0" borderId="0" applyAlignment="1" pivotButton="0" quotePrefix="0" xfId="0">
      <alignment wrapText="1"/>
    </xf>
    <xf numFmtId="3" fontId="0" fillId="0" borderId="0" applyAlignment="1" pivotButton="0" quotePrefix="0" xfId="0">
      <alignment wrapText="1"/>
    </xf>
    <xf numFmtId="2" fontId="0" fillId="0" borderId="0" applyAlignment="1" pivotButton="0" quotePrefix="0" xfId="0">
      <alignment wrapText="1"/>
    </xf>
    <xf numFmtId="165" fontId="0" fillId="0" borderId="0" applyAlignment="1" pivotButton="0" quotePrefix="0" xfId="0">
      <alignment wrapText="1"/>
    </xf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164" fontId="0" fillId="0" borderId="0" pivotButton="0" quotePrefix="0" xfId="0"/>
    <xf numFmtId="3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  <xf numFmtId="164" fontId="0" fillId="0" borderId="0" applyAlignment="1" pivotButton="0" quotePrefix="0" xfId="0">
      <alignment wrapText="1"/>
    </xf>
    <xf numFmtId="3" fontId="0" fillId="0" borderId="0" applyAlignment="1" pivotButton="0" quotePrefix="0" xfId="0">
      <alignment wrapText="1"/>
    </xf>
    <xf numFmtId="2" fontId="0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165" fontId="0" fillId="0" borderId="0" applyAlignment="1" pivotButton="0" quotePrefix="0" xfId="0">
      <alignment wrapText="1"/>
    </xf>
    <xf numFmtId="0" fontId="0" fillId="4" borderId="0" pivotButton="0" quotePrefix="0" xfId="0"/>
    <xf numFmtId="0" fontId="2" fillId="4" borderId="0" pivotButton="0" quotePrefix="0" xfId="0"/>
    <xf numFmtId="0" fontId="2" fillId="4" borderId="0" applyAlignment="1" pivotButton="0" quotePrefix="0" xfId="0">
      <alignment wrapText="1"/>
    </xf>
    <xf numFmtId="0" fontId="2" fillId="4" borderId="0" applyAlignment="1" pivotButton="0" quotePrefix="0" xfId="0">
      <alignment horizontal="center" wrapText="1"/>
    </xf>
    <xf numFmtId="0" fontId="2" fillId="4" borderId="0" applyAlignment="1" pivotButton="0" quotePrefix="0" xfId="0">
      <alignment horizontal="center" vertical="center" wrapText="1"/>
    </xf>
    <xf numFmtId="2" fontId="0" fillId="0" borderId="0" pivotButton="0" quotePrefix="0" xfId="0"/>
    <xf numFmtId="1" fontId="0" fillId="0" borderId="0" pivotButton="0" quotePrefix="0" xfId="0"/>
    <xf numFmtId="0" fontId="1" fillId="4" borderId="0" pivotButton="0" quotePrefix="0" xfId="0"/>
    <xf numFmtId="0" fontId="1" fillId="4" borderId="0" applyAlignment="1" pivotButton="0" quotePrefix="0" xfId="0">
      <alignment horizontal="center"/>
    </xf>
    <xf numFmtId="0" fontId="1" fillId="4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wrapText="1"/>
    </xf>
    <xf numFmtId="0" fontId="1" fillId="4" borderId="0" applyAlignment="1" pivotButton="0" quotePrefix="0" xfId="0">
      <alignment horizontal="center" wrapText="1"/>
    </xf>
    <xf numFmtId="0" fontId="2" fillId="2" borderId="0" pivotButton="0" quotePrefix="0" xfId="0"/>
    <xf numFmtId="0" fontId="2" fillId="2" borderId="0" applyAlignment="1" pivotButton="0" quotePrefix="0" xfId="0">
      <alignment wrapText="1"/>
    </xf>
    <xf numFmtId="0" fontId="2" fillId="2" borderId="0" applyAlignment="1" pivotButton="0" quotePrefix="0" xfId="0">
      <alignment horizontal="center" wrapText="1"/>
    </xf>
    <xf numFmtId="0" fontId="2" fillId="2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5" borderId="0" pivotButton="0" quotePrefix="0" xfId="0"/>
    <xf numFmtId="0" fontId="2" fillId="5" borderId="0" pivotButton="0" quotePrefix="0" xfId="0"/>
    <xf numFmtId="0" fontId="2" fillId="5" borderId="0" applyAlignment="1" pivotButton="0" quotePrefix="0" xfId="0">
      <alignment wrapText="1"/>
    </xf>
    <xf numFmtId="0" fontId="2" fillId="5" borderId="0" applyAlignment="1" pivotButton="0" quotePrefix="0" xfId="0">
      <alignment horizontal="center" wrapText="1"/>
    </xf>
    <xf numFmtId="0" fontId="2" fillId="5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0" fillId="6" borderId="0" pivotButton="0" quotePrefix="0" xfId="0"/>
    <xf numFmtId="0" fontId="3" fillId="6" borderId="0" pivotButton="0" quotePrefix="0" xfId="0"/>
    <xf numFmtId="0" fontId="3" fillId="6" borderId="0" applyAlignment="1" pivotButton="0" quotePrefix="0" xfId="0">
      <alignment wrapText="1"/>
    </xf>
    <xf numFmtId="0" fontId="3" fillId="6" borderId="0" applyAlignment="1" pivotButton="0" quotePrefix="0" xfId="0">
      <alignment horizontal="center" wrapText="1"/>
    </xf>
    <xf numFmtId="0" fontId="3" fillId="6" borderId="0" applyAlignment="1" pivotButton="0" quotePrefix="0" xfId="0">
      <alignment horizontal="center" vertical="center" wrapText="1"/>
    </xf>
    <xf numFmtId="166" fontId="0" fillId="0" borderId="0" pivotButton="0" quotePrefix="0" xfId="0"/>
    <xf numFmtId="0" fontId="1" fillId="6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/>
    </xf>
    <xf numFmtId="167" fontId="0" fillId="0" borderId="0" applyAlignment="1" pivotButton="0" quotePrefix="0" xfId="0">
      <alignment wrapText="1"/>
    </xf>
    <xf numFmtId="1" fontId="0" fillId="0" borderId="0" pivotButton="0" quotePrefix="0" xfId="0"/>
    <xf numFmtId="166" fontId="0" fillId="0" borderId="0" pivotButton="0" quotePrefix="0" xfId="0"/>
    <xf numFmtId="167" fontId="0" fillId="0" borderId="0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732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3" customWidth="1" style="38" min="1" max="1"/>
    <col width="20" customWidth="1" style="38" min="2" max="2"/>
    <col width="20" customWidth="1" style="38" min="3" max="3"/>
    <col width="13" customWidth="1" style="38" min="4" max="4"/>
    <col width="13" customWidth="1" style="38" min="5" max="5"/>
    <col width="14" customWidth="1" style="38" min="6" max="6"/>
    <col width="10" customWidth="1" style="38" min="7" max="7"/>
    <col width="12" customWidth="1" style="38" min="8" max="8"/>
    <col width="11" customWidth="1" style="38" min="9" max="9"/>
    <col width="18" customWidth="1" style="38" min="10" max="10"/>
    <col width="24" customWidth="1" style="38" min="11" max="11"/>
    <col width="18" customWidth="1" style="38" min="12" max="12"/>
    <col width="13" customWidth="1" style="38" min="13" max="13"/>
    <col width="16" customWidth="1" style="38" min="14" max="14"/>
    <col width="20" customWidth="1" style="38" min="15" max="15"/>
    <col width="19" customWidth="1" style="38" min="16" max="16"/>
    <col width="18" customWidth="1" style="38" min="17" max="17"/>
    <col width="17" customWidth="1" style="38" min="18" max="18"/>
    <col width="16" customWidth="1" style="38" min="19" max="19"/>
    <col width="18" customWidth="1" style="38" min="20" max="20"/>
    <col width="17" customWidth="1" style="38" min="21" max="21"/>
    <col width="19" customWidth="1" style="38" min="22" max="22"/>
    <col width="21" customWidth="1" style="38" min="23" max="23"/>
    <col width="18" customWidth="1" style="38" min="24" max="24"/>
    <col width="10" customWidth="1" style="38" min="25" max="25"/>
    <col width="10" customWidth="1" style="38" min="26" max="26"/>
    <col width="16" customWidth="1" style="38" min="27" max="27"/>
    <col width="16" customWidth="1" style="38" min="28" max="28"/>
    <col width="16" customWidth="1" style="38" min="29" max="29"/>
    <col width="16" customWidth="1" style="38" min="30" max="30"/>
    <col width="16" customWidth="1" style="38" min="31" max="31"/>
    <col width="16" customWidth="1" style="38" min="32" max="32"/>
    <col width="15" customWidth="1" style="38" min="33" max="33"/>
    <col width="15" customWidth="1" style="38" min="34" max="34"/>
    <col width="15" customWidth="1" style="38" min="35" max="35"/>
    <col width="15" customWidth="1" style="38" min="36" max="36"/>
    <col width="15" customWidth="1" style="38" min="37" max="37"/>
    <col width="15" customWidth="1" style="38" min="38" max="38"/>
    <col width="15" customWidth="1" style="38" min="39" max="39"/>
    <col width="15" customWidth="1" style="38" min="40" max="40"/>
    <col width="15" customWidth="1" style="38" min="41" max="41"/>
    <col width="15" customWidth="1" style="38" min="42" max="42"/>
    <col width="15" customWidth="1" style="38" min="43" max="43"/>
    <col width="15" customWidth="1" style="38" min="44" max="44"/>
    <col width="15" customWidth="1" style="38" min="45" max="45"/>
    <col width="15" customWidth="1" style="38" min="46" max="46"/>
    <col width="15" customWidth="1" style="38" min="47" max="47"/>
    <col width="15" customWidth="1" style="38" min="48" max="48"/>
    <col width="15" customWidth="1" style="38" min="49" max="49"/>
    <col width="15" customWidth="1" style="38" min="50" max="50"/>
    <col width="15" customWidth="1" style="38" min="51" max="51"/>
    <col width="15" customWidth="1" style="38" min="52" max="52"/>
    <col width="15" customWidth="1" style="38" min="53" max="53"/>
    <col width="15" customWidth="1" style="38" min="54" max="54"/>
  </cols>
  <sheetData>
    <row r="1" ht="36" customHeight="1" s="38">
      <c r="A1" s="43" t="inlineStr">
        <is>
          <t>일시</t>
        </is>
      </c>
      <c r="B1" s="43" t="inlineStr">
        <is>
          <t>따릉이 하루 총 이용건수</t>
        </is>
      </c>
      <c r="C1" s="43" t="inlineStr">
        <is>
          <t>서울 PM2.5 일평균 (㎍/㎥)</t>
        </is>
      </c>
      <c r="D1" s="43" t="inlineStr">
        <is>
          <t>PM2.5 분류</t>
        </is>
      </c>
      <c r="E1" s="43" t="inlineStr">
        <is>
          <t>평균기온(°C)</t>
        </is>
      </c>
      <c r="F1" s="43" t="inlineStr">
        <is>
          <t>일강수량(mm)</t>
        </is>
      </c>
      <c r="G1" s="43" t="inlineStr">
        <is>
          <t>요일</t>
        </is>
      </c>
      <c r="H1" s="43" t="inlineStr">
        <is>
          <t>주중/주말</t>
        </is>
      </c>
      <c r="I1" s="43" t="inlineStr">
        <is>
          <t>계절</t>
        </is>
      </c>
      <c r="J1" s="43" t="inlineStr">
        <is>
          <t>PM2.5 유효측정소수</t>
        </is>
      </c>
      <c r="K1" s="43" t="inlineStr">
        <is>
          <t>병합 상태</t>
        </is>
      </c>
      <c r="L1" s="57" t="inlineStr">
        <is>
          <t>서울 PM10 일평균 (㎍/㎥)</t>
        </is>
      </c>
      <c r="M1" s="57" t="inlineStr">
        <is>
          <t>PM10 분류</t>
        </is>
      </c>
      <c r="N1" s="57" t="inlineStr">
        <is>
          <t>PM10 유효측정소수</t>
        </is>
      </c>
      <c r="O1" s="57" t="inlineStr">
        <is>
          <t>PM10 주의보 새 발령 (0/1)</t>
        </is>
      </c>
      <c r="P1" s="57" t="inlineStr">
        <is>
          <t>PM10 경보 새 발령 (0/1)</t>
        </is>
      </c>
      <c r="Q1" s="57" t="inlineStr">
        <is>
          <t>PM10 주의보 유효 (0/1)</t>
        </is>
      </c>
      <c r="R1" s="57" t="inlineStr">
        <is>
          <t>PM10 경보 유효 (0/1)</t>
        </is>
      </c>
      <c r="S1" s="57" t="inlineStr">
        <is>
          <t>평균 풍속(m/s)</t>
        </is>
      </c>
      <c r="T1" s="57" t="inlineStr">
        <is>
          <t>평균 상대습도(%)</t>
        </is>
      </c>
      <c r="U1" s="57" t="inlineStr">
        <is>
          <t>일 최심신적설(cm)</t>
        </is>
      </c>
      <c r="V1" s="57" t="inlineStr">
        <is>
          <t>주말 더미 (0=평일,1=주말)</t>
        </is>
      </c>
      <c r="W1" s="57" t="inlineStr">
        <is>
          <t>공휴일 더미 (0=아님,1=공휴일)</t>
        </is>
      </c>
      <c r="X1" s="57" t="inlineStr">
        <is>
          <t>공휴일명</t>
        </is>
      </c>
      <c r="Y1" s="57" t="inlineStr">
        <is>
          <t>월</t>
        </is>
      </c>
      <c r="Z1" s="57" t="inlineStr">
        <is>
          <t>연도</t>
        </is>
      </c>
      <c r="AA1" s="76" t="inlineStr">
        <is>
          <t>rain_mm</t>
        </is>
      </c>
      <c r="AB1" s="76" t="inlineStr">
        <is>
          <t>rain_day</t>
        </is>
      </c>
      <c r="AC1" s="76" t="inlineStr">
        <is>
          <t>trace</t>
        </is>
      </c>
      <c r="AD1" s="76" t="inlineStr">
        <is>
          <t>snow_cm</t>
        </is>
      </c>
      <c r="AE1" s="76" t="inlineStr">
        <is>
          <t>Day_Off</t>
        </is>
      </c>
      <c r="AF1" s="76" t="inlineStr">
        <is>
          <t>truncated_flag</t>
        </is>
      </c>
      <c r="AG1" s="82" t="inlineStr">
        <is>
          <t>한강500_대여</t>
        </is>
      </c>
      <c r="AH1" s="82" t="inlineStr">
        <is>
          <t>그외500_대여</t>
        </is>
      </c>
      <c r="AI1" s="82" t="inlineStr">
        <is>
          <t>위치미상_대여</t>
        </is>
      </c>
      <c r="AJ1" s="82" t="inlineStr">
        <is>
          <t>R500</t>
        </is>
      </c>
      <c r="AK1" s="82" t="inlineStr">
        <is>
          <t>한강1km_대여</t>
        </is>
      </c>
      <c r="AL1" s="82" t="inlineStr">
        <is>
          <t>그외1km_대여</t>
        </is>
      </c>
      <c r="AM1" s="82" t="inlineStr">
        <is>
          <t>R1km</t>
        </is>
      </c>
      <c r="AN1" s="82" t="inlineStr">
        <is>
          <t>한강500_panel_대여</t>
        </is>
      </c>
      <c r="AO1" s="82" t="inlineStr">
        <is>
          <t>그외500_panel_대여</t>
        </is>
      </c>
      <c r="AP1" s="82" t="inlineStr">
        <is>
          <t>R500_panel</t>
        </is>
      </c>
      <c r="AQ1" s="82" t="inlineStr">
        <is>
          <t>한강500_noTrib_대여</t>
        </is>
      </c>
      <c r="AR1" s="82" t="inlineStr">
        <is>
          <t>그외500_noTrib_대여</t>
        </is>
      </c>
      <c r="AS1" s="82" t="inlineStr">
        <is>
          <t>R500_noTrib</t>
        </is>
      </c>
      <c r="AT1" s="82" t="inlineStr">
        <is>
          <t>왕복</t>
        </is>
      </c>
      <c r="AU1" s="82" t="inlineStr">
        <is>
          <t>편도</t>
        </is>
      </c>
      <c r="AV1" s="82" t="inlineStr">
        <is>
          <t>왕복집계_제외</t>
        </is>
      </c>
      <c r="AW1" s="82" t="inlineStr">
        <is>
          <t>한강500_왕복</t>
        </is>
      </c>
      <c r="AX1" s="82" t="inlineStr">
        <is>
          <t>한강500_편도</t>
        </is>
      </c>
      <c r="AY1" s="82" t="inlineStr">
        <is>
          <t>R2</t>
        </is>
      </c>
      <c r="AZ1" s="82" t="inlineStr">
        <is>
          <t>합계 일조시간(hr)</t>
        </is>
      </c>
      <c r="BA1" s="82" t="inlineStr">
        <is>
          <t>합계 일사량(MJ/m2)</t>
        </is>
      </c>
      <c r="BB1" s="82" t="inlineStr">
        <is>
          <t>평균 전운량(1/10)</t>
        </is>
      </c>
    </row>
    <row r="2">
      <c r="A2" s="48" t="n">
        <v>45292</v>
      </c>
      <c r="B2" s="49" t="n">
        <v>46628</v>
      </c>
      <c r="C2" s="50" t="n">
        <v>19.44</v>
      </c>
      <c r="D2" s="51" t="inlineStr">
        <is>
          <t>Moderate</t>
        </is>
      </c>
      <c r="E2" s="52" t="n">
        <v>3.3</v>
      </c>
      <c r="F2" s="52" t="n">
        <v>0</v>
      </c>
      <c r="G2" s="51" t="inlineStr">
        <is>
          <t>Mon</t>
        </is>
      </c>
      <c r="H2" s="51" t="inlineStr">
        <is>
          <t>Weekday</t>
        </is>
      </c>
      <c r="I2" s="51" t="inlineStr">
        <is>
          <t>Winter</t>
        </is>
      </c>
      <c r="J2" s="51" t="n">
        <v>25</v>
      </c>
      <c r="K2" s="51" t="inlineStr">
        <is>
          <t>OK</t>
        </is>
      </c>
      <c r="L2" s="46" t="n">
        <v>24.56</v>
      </c>
      <c r="M2" t="inlineStr">
        <is>
          <t>Good</t>
        </is>
      </c>
      <c r="N2" s="87" t="n">
        <v>25</v>
      </c>
      <c r="O2" s="87" t="n">
        <v>0</v>
      </c>
      <c r="P2" s="87" t="n">
        <v>0</v>
      </c>
      <c r="Q2" s="87" t="n">
        <v>0</v>
      </c>
      <c r="R2" s="87" t="n">
        <v>0</v>
      </c>
      <c r="S2" s="47" t="n">
        <v>1.7</v>
      </c>
      <c r="T2" s="47" t="n">
        <v>83.40000000000001</v>
      </c>
      <c r="U2" s="47" t="n"/>
      <c r="V2" s="87" t="n">
        <v>0</v>
      </c>
      <c r="W2" s="87" t="n">
        <v>1</v>
      </c>
      <c r="X2" t="inlineStr">
        <is>
          <t>신정</t>
        </is>
      </c>
      <c r="Y2" t="inlineStr">
        <is>
          <t>Jan</t>
        </is>
      </c>
      <c r="Z2" s="87" t="n">
        <v>2024</v>
      </c>
      <c r="AA2" s="47">
        <f>IF(F2="",0,F2)</f>
        <v/>
      </c>
      <c r="AB2" s="87">
        <f>IF(AA2&gt;=0.1,1,0)</f>
        <v/>
      </c>
      <c r="AC2" s="87" t="n">
        <v>1</v>
      </c>
      <c r="AD2" s="47">
        <f>IF(U2="",0,U2)</f>
        <v/>
      </c>
      <c r="AE2" s="87">
        <f>IF(OR(V2=1,W2=1),1,0)</f>
        <v/>
      </c>
      <c r="AF2" s="87" t="n">
        <v>0</v>
      </c>
      <c r="AG2" t="n">
        <v>2898</v>
      </c>
      <c r="AH2" t="n">
        <v>43730</v>
      </c>
      <c r="AI2" t="n">
        <v>0</v>
      </c>
      <c r="AJ2" s="88">
        <f>IF(OR(AG2&lt;=0,AH2&lt;=0),"",LN(AG2)-LN(AH2))</f>
        <v/>
      </c>
      <c r="AK2" t="n">
        <v>7101</v>
      </c>
      <c r="AL2" t="n">
        <v>39527</v>
      </c>
      <c r="AM2" s="88">
        <f>IF(OR(AK2&lt;=0,AL2&lt;=0),"",LN(AK2)-LN(AL2))</f>
        <v/>
      </c>
      <c r="AN2" t="n">
        <v>2723</v>
      </c>
      <c r="AO2" t="n">
        <v>42223</v>
      </c>
      <c r="AP2" s="88">
        <f>IF(OR(AN2&lt;=0,AO2&lt;=0),"",LN(AN2)-LN(AO2))</f>
        <v/>
      </c>
      <c r="AQ2" t="n">
        <v>2823</v>
      </c>
      <c r="AR2" t="n">
        <v>43730</v>
      </c>
      <c r="AS2" s="88">
        <f>IF(OR(AQ2&lt;=0,AR2&lt;=0),"",LN(AQ2)-LN(AR2))</f>
        <v/>
      </c>
      <c r="AT2" t="n">
        <v>3770</v>
      </c>
      <c r="AU2" t="n">
        <v>42616</v>
      </c>
      <c r="AV2" t="n">
        <v>241</v>
      </c>
      <c r="AW2" t="n">
        <v>449</v>
      </c>
      <c r="AX2" t="n">
        <v>2433</v>
      </c>
      <c r="AY2" s="88">
        <f>IF(OR(AT2&lt;=0,AU2&lt;=0),"",LN(AT2)-LN(AU2))</f>
        <v/>
      </c>
      <c r="AZ2" s="46" t="n">
        <v>4.3</v>
      </c>
      <c r="BA2" s="46" t="n">
        <v>7.44</v>
      </c>
      <c r="BB2" s="47" t="n">
        <v>6.4</v>
      </c>
    </row>
    <row r="3">
      <c r="A3" s="48" t="n">
        <v>45293</v>
      </c>
      <c r="B3" s="49" t="n">
        <v>86397</v>
      </c>
      <c r="C3" s="50" t="n">
        <v>28.68</v>
      </c>
      <c r="D3" s="51" t="inlineStr">
        <is>
          <t>Moderate</t>
        </is>
      </c>
      <c r="E3" s="52" t="n">
        <v>2.9</v>
      </c>
      <c r="F3" s="52" t="n">
        <v>0</v>
      </c>
      <c r="G3" s="51" t="inlineStr">
        <is>
          <t>Tue</t>
        </is>
      </c>
      <c r="H3" s="51" t="inlineStr">
        <is>
          <t>Weekday</t>
        </is>
      </c>
      <c r="I3" s="51" t="inlineStr">
        <is>
          <t>Winter</t>
        </is>
      </c>
      <c r="J3" s="51" t="n">
        <v>25</v>
      </c>
      <c r="K3" s="51" t="inlineStr">
        <is>
          <t>OK</t>
        </is>
      </c>
      <c r="L3" s="46" t="n">
        <v>39.4</v>
      </c>
      <c r="M3" t="inlineStr">
        <is>
          <t>Moderate</t>
        </is>
      </c>
      <c r="N3" s="87" t="n">
        <v>25</v>
      </c>
      <c r="O3" s="87" t="n">
        <v>0</v>
      </c>
      <c r="P3" s="87" t="n">
        <v>0</v>
      </c>
      <c r="Q3" s="87" t="n">
        <v>0</v>
      </c>
      <c r="R3" s="87" t="n">
        <v>0</v>
      </c>
      <c r="S3" s="47" t="n">
        <v>1.6</v>
      </c>
      <c r="T3" s="47" t="n">
        <v>72.59999999999999</v>
      </c>
      <c r="U3" s="47" t="n"/>
      <c r="V3" s="87" t="n">
        <v>0</v>
      </c>
      <c r="W3" s="87" t="n">
        <v>0</v>
      </c>
      <c r="Y3" t="inlineStr">
        <is>
          <t>Jan</t>
        </is>
      </c>
      <c r="Z3" s="87" t="n">
        <v>2024</v>
      </c>
      <c r="AA3" s="47">
        <f>IF(F3="",0,F3)</f>
        <v/>
      </c>
      <c r="AB3" s="87">
        <f>IF(AA3&gt;=0.1,1,0)</f>
        <v/>
      </c>
      <c r="AC3" s="87" t="n">
        <v>1</v>
      </c>
      <c r="AD3" s="47">
        <f>IF(U3="",0,U3)</f>
        <v/>
      </c>
      <c r="AE3" s="87">
        <f>IF(OR(V3=1,W3=1),1,0)</f>
        <v/>
      </c>
      <c r="AF3" s="87" t="n">
        <v>0</v>
      </c>
      <c r="AG3" t="n">
        <v>4007</v>
      </c>
      <c r="AH3" t="n">
        <v>82390</v>
      </c>
      <c r="AI3" t="n">
        <v>0</v>
      </c>
      <c r="AJ3" s="88">
        <f>IF(OR(AG3&lt;=0,AH3&lt;=0),"",LN(AG3)-LN(AH3))</f>
        <v/>
      </c>
      <c r="AK3" t="n">
        <v>12021</v>
      </c>
      <c r="AL3" t="n">
        <v>74376</v>
      </c>
      <c r="AM3" s="88">
        <f>IF(OR(AK3&lt;=0,AL3&lt;=0),"",LN(AK3)-LN(AL3))</f>
        <v/>
      </c>
      <c r="AN3" t="n">
        <v>3843</v>
      </c>
      <c r="AO3" t="n">
        <v>79619</v>
      </c>
      <c r="AP3" s="88">
        <f>IF(OR(AN3&lt;=0,AO3&lt;=0),"",LN(AN3)-LN(AO3))</f>
        <v/>
      </c>
      <c r="AQ3" t="n">
        <v>3906</v>
      </c>
      <c r="AR3" t="n">
        <v>82390</v>
      </c>
      <c r="AS3" s="88">
        <f>IF(OR(AQ3&lt;=0,AR3&lt;=0),"",LN(AQ3)-LN(AR3))</f>
        <v/>
      </c>
      <c r="AT3" t="n">
        <v>4638</v>
      </c>
      <c r="AU3" t="n">
        <v>81362</v>
      </c>
      <c r="AV3" t="n">
        <v>401</v>
      </c>
      <c r="AW3" t="n">
        <v>273</v>
      </c>
      <c r="AX3" t="n">
        <v>3707</v>
      </c>
      <c r="AY3" s="88">
        <f>IF(OR(AT3&lt;=0,AU3&lt;=0),"",LN(AT3)-LN(AU3))</f>
        <v/>
      </c>
      <c r="AZ3" s="46" t="n">
        <v>0.3</v>
      </c>
      <c r="BA3" s="46" t="n">
        <v>3.87</v>
      </c>
      <c r="BB3" s="47" t="n">
        <v>8.9</v>
      </c>
    </row>
    <row r="4">
      <c r="A4" s="48" t="n">
        <v>45294</v>
      </c>
      <c r="B4" s="49" t="n">
        <v>71805</v>
      </c>
      <c r="C4" s="50" t="n">
        <v>29.48</v>
      </c>
      <c r="D4" s="51" t="inlineStr">
        <is>
          <t>Moderate</t>
        </is>
      </c>
      <c r="E4" s="52" t="n">
        <v>1.8</v>
      </c>
      <c r="F4" s="52" t="n">
        <v>0.6</v>
      </c>
      <c r="G4" s="51" t="inlineStr">
        <is>
          <t>Wed</t>
        </is>
      </c>
      <c r="H4" s="51" t="inlineStr">
        <is>
          <t>Weekday</t>
        </is>
      </c>
      <c r="I4" s="51" t="inlineStr">
        <is>
          <t>Winter</t>
        </is>
      </c>
      <c r="J4" s="51" t="n">
        <v>25</v>
      </c>
      <c r="K4" s="51" t="inlineStr">
        <is>
          <t>OK</t>
        </is>
      </c>
      <c r="L4" s="46" t="n">
        <v>41.88</v>
      </c>
      <c r="M4" t="inlineStr">
        <is>
          <t>Moderate</t>
        </is>
      </c>
      <c r="N4" s="87" t="n">
        <v>25</v>
      </c>
      <c r="O4" s="87" t="n">
        <v>0</v>
      </c>
      <c r="P4" s="87" t="n">
        <v>0</v>
      </c>
      <c r="Q4" s="87" t="n">
        <v>0</v>
      </c>
      <c r="R4" s="87" t="n">
        <v>0</v>
      </c>
      <c r="S4" s="47" t="n">
        <v>1.6</v>
      </c>
      <c r="T4" s="47" t="n">
        <v>80.40000000000001</v>
      </c>
      <c r="U4" s="47" t="n"/>
      <c r="V4" s="87" t="n">
        <v>0</v>
      </c>
      <c r="W4" s="87" t="n">
        <v>0</v>
      </c>
      <c r="Y4" t="inlineStr">
        <is>
          <t>Jan</t>
        </is>
      </c>
      <c r="Z4" s="87" t="n">
        <v>2024</v>
      </c>
      <c r="AA4" s="47">
        <f>IF(F4="",0,F4)</f>
        <v/>
      </c>
      <c r="AB4" s="87">
        <f>IF(AA4&gt;=0.1,1,0)</f>
        <v/>
      </c>
      <c r="AC4" s="87" t="n">
        <v>0</v>
      </c>
      <c r="AD4" s="47">
        <f>IF(U4="",0,U4)</f>
        <v/>
      </c>
      <c r="AE4" s="87">
        <f>IF(OR(V4=1,W4=1),1,0)</f>
        <v/>
      </c>
      <c r="AF4" s="87" t="n">
        <v>0</v>
      </c>
      <c r="AG4" t="n">
        <v>3312</v>
      </c>
      <c r="AH4" t="n">
        <v>68493</v>
      </c>
      <c r="AI4" t="n">
        <v>0</v>
      </c>
      <c r="AJ4" s="88">
        <f>IF(OR(AG4&lt;=0,AH4&lt;=0),"",LN(AG4)-LN(AH4))</f>
        <v/>
      </c>
      <c r="AK4" t="n">
        <v>9707</v>
      </c>
      <c r="AL4" t="n">
        <v>62098</v>
      </c>
      <c r="AM4" s="88">
        <f>IF(OR(AK4&lt;=0,AL4&lt;=0),"",LN(AK4)-LN(AL4))</f>
        <v/>
      </c>
      <c r="AN4" t="n">
        <v>3161</v>
      </c>
      <c r="AO4" t="n">
        <v>66090</v>
      </c>
      <c r="AP4" s="88">
        <f>IF(OR(AN4&lt;=0,AO4&lt;=0),"",LN(AN4)-LN(AO4))</f>
        <v/>
      </c>
      <c r="AQ4" t="n">
        <v>3208</v>
      </c>
      <c r="AR4" t="n">
        <v>68493</v>
      </c>
      <c r="AS4" s="88">
        <f>IF(OR(AQ4&lt;=0,AR4&lt;=0),"",LN(AQ4)-LN(AR4))</f>
        <v/>
      </c>
      <c r="AT4" t="n">
        <v>3629</v>
      </c>
      <c r="AU4" t="n">
        <v>67831</v>
      </c>
      <c r="AV4" t="n">
        <v>347</v>
      </c>
      <c r="AW4" t="n">
        <v>218</v>
      </c>
      <c r="AX4" t="n">
        <v>3073</v>
      </c>
      <c r="AY4" s="88">
        <f>IF(OR(AT4&lt;=0,AU4&lt;=0),"",LN(AT4)-LN(AU4))</f>
        <v/>
      </c>
      <c r="AZ4" s="46" t="n">
        <v>1.2</v>
      </c>
      <c r="BA4" s="46" t="n">
        <v>3.32</v>
      </c>
      <c r="BB4" s="47" t="n">
        <v>6</v>
      </c>
    </row>
    <row r="5">
      <c r="A5" s="48" t="n">
        <v>45295</v>
      </c>
      <c r="B5" s="49" t="n">
        <v>90104</v>
      </c>
      <c r="C5" s="50" t="n">
        <v>36.04</v>
      </c>
      <c r="D5" s="51" t="inlineStr">
        <is>
          <t>Bad</t>
        </is>
      </c>
      <c r="E5" s="52" t="n">
        <v>1.4</v>
      </c>
      <c r="F5" s="52" t="n"/>
      <c r="G5" s="51" t="inlineStr">
        <is>
          <t>Thu</t>
        </is>
      </c>
      <c r="H5" s="51" t="inlineStr">
        <is>
          <t>Weekday</t>
        </is>
      </c>
      <c r="I5" s="51" t="inlineStr">
        <is>
          <t>Winter</t>
        </is>
      </c>
      <c r="J5" s="51" t="n">
        <v>25</v>
      </c>
      <c r="K5" s="51" t="inlineStr">
        <is>
          <t>강수량 공란</t>
        </is>
      </c>
      <c r="L5" s="46" t="n">
        <v>51.64</v>
      </c>
      <c r="M5" t="inlineStr">
        <is>
          <t>Moderate</t>
        </is>
      </c>
      <c r="N5" s="87" t="n">
        <v>25</v>
      </c>
      <c r="O5" s="87" t="n">
        <v>0</v>
      </c>
      <c r="P5" s="87" t="n">
        <v>0</v>
      </c>
      <c r="Q5" s="87" t="n">
        <v>0</v>
      </c>
      <c r="R5" s="87" t="n">
        <v>0</v>
      </c>
      <c r="S5" s="47" t="n">
        <v>1.9</v>
      </c>
      <c r="T5" s="47" t="n">
        <v>74.3</v>
      </c>
      <c r="U5" s="47" t="n"/>
      <c r="V5" s="87" t="n">
        <v>0</v>
      </c>
      <c r="W5" s="87" t="n">
        <v>0</v>
      </c>
      <c r="Y5" t="inlineStr">
        <is>
          <t>Jan</t>
        </is>
      </c>
      <c r="Z5" s="87" t="n">
        <v>2024</v>
      </c>
      <c r="AA5" s="47">
        <f>IF(F5="",0,F5)</f>
        <v/>
      </c>
      <c r="AB5" s="87">
        <f>IF(AA5&gt;=0.1,1,0)</f>
        <v/>
      </c>
      <c r="AC5" s="87" t="n">
        <v>0</v>
      </c>
      <c r="AD5" s="47">
        <f>IF(U5="",0,U5)</f>
        <v/>
      </c>
      <c r="AE5" s="87">
        <f>IF(OR(V5=1,W5=1),1,0)</f>
        <v/>
      </c>
      <c r="AF5" s="87" t="n">
        <v>0</v>
      </c>
      <c r="AG5" t="n">
        <v>4234</v>
      </c>
      <c r="AH5" t="n">
        <v>85870</v>
      </c>
      <c r="AI5" t="n">
        <v>0</v>
      </c>
      <c r="AJ5" s="88">
        <f>IF(OR(AG5&lt;=0,AH5&lt;=0),"",LN(AG5)-LN(AH5))</f>
        <v/>
      </c>
      <c r="AK5" t="n">
        <v>12484</v>
      </c>
      <c r="AL5" t="n">
        <v>77620</v>
      </c>
      <c r="AM5" s="88">
        <f>IF(OR(AK5&lt;=0,AL5&lt;=0),"",LN(AK5)-LN(AL5))</f>
        <v/>
      </c>
      <c r="AN5" t="n">
        <v>4065</v>
      </c>
      <c r="AO5" t="n">
        <v>83006</v>
      </c>
      <c r="AP5" s="88">
        <f>IF(OR(AN5&lt;=0,AO5&lt;=0),"",LN(AN5)-LN(AO5))</f>
        <v/>
      </c>
      <c r="AQ5" t="n">
        <v>4121</v>
      </c>
      <c r="AR5" t="n">
        <v>85870</v>
      </c>
      <c r="AS5" s="88">
        <f>IF(OR(AQ5&lt;=0,AR5&lt;=0),"",LN(AQ5)-LN(AR5))</f>
        <v/>
      </c>
      <c r="AT5" t="n">
        <v>4599</v>
      </c>
      <c r="AU5" t="n">
        <v>85042</v>
      </c>
      <c r="AV5" t="n">
        <v>467</v>
      </c>
      <c r="AW5" t="n">
        <v>318</v>
      </c>
      <c r="AX5" t="n">
        <v>3889</v>
      </c>
      <c r="AY5" s="88">
        <f>IF(OR(AT5&lt;=0,AU5&lt;=0),"",LN(AT5)-LN(AU5))</f>
        <v/>
      </c>
      <c r="AZ5" s="46" t="n">
        <v>0.5</v>
      </c>
      <c r="BA5" s="46" t="n">
        <v>5.22</v>
      </c>
      <c r="BB5" s="47" t="n">
        <v>6.1</v>
      </c>
    </row>
    <row r="6">
      <c r="A6" s="48" t="n">
        <v>45296</v>
      </c>
      <c r="B6" s="49" t="n">
        <v>94923</v>
      </c>
      <c r="C6" s="50" t="n">
        <v>55.76</v>
      </c>
      <c r="D6" s="51" t="inlineStr">
        <is>
          <t>Bad</t>
        </is>
      </c>
      <c r="E6" s="52" t="n">
        <v>5</v>
      </c>
      <c r="F6" s="52" t="n">
        <v>0</v>
      </c>
      <c r="G6" s="51" t="inlineStr">
        <is>
          <t>Fri</t>
        </is>
      </c>
      <c r="H6" s="51" t="inlineStr">
        <is>
          <t>Weekday</t>
        </is>
      </c>
      <c r="I6" s="51" t="inlineStr">
        <is>
          <t>Winter</t>
        </is>
      </c>
      <c r="J6" s="51" t="n">
        <v>25</v>
      </c>
      <c r="K6" s="51" t="inlineStr">
        <is>
          <t>OK</t>
        </is>
      </c>
      <c r="L6" s="46" t="n">
        <v>80.44</v>
      </c>
      <c r="M6" t="inlineStr">
        <is>
          <t>Bad</t>
        </is>
      </c>
      <c r="N6" s="87" t="n">
        <v>25</v>
      </c>
      <c r="O6" s="87" t="n">
        <v>0</v>
      </c>
      <c r="P6" s="87" t="n">
        <v>0</v>
      </c>
      <c r="Q6" s="87" t="n">
        <v>0</v>
      </c>
      <c r="R6" s="87" t="n">
        <v>0</v>
      </c>
      <c r="S6" s="47" t="n">
        <v>2.3</v>
      </c>
      <c r="T6" s="47" t="n">
        <v>77.09999999999999</v>
      </c>
      <c r="U6" s="47" t="n"/>
      <c r="V6" s="87" t="n">
        <v>0</v>
      </c>
      <c r="W6" s="87" t="n">
        <v>0</v>
      </c>
      <c r="Y6" t="inlineStr">
        <is>
          <t>Jan</t>
        </is>
      </c>
      <c r="Z6" s="87" t="n">
        <v>2024</v>
      </c>
      <c r="AA6" s="47">
        <f>IF(F6="",0,F6)</f>
        <v/>
      </c>
      <c r="AB6" s="87">
        <f>IF(AA6&gt;=0.1,1,0)</f>
        <v/>
      </c>
      <c r="AC6" s="87" t="n">
        <v>1</v>
      </c>
      <c r="AD6" s="47">
        <f>IF(U6="",0,U6)</f>
        <v/>
      </c>
      <c r="AE6" s="87">
        <f>IF(OR(V6=1,W6=1),1,0)</f>
        <v/>
      </c>
      <c r="AF6" s="87" t="n">
        <v>0</v>
      </c>
      <c r="AG6" t="n">
        <v>4482</v>
      </c>
      <c r="AH6" t="n">
        <v>90441</v>
      </c>
      <c r="AI6" t="n">
        <v>0</v>
      </c>
      <c r="AJ6" s="88">
        <f>IF(OR(AG6&lt;=0,AH6&lt;=0),"",LN(AG6)-LN(AH6))</f>
        <v/>
      </c>
      <c r="AK6" t="n">
        <v>13161</v>
      </c>
      <c r="AL6" t="n">
        <v>81762</v>
      </c>
      <c r="AM6" s="88">
        <f>IF(OR(AK6&lt;=0,AL6&lt;=0),"",LN(AK6)-LN(AL6))</f>
        <v/>
      </c>
      <c r="AN6" t="n">
        <v>4290</v>
      </c>
      <c r="AO6" t="n">
        <v>87404</v>
      </c>
      <c r="AP6" s="88">
        <f>IF(OR(AN6&lt;=0,AO6&lt;=0),"",LN(AN6)-LN(AO6))</f>
        <v/>
      </c>
      <c r="AQ6" t="n">
        <v>4366</v>
      </c>
      <c r="AR6" t="n">
        <v>90441</v>
      </c>
      <c r="AS6" s="88">
        <f>IF(OR(AQ6&lt;=0,AR6&lt;=0),"",LN(AQ6)-LN(AR6))</f>
        <v/>
      </c>
      <c r="AT6" t="n">
        <v>5166</v>
      </c>
      <c r="AU6" t="n">
        <v>89283</v>
      </c>
      <c r="AV6" t="n">
        <v>476</v>
      </c>
      <c r="AW6" t="n">
        <v>376</v>
      </c>
      <c r="AX6" t="n">
        <v>4078</v>
      </c>
      <c r="AY6" s="88">
        <f>IF(OR(AT6&lt;=0,AU6&lt;=0),"",LN(AT6)-LN(AU6))</f>
        <v/>
      </c>
      <c r="AZ6" s="46" t="n">
        <v>5.7</v>
      </c>
      <c r="BA6" s="46" t="n">
        <v>7.77</v>
      </c>
      <c r="BB6" s="47" t="n">
        <v>4.1</v>
      </c>
    </row>
    <row r="7">
      <c r="A7" s="48" t="n">
        <v>45297</v>
      </c>
      <c r="B7" s="49" t="n">
        <v>57176</v>
      </c>
      <c r="C7" s="50" t="n">
        <v>13.08</v>
      </c>
      <c r="D7" s="51" t="inlineStr">
        <is>
          <t>Good</t>
        </is>
      </c>
      <c r="E7" s="52" t="n">
        <v>0.7</v>
      </c>
      <c r="F7" s="52" t="n">
        <v>2.4</v>
      </c>
      <c r="G7" s="51" t="inlineStr">
        <is>
          <t>Sat</t>
        </is>
      </c>
      <c r="H7" s="51" t="inlineStr">
        <is>
          <t>Weekend</t>
        </is>
      </c>
      <c r="I7" s="51" t="inlineStr">
        <is>
          <t>Winter</t>
        </is>
      </c>
      <c r="J7" s="51" t="n">
        <v>25</v>
      </c>
      <c r="K7" s="51" t="inlineStr">
        <is>
          <t>OK</t>
        </is>
      </c>
      <c r="L7" s="46" t="n">
        <v>24.68</v>
      </c>
      <c r="M7" t="inlineStr">
        <is>
          <t>Good</t>
        </is>
      </c>
      <c r="N7" s="87" t="n">
        <v>25</v>
      </c>
      <c r="O7" s="87" t="n">
        <v>0</v>
      </c>
      <c r="P7" s="87" t="n">
        <v>0</v>
      </c>
      <c r="Q7" s="87" t="n">
        <v>0</v>
      </c>
      <c r="R7" s="87" t="n">
        <v>0</v>
      </c>
      <c r="S7" s="47" t="n">
        <v>2.2</v>
      </c>
      <c r="T7" s="47" t="n">
        <v>63.9</v>
      </c>
      <c r="U7" s="47" t="n">
        <v>6</v>
      </c>
      <c r="V7" s="87" t="n">
        <v>1</v>
      </c>
      <c r="W7" s="87" t="n">
        <v>0</v>
      </c>
      <c r="Y7" t="inlineStr">
        <is>
          <t>Jan</t>
        </is>
      </c>
      <c r="Z7" s="87" t="n">
        <v>2024</v>
      </c>
      <c r="AA7" s="47">
        <f>IF(F7="",0,F7)</f>
        <v/>
      </c>
      <c r="AB7" s="87">
        <f>IF(AA7&gt;=0.1,1,0)</f>
        <v/>
      </c>
      <c r="AC7" s="87" t="n">
        <v>0</v>
      </c>
      <c r="AD7" s="47">
        <f>IF(U7="",0,U7)</f>
        <v/>
      </c>
      <c r="AE7" s="87">
        <f>IF(OR(V7=1,W7=1),1,0)</f>
        <v/>
      </c>
      <c r="AF7" s="87" t="n">
        <v>0</v>
      </c>
      <c r="AG7" t="n">
        <v>2947</v>
      </c>
      <c r="AH7" t="n">
        <v>54229</v>
      </c>
      <c r="AI7" t="n">
        <v>0</v>
      </c>
      <c r="AJ7" s="88">
        <f>IF(OR(AG7&lt;=0,AH7&lt;=0),"",LN(AG7)-LN(AH7))</f>
        <v/>
      </c>
      <c r="AK7" t="n">
        <v>7866</v>
      </c>
      <c r="AL7" t="n">
        <v>49310</v>
      </c>
      <c r="AM7" s="88">
        <f>IF(OR(AK7&lt;=0,AL7&lt;=0),"",LN(AK7)-LN(AL7))</f>
        <v/>
      </c>
      <c r="AN7" t="n">
        <v>2756</v>
      </c>
      <c r="AO7" t="n">
        <v>52374</v>
      </c>
      <c r="AP7" s="88">
        <f>IF(OR(AN7&lt;=0,AO7&lt;=0),"",LN(AN7)-LN(AO7))</f>
        <v/>
      </c>
      <c r="AQ7" t="n">
        <v>2888</v>
      </c>
      <c r="AR7" t="n">
        <v>54229</v>
      </c>
      <c r="AS7" s="88">
        <f>IF(OR(AQ7&lt;=0,AR7&lt;=0),"",LN(AQ7)-LN(AR7))</f>
        <v/>
      </c>
      <c r="AT7" t="n">
        <v>3944</v>
      </c>
      <c r="AU7" t="n">
        <v>52938</v>
      </c>
      <c r="AV7" t="n">
        <v>298</v>
      </c>
      <c r="AW7" t="n">
        <v>295</v>
      </c>
      <c r="AX7" t="n">
        <v>2626</v>
      </c>
      <c r="AY7" s="88">
        <f>IF(OR(AT7&lt;=0,AU7&lt;=0),"",LN(AT7)-LN(AU7))</f>
        <v/>
      </c>
      <c r="AZ7" s="46" t="n">
        <v>8.699999999999999</v>
      </c>
      <c r="BA7" s="46" t="n">
        <v>11.42</v>
      </c>
      <c r="BB7" s="47" t="n">
        <v>2.3</v>
      </c>
    </row>
    <row r="8">
      <c r="A8" s="48" t="n">
        <v>45298</v>
      </c>
      <c r="B8" s="49" t="n">
        <v>31450</v>
      </c>
      <c r="C8" s="50" t="n">
        <v>13.8</v>
      </c>
      <c r="D8" s="51" t="inlineStr">
        <is>
          <t>Good</t>
        </is>
      </c>
      <c r="E8" s="52" t="n">
        <v>-4.4</v>
      </c>
      <c r="F8" s="52" t="n"/>
      <c r="G8" s="51" t="inlineStr">
        <is>
          <t>Sun</t>
        </is>
      </c>
      <c r="H8" s="51" t="inlineStr">
        <is>
          <t>Weekend</t>
        </is>
      </c>
      <c r="I8" s="51" t="inlineStr">
        <is>
          <t>Winter</t>
        </is>
      </c>
      <c r="J8" s="51" t="n">
        <v>25</v>
      </c>
      <c r="K8" s="51" t="inlineStr">
        <is>
          <t>강수량 공란</t>
        </is>
      </c>
      <c r="L8" s="46" t="n">
        <v>23.41666666666667</v>
      </c>
      <c r="M8" t="inlineStr">
        <is>
          <t>Good</t>
        </is>
      </c>
      <c r="N8" s="87" t="n">
        <v>24</v>
      </c>
      <c r="O8" s="87" t="n">
        <v>0</v>
      </c>
      <c r="P8" s="87" t="n">
        <v>0</v>
      </c>
      <c r="Q8" s="87" t="n">
        <v>0</v>
      </c>
      <c r="R8" s="87" t="n">
        <v>0</v>
      </c>
      <c r="S8" s="47" t="n">
        <v>3.1</v>
      </c>
      <c r="T8" s="47" t="n">
        <v>57.4</v>
      </c>
      <c r="U8" s="47" t="n"/>
      <c r="V8" s="87" t="n">
        <v>1</v>
      </c>
      <c r="W8" s="87" t="n">
        <v>0</v>
      </c>
      <c r="Y8" t="inlineStr">
        <is>
          <t>Jan</t>
        </is>
      </c>
      <c r="Z8" s="87" t="n">
        <v>2024</v>
      </c>
      <c r="AA8" s="47">
        <f>IF(F8="",0,F8)</f>
        <v/>
      </c>
      <c r="AB8" s="87">
        <f>IF(AA8&gt;=0.1,1,0)</f>
        <v/>
      </c>
      <c r="AC8" s="87" t="n">
        <v>0</v>
      </c>
      <c r="AD8" s="47">
        <f>IF(U8="",0,U8)</f>
        <v/>
      </c>
      <c r="AE8" s="87">
        <f>IF(OR(V8=1,W8=1),1,0)</f>
        <v/>
      </c>
      <c r="AF8" s="87" t="n">
        <v>0</v>
      </c>
      <c r="AG8" t="n">
        <v>1384</v>
      </c>
      <c r="AH8" t="n">
        <v>30066</v>
      </c>
      <c r="AI8" t="n">
        <v>0</v>
      </c>
      <c r="AJ8" s="88">
        <f>IF(OR(AG8&lt;=0,AH8&lt;=0),"",LN(AG8)-LN(AH8))</f>
        <v/>
      </c>
      <c r="AK8" t="n">
        <v>3915</v>
      </c>
      <c r="AL8" t="n">
        <v>27535</v>
      </c>
      <c r="AM8" s="88">
        <f>IF(OR(AK8&lt;=0,AL8&lt;=0),"",LN(AK8)-LN(AL8))</f>
        <v/>
      </c>
      <c r="AN8" t="n">
        <v>1310</v>
      </c>
      <c r="AO8" t="n">
        <v>29037</v>
      </c>
      <c r="AP8" s="88">
        <f>IF(OR(AN8&lt;=0,AO8&lt;=0),"",LN(AN8)-LN(AO8))</f>
        <v/>
      </c>
      <c r="AQ8" t="n">
        <v>1364</v>
      </c>
      <c r="AR8" t="n">
        <v>30066</v>
      </c>
      <c r="AS8" s="88">
        <f>IF(OR(AQ8&lt;=0,AR8&lt;=0),"",LN(AQ8)-LN(AR8))</f>
        <v/>
      </c>
      <c r="AT8" t="n">
        <v>2409</v>
      </c>
      <c r="AU8" t="n">
        <v>28874</v>
      </c>
      <c r="AV8" t="n">
        <v>170</v>
      </c>
      <c r="AW8" t="n">
        <v>169</v>
      </c>
      <c r="AX8" t="n">
        <v>1205</v>
      </c>
      <c r="AY8" s="88">
        <f>IF(OR(AT8&lt;=0,AU8&lt;=0),"",LN(AT8)-LN(AU8))</f>
        <v/>
      </c>
      <c r="AZ8" s="46" t="n">
        <v>9.1</v>
      </c>
      <c r="BA8" s="46" t="n">
        <v>12.13</v>
      </c>
      <c r="BB8" s="47" t="n">
        <v>0.1</v>
      </c>
    </row>
    <row r="9">
      <c r="A9" s="48" t="n">
        <v>45299</v>
      </c>
      <c r="B9" s="49" t="n">
        <v>64949</v>
      </c>
      <c r="C9" s="50" t="n">
        <v>12.96</v>
      </c>
      <c r="D9" s="51" t="inlineStr">
        <is>
          <t>Good</t>
        </is>
      </c>
      <c r="E9" s="52" t="n">
        <v>-4.7</v>
      </c>
      <c r="F9" s="52" t="n"/>
      <c r="G9" s="51" t="inlineStr">
        <is>
          <t>Mon</t>
        </is>
      </c>
      <c r="H9" s="51" t="inlineStr">
        <is>
          <t>Weekday</t>
        </is>
      </c>
      <c r="I9" s="51" t="inlineStr">
        <is>
          <t>Winter</t>
        </is>
      </c>
      <c r="J9" s="51" t="n">
        <v>25</v>
      </c>
      <c r="K9" s="51" t="inlineStr">
        <is>
          <t>강수량 공란</t>
        </is>
      </c>
      <c r="L9" s="46" t="n">
        <v>23.12</v>
      </c>
      <c r="M9" t="inlineStr">
        <is>
          <t>Good</t>
        </is>
      </c>
      <c r="N9" s="87" t="n">
        <v>25</v>
      </c>
      <c r="O9" s="87" t="n">
        <v>0</v>
      </c>
      <c r="P9" s="87" t="n">
        <v>0</v>
      </c>
      <c r="Q9" s="87" t="n">
        <v>0</v>
      </c>
      <c r="R9" s="87" t="n">
        <v>0</v>
      </c>
      <c r="S9" s="47" t="n">
        <v>1.8</v>
      </c>
      <c r="T9" s="47" t="n">
        <v>57.8</v>
      </c>
      <c r="U9" s="47" t="n"/>
      <c r="V9" s="87" t="n">
        <v>0</v>
      </c>
      <c r="W9" s="87" t="n">
        <v>0</v>
      </c>
      <c r="Y9" t="inlineStr">
        <is>
          <t>Jan</t>
        </is>
      </c>
      <c r="Z9" s="87" t="n">
        <v>2024</v>
      </c>
      <c r="AA9" s="47">
        <f>IF(F9="",0,F9)</f>
        <v/>
      </c>
      <c r="AB9" s="87">
        <f>IF(AA9&gt;=0.1,1,0)</f>
        <v/>
      </c>
      <c r="AC9" s="87" t="n">
        <v>0</v>
      </c>
      <c r="AD9" s="47">
        <f>IF(U9="",0,U9)</f>
        <v/>
      </c>
      <c r="AE9" s="87">
        <f>IF(OR(V9=1,W9=1),1,0)</f>
        <v/>
      </c>
      <c r="AF9" s="87" t="n">
        <v>0</v>
      </c>
      <c r="AG9" t="n">
        <v>2839</v>
      </c>
      <c r="AH9" t="n">
        <v>62110</v>
      </c>
      <c r="AI9" t="n">
        <v>0</v>
      </c>
      <c r="AJ9" s="88">
        <f>IF(OR(AG9&lt;=0,AH9&lt;=0),"",LN(AG9)-LN(AH9))</f>
        <v/>
      </c>
      <c r="AK9" t="n">
        <v>8766</v>
      </c>
      <c r="AL9" t="n">
        <v>56183</v>
      </c>
      <c r="AM9" s="88">
        <f>IF(OR(AK9&lt;=0,AL9&lt;=0),"",LN(AK9)-LN(AL9))</f>
        <v/>
      </c>
      <c r="AN9" t="n">
        <v>2710</v>
      </c>
      <c r="AO9" t="n">
        <v>59993</v>
      </c>
      <c r="AP9" s="88">
        <f>IF(OR(AN9&lt;=0,AO9&lt;=0),"",LN(AN9)-LN(AO9))</f>
        <v/>
      </c>
      <c r="AQ9" t="n">
        <v>2765</v>
      </c>
      <c r="AR9" t="n">
        <v>62110</v>
      </c>
      <c r="AS9" s="88">
        <f>IF(OR(AQ9&lt;=0,AR9&lt;=0),"",LN(AQ9)-LN(AR9))</f>
        <v/>
      </c>
      <c r="AT9" t="n">
        <v>3417</v>
      </c>
      <c r="AU9" t="n">
        <v>61202</v>
      </c>
      <c r="AV9" t="n">
        <v>335</v>
      </c>
      <c r="AW9" t="n">
        <v>201</v>
      </c>
      <c r="AX9" t="n">
        <v>2622</v>
      </c>
      <c r="AY9" s="88">
        <f>IF(OR(AT9&lt;=0,AU9&lt;=0),"",LN(AT9)-LN(AU9))</f>
        <v/>
      </c>
      <c r="AZ9" s="46" t="n">
        <v>8.300000000000001</v>
      </c>
      <c r="BA9" s="46" t="n">
        <v>11.65</v>
      </c>
      <c r="BB9" s="47" t="n">
        <v>3.8</v>
      </c>
    </row>
    <row r="10">
      <c r="A10" s="48" t="n">
        <v>45300</v>
      </c>
      <c r="B10" s="49" t="n">
        <v>38224</v>
      </c>
      <c r="C10" s="50" t="n">
        <v>25.52</v>
      </c>
      <c r="D10" s="51" t="inlineStr">
        <is>
          <t>Moderate</t>
        </is>
      </c>
      <c r="E10" s="52" t="n">
        <v>-0.6</v>
      </c>
      <c r="F10" s="52" t="n">
        <v>1.6</v>
      </c>
      <c r="G10" s="51" t="inlineStr">
        <is>
          <t>Tue</t>
        </is>
      </c>
      <c r="H10" s="51" t="inlineStr">
        <is>
          <t>Weekday</t>
        </is>
      </c>
      <c r="I10" s="51" t="inlineStr">
        <is>
          <t>Winter</t>
        </is>
      </c>
      <c r="J10" s="51" t="n">
        <v>25</v>
      </c>
      <c r="K10" s="51" t="inlineStr">
        <is>
          <t>OK</t>
        </is>
      </c>
      <c r="L10" s="46" t="n">
        <v>33.88</v>
      </c>
      <c r="M10" t="inlineStr">
        <is>
          <t>Moderate</t>
        </is>
      </c>
      <c r="N10" s="87" t="n">
        <v>25</v>
      </c>
      <c r="O10" s="87" t="n">
        <v>0</v>
      </c>
      <c r="P10" s="87" t="n">
        <v>0</v>
      </c>
      <c r="Q10" s="87" t="n">
        <v>0</v>
      </c>
      <c r="R10" s="87" t="n">
        <v>0</v>
      </c>
      <c r="S10" s="47" t="n">
        <v>2</v>
      </c>
      <c r="T10" s="47" t="n">
        <v>84</v>
      </c>
      <c r="U10" s="47" t="n">
        <v>2.8</v>
      </c>
      <c r="V10" s="87" t="n">
        <v>0</v>
      </c>
      <c r="W10" s="87" t="n">
        <v>0</v>
      </c>
      <c r="Y10" t="inlineStr">
        <is>
          <t>Jan</t>
        </is>
      </c>
      <c r="Z10" s="87" t="n">
        <v>2024</v>
      </c>
      <c r="AA10" s="47">
        <f>IF(F10="",0,F10)</f>
        <v/>
      </c>
      <c r="AB10" s="87">
        <f>IF(AA10&gt;=0.1,1,0)</f>
        <v/>
      </c>
      <c r="AC10" s="87" t="n">
        <v>0</v>
      </c>
      <c r="AD10" s="47">
        <f>IF(U10="",0,U10)</f>
        <v/>
      </c>
      <c r="AE10" s="87">
        <f>IF(OR(V10=1,W10=1),1,0)</f>
        <v/>
      </c>
      <c r="AF10" s="87" t="n">
        <v>0</v>
      </c>
      <c r="AG10" t="n">
        <v>1691</v>
      </c>
      <c r="AH10" t="n">
        <v>36533</v>
      </c>
      <c r="AI10" t="n">
        <v>0</v>
      </c>
      <c r="AJ10" s="88">
        <f>IF(OR(AG10&lt;=0,AH10&lt;=0),"",LN(AG10)-LN(AH10))</f>
        <v/>
      </c>
      <c r="AK10" t="n">
        <v>5103</v>
      </c>
      <c r="AL10" t="n">
        <v>33121</v>
      </c>
      <c r="AM10" s="88">
        <f>IF(OR(AK10&lt;=0,AL10&lt;=0),"",LN(AK10)-LN(AL10))</f>
        <v/>
      </c>
      <c r="AN10" t="n">
        <v>1619</v>
      </c>
      <c r="AO10" t="n">
        <v>35285</v>
      </c>
      <c r="AP10" s="88">
        <f>IF(OR(AN10&lt;=0,AO10&lt;=0),"",LN(AN10)-LN(AO10))</f>
        <v/>
      </c>
      <c r="AQ10" t="n">
        <v>1645</v>
      </c>
      <c r="AR10" t="n">
        <v>36533</v>
      </c>
      <c r="AS10" s="88">
        <f>IF(OR(AQ10&lt;=0,AR10&lt;=0),"",LN(AQ10)-LN(AR10))</f>
        <v/>
      </c>
      <c r="AT10" t="n">
        <v>1628</v>
      </c>
      <c r="AU10" t="n">
        <v>36434</v>
      </c>
      <c r="AV10" t="n">
        <v>163</v>
      </c>
      <c r="AW10" t="n">
        <v>94</v>
      </c>
      <c r="AX10" t="n">
        <v>1593</v>
      </c>
      <c r="AY10" s="88">
        <f>IF(OR(AT10&lt;=0,AU10&lt;=0),"",LN(AT10)-LN(AU10))</f>
        <v/>
      </c>
      <c r="AZ10" s="46" t="n">
        <v>0</v>
      </c>
      <c r="BA10" s="46" t="n">
        <v>1.48</v>
      </c>
      <c r="BB10" s="47" t="n">
        <v>8.5</v>
      </c>
    </row>
    <row r="11">
      <c r="A11" s="48" t="n">
        <v>45301</v>
      </c>
      <c r="B11" s="49" t="n">
        <v>68179</v>
      </c>
      <c r="C11" s="50" t="n">
        <v>56.08</v>
      </c>
      <c r="D11" s="51" t="inlineStr">
        <is>
          <t>Bad</t>
        </is>
      </c>
      <c r="E11" s="52" t="n">
        <v>-1</v>
      </c>
      <c r="F11" s="52" t="n"/>
      <c r="G11" s="51" t="inlineStr">
        <is>
          <t>Wed</t>
        </is>
      </c>
      <c r="H11" s="51" t="inlineStr">
        <is>
          <t>Weekday</t>
        </is>
      </c>
      <c r="I11" s="51" t="inlineStr">
        <is>
          <t>Winter</t>
        </is>
      </c>
      <c r="J11" s="51" t="n">
        <v>25</v>
      </c>
      <c r="K11" s="51" t="inlineStr">
        <is>
          <t>강수량 공란</t>
        </is>
      </c>
      <c r="L11" s="46" t="n">
        <v>68.92</v>
      </c>
      <c r="M11" t="inlineStr">
        <is>
          <t>Moderate</t>
        </is>
      </c>
      <c r="N11" s="87" t="n">
        <v>25</v>
      </c>
      <c r="O11" s="87" t="n">
        <v>0</v>
      </c>
      <c r="P11" s="87" t="n">
        <v>0</v>
      </c>
      <c r="Q11" s="87" t="n">
        <v>0</v>
      </c>
      <c r="R11" s="87" t="n">
        <v>0</v>
      </c>
      <c r="S11" s="47" t="n">
        <v>1.7</v>
      </c>
      <c r="T11" s="47" t="n">
        <v>85.90000000000001</v>
      </c>
      <c r="U11" s="47" t="n"/>
      <c r="V11" s="87" t="n">
        <v>0</v>
      </c>
      <c r="W11" s="87" t="n">
        <v>0</v>
      </c>
      <c r="Y11" t="inlineStr">
        <is>
          <t>Jan</t>
        </is>
      </c>
      <c r="Z11" s="87" t="n">
        <v>2024</v>
      </c>
      <c r="AA11" s="47">
        <f>IF(F11="",0,F11)</f>
        <v/>
      </c>
      <c r="AB11" s="87">
        <f>IF(AA11&gt;=0.1,1,0)</f>
        <v/>
      </c>
      <c r="AC11" s="87" t="n">
        <v>0</v>
      </c>
      <c r="AD11" s="47">
        <f>IF(U11="",0,U11)</f>
        <v/>
      </c>
      <c r="AE11" s="87">
        <f>IF(OR(V11=1,W11=1),1,0)</f>
        <v/>
      </c>
      <c r="AF11" s="87" t="n">
        <v>0</v>
      </c>
      <c r="AG11" t="n">
        <v>3084</v>
      </c>
      <c r="AH11" t="n">
        <v>65095</v>
      </c>
      <c r="AI11" t="n">
        <v>0</v>
      </c>
      <c r="AJ11" s="88">
        <f>IF(OR(AG11&lt;=0,AH11&lt;=0),"",LN(AG11)-LN(AH11))</f>
        <v/>
      </c>
      <c r="AK11" t="n">
        <v>9355</v>
      </c>
      <c r="AL11" t="n">
        <v>58824</v>
      </c>
      <c r="AM11" s="88">
        <f>IF(OR(AK11&lt;=0,AL11&lt;=0),"",LN(AK11)-LN(AL11))</f>
        <v/>
      </c>
      <c r="AN11" t="n">
        <v>2940</v>
      </c>
      <c r="AO11" t="n">
        <v>62709</v>
      </c>
      <c r="AP11" s="88">
        <f>IF(OR(AN11&lt;=0,AO11&lt;=0),"",LN(AN11)-LN(AO11))</f>
        <v/>
      </c>
      <c r="AQ11" t="n">
        <v>3003</v>
      </c>
      <c r="AR11" t="n">
        <v>65095</v>
      </c>
      <c r="AS11" s="88">
        <f>IF(OR(AQ11&lt;=0,AR11&lt;=0),"",LN(AQ11)-LN(AR11))</f>
        <v/>
      </c>
      <c r="AT11" t="n">
        <v>3639</v>
      </c>
      <c r="AU11" t="n">
        <v>64212</v>
      </c>
      <c r="AV11" t="n">
        <v>331</v>
      </c>
      <c r="AW11" t="n">
        <v>237</v>
      </c>
      <c r="AX11" t="n">
        <v>2832</v>
      </c>
      <c r="AY11" s="88">
        <f>IF(OR(AT11&lt;=0,AU11&lt;=0),"",LN(AT11)-LN(AU11))</f>
        <v/>
      </c>
      <c r="AZ11" s="46" t="n">
        <v>5</v>
      </c>
      <c r="BA11" s="46" t="n">
        <v>7.81</v>
      </c>
      <c r="BB11" s="47" t="n">
        <v>3.1</v>
      </c>
    </row>
    <row r="12">
      <c r="A12" s="48" t="n">
        <v>45302</v>
      </c>
      <c r="B12" s="49" t="n">
        <v>81574</v>
      </c>
      <c r="C12" s="50" t="n">
        <v>50.28</v>
      </c>
      <c r="D12" s="51" t="inlineStr">
        <is>
          <t>Bad</t>
        </is>
      </c>
      <c r="E12" s="52" t="n">
        <v>1.7</v>
      </c>
      <c r="F12" s="52" t="n"/>
      <c r="G12" s="51" t="inlineStr">
        <is>
          <t>Thu</t>
        </is>
      </c>
      <c r="H12" s="51" t="inlineStr">
        <is>
          <t>Weekday</t>
        </is>
      </c>
      <c r="I12" s="51" t="inlineStr">
        <is>
          <t>Winter</t>
        </is>
      </c>
      <c r="J12" s="51" t="n">
        <v>25</v>
      </c>
      <c r="K12" s="51" t="inlineStr">
        <is>
          <t>강수량 공란</t>
        </is>
      </c>
      <c r="L12" s="46" t="n">
        <v>63.52</v>
      </c>
      <c r="M12" t="inlineStr">
        <is>
          <t>Moderate</t>
        </is>
      </c>
      <c r="N12" s="87" t="n">
        <v>25</v>
      </c>
      <c r="O12" s="87" t="n">
        <v>0</v>
      </c>
      <c r="P12" s="87" t="n">
        <v>0</v>
      </c>
      <c r="Q12" s="87" t="n">
        <v>0</v>
      </c>
      <c r="R12" s="87" t="n">
        <v>0</v>
      </c>
      <c r="S12" s="47" t="n">
        <v>1.9</v>
      </c>
      <c r="T12" s="47" t="n">
        <v>80.59999999999999</v>
      </c>
      <c r="U12" s="47" t="n"/>
      <c r="V12" s="87" t="n">
        <v>0</v>
      </c>
      <c r="W12" s="87" t="n">
        <v>0</v>
      </c>
      <c r="Y12" t="inlineStr">
        <is>
          <t>Jan</t>
        </is>
      </c>
      <c r="Z12" s="87" t="n">
        <v>2024</v>
      </c>
      <c r="AA12" s="47">
        <f>IF(F12="",0,F12)</f>
        <v/>
      </c>
      <c r="AB12" s="87">
        <f>IF(AA12&gt;=0.1,1,0)</f>
        <v/>
      </c>
      <c r="AC12" s="87" t="n">
        <v>0</v>
      </c>
      <c r="AD12" s="47">
        <f>IF(U12="",0,U12)</f>
        <v/>
      </c>
      <c r="AE12" s="87">
        <f>IF(OR(V12=1,W12=1),1,0)</f>
        <v/>
      </c>
      <c r="AF12" s="87" t="n">
        <v>0</v>
      </c>
      <c r="AG12" t="n">
        <v>3712</v>
      </c>
      <c r="AH12" t="n">
        <v>77862</v>
      </c>
      <c r="AI12" t="n">
        <v>0</v>
      </c>
      <c r="AJ12" s="88">
        <f>IF(OR(AG12&lt;=0,AH12&lt;=0),"",LN(AG12)-LN(AH12))</f>
        <v/>
      </c>
      <c r="AK12" t="n">
        <v>11010</v>
      </c>
      <c r="AL12" t="n">
        <v>70564</v>
      </c>
      <c r="AM12" s="88">
        <f>IF(OR(AK12&lt;=0,AL12&lt;=0),"",LN(AK12)-LN(AL12))</f>
        <v/>
      </c>
      <c r="AN12" t="n">
        <v>3534</v>
      </c>
      <c r="AO12" t="n">
        <v>75183</v>
      </c>
      <c r="AP12" s="88">
        <f>IF(OR(AN12&lt;=0,AO12&lt;=0),"",LN(AN12)-LN(AO12))</f>
        <v/>
      </c>
      <c r="AQ12" t="n">
        <v>3614</v>
      </c>
      <c r="AR12" t="n">
        <v>77862</v>
      </c>
      <c r="AS12" s="88">
        <f>IF(OR(AQ12&lt;=0,AR12&lt;=0),"",LN(AQ12)-LN(AR12))</f>
        <v/>
      </c>
      <c r="AT12" t="n">
        <v>4178</v>
      </c>
      <c r="AU12" t="n">
        <v>77001</v>
      </c>
      <c r="AV12" t="n">
        <v>395</v>
      </c>
      <c r="AW12" t="n">
        <v>314</v>
      </c>
      <c r="AX12" t="n">
        <v>3388</v>
      </c>
      <c r="AY12" s="88">
        <f>IF(OR(AT12&lt;=0,AU12&lt;=0),"",LN(AT12)-LN(AU12))</f>
        <v/>
      </c>
      <c r="AZ12" s="46" t="n">
        <v>0.4</v>
      </c>
      <c r="BA12" s="46" t="n">
        <v>4.58</v>
      </c>
      <c r="BB12" s="47" t="n">
        <v>7</v>
      </c>
    </row>
    <row r="13">
      <c r="A13" s="48" t="n">
        <v>45303</v>
      </c>
      <c r="B13" s="49" t="n">
        <v>83976</v>
      </c>
      <c r="C13" s="50" t="n">
        <v>33.88</v>
      </c>
      <c r="D13" s="51" t="inlineStr">
        <is>
          <t>Moderate</t>
        </is>
      </c>
      <c r="E13" s="52" t="n">
        <v>0.9</v>
      </c>
      <c r="F13" s="52" t="n"/>
      <c r="G13" s="51" t="inlineStr">
        <is>
          <t>Fri</t>
        </is>
      </c>
      <c r="H13" s="51" t="inlineStr">
        <is>
          <t>Weekday</t>
        </is>
      </c>
      <c r="I13" s="51" t="inlineStr">
        <is>
          <t>Winter</t>
        </is>
      </c>
      <c r="J13" s="51" t="n">
        <v>25</v>
      </c>
      <c r="K13" s="51" t="inlineStr">
        <is>
          <t>강수량 공란</t>
        </is>
      </c>
      <c r="L13" s="46" t="n">
        <v>53</v>
      </c>
      <c r="M13" t="inlineStr">
        <is>
          <t>Moderate</t>
        </is>
      </c>
      <c r="N13" s="87" t="n">
        <v>25</v>
      </c>
      <c r="O13" s="87" t="n">
        <v>0</v>
      </c>
      <c r="P13" s="87" t="n">
        <v>0</v>
      </c>
      <c r="Q13" s="87" t="n">
        <v>0</v>
      </c>
      <c r="R13" s="87" t="n">
        <v>0</v>
      </c>
      <c r="S13" s="47" t="n">
        <v>2.3</v>
      </c>
      <c r="T13" s="47" t="n">
        <v>61.6</v>
      </c>
      <c r="U13" s="47" t="n"/>
      <c r="V13" s="87" t="n">
        <v>0</v>
      </c>
      <c r="W13" s="87" t="n">
        <v>0</v>
      </c>
      <c r="Y13" t="inlineStr">
        <is>
          <t>Jan</t>
        </is>
      </c>
      <c r="Z13" s="87" t="n">
        <v>2024</v>
      </c>
      <c r="AA13" s="47">
        <f>IF(F13="",0,F13)</f>
        <v/>
      </c>
      <c r="AB13" s="87">
        <f>IF(AA13&gt;=0.1,1,0)</f>
        <v/>
      </c>
      <c r="AC13" s="87" t="n">
        <v>0</v>
      </c>
      <c r="AD13" s="47">
        <f>IF(U13="",0,U13)</f>
        <v/>
      </c>
      <c r="AE13" s="87">
        <f>IF(OR(V13=1,W13=1),1,0)</f>
        <v/>
      </c>
      <c r="AF13" s="87" t="n">
        <v>0</v>
      </c>
      <c r="AG13" t="n">
        <v>3896</v>
      </c>
      <c r="AH13" t="n">
        <v>80080</v>
      </c>
      <c r="AI13" t="n">
        <v>0</v>
      </c>
      <c r="AJ13" s="88">
        <f>IF(OR(AG13&lt;=0,AH13&lt;=0),"",LN(AG13)-LN(AH13))</f>
        <v/>
      </c>
      <c r="AK13" t="n">
        <v>11363</v>
      </c>
      <c r="AL13" t="n">
        <v>72613</v>
      </c>
      <c r="AM13" s="88">
        <f>IF(OR(AK13&lt;=0,AL13&lt;=0),"",LN(AK13)-LN(AL13))</f>
        <v/>
      </c>
      <c r="AN13" t="n">
        <v>3701</v>
      </c>
      <c r="AO13" t="n">
        <v>77318</v>
      </c>
      <c r="AP13" s="88">
        <f>IF(OR(AN13&lt;=0,AO13&lt;=0),"",LN(AN13)-LN(AO13))</f>
        <v/>
      </c>
      <c r="AQ13" t="n">
        <v>3811</v>
      </c>
      <c r="AR13" t="n">
        <v>80080</v>
      </c>
      <c r="AS13" s="88">
        <f>IF(OR(AQ13&lt;=0,AR13&lt;=0),"",LN(AQ13)-LN(AR13))</f>
        <v/>
      </c>
      <c r="AT13" t="n">
        <v>4514</v>
      </c>
      <c r="AU13" t="n">
        <v>79045</v>
      </c>
      <c r="AV13" t="n">
        <v>420</v>
      </c>
      <c r="AW13" t="n">
        <v>309</v>
      </c>
      <c r="AX13" t="n">
        <v>3561</v>
      </c>
      <c r="AY13" s="88">
        <f>IF(OR(AT13&lt;=0,AU13&lt;=0),"",LN(AT13)-LN(AU13))</f>
        <v/>
      </c>
      <c r="AZ13" s="46" t="n">
        <v>8.9</v>
      </c>
      <c r="BA13" s="46" t="n">
        <v>11.77</v>
      </c>
      <c r="BB13" s="47" t="n">
        <v>0</v>
      </c>
    </row>
    <row r="14">
      <c r="A14" s="48" t="n">
        <v>45304</v>
      </c>
      <c r="B14" s="49" t="n">
        <v>64103</v>
      </c>
      <c r="C14" s="50" t="n">
        <v>12.64</v>
      </c>
      <c r="D14" s="51" t="inlineStr">
        <is>
          <t>Good</t>
        </is>
      </c>
      <c r="E14" s="52" t="n">
        <v>0.4</v>
      </c>
      <c r="F14" s="52" t="n"/>
      <c r="G14" s="51" t="inlineStr">
        <is>
          <t>Sat</t>
        </is>
      </c>
      <c r="H14" s="51" t="inlineStr">
        <is>
          <t>Weekend</t>
        </is>
      </c>
      <c r="I14" s="51" t="inlineStr">
        <is>
          <t>Winter</t>
        </is>
      </c>
      <c r="J14" s="51" t="n">
        <v>25</v>
      </c>
      <c r="K14" s="51" t="inlineStr">
        <is>
          <t>강수량 공란</t>
        </is>
      </c>
      <c r="L14" s="46" t="n">
        <v>25.12</v>
      </c>
      <c r="M14" t="inlineStr">
        <is>
          <t>Good</t>
        </is>
      </c>
      <c r="N14" s="87" t="n">
        <v>25</v>
      </c>
      <c r="O14" s="87" t="n">
        <v>0</v>
      </c>
      <c r="P14" s="87" t="n">
        <v>0</v>
      </c>
      <c r="Q14" s="87" t="n">
        <v>0</v>
      </c>
      <c r="R14" s="87" t="n">
        <v>0</v>
      </c>
      <c r="S14" s="47" t="n">
        <v>1.4</v>
      </c>
      <c r="T14" s="47" t="n">
        <v>44.3</v>
      </c>
      <c r="U14" s="47" t="n"/>
      <c r="V14" s="87" t="n">
        <v>1</v>
      </c>
      <c r="W14" s="87" t="n">
        <v>0</v>
      </c>
      <c r="Y14" t="inlineStr">
        <is>
          <t>Jan</t>
        </is>
      </c>
      <c r="Z14" s="87" t="n">
        <v>2024</v>
      </c>
      <c r="AA14" s="47">
        <f>IF(F14="",0,F14)</f>
        <v/>
      </c>
      <c r="AB14" s="87">
        <f>IF(AA14&gt;=0.1,1,0)</f>
        <v/>
      </c>
      <c r="AC14" s="87" t="n">
        <v>0</v>
      </c>
      <c r="AD14" s="47">
        <f>IF(U14="",0,U14)</f>
        <v/>
      </c>
      <c r="AE14" s="87">
        <f>IF(OR(V14=1,W14=1),1,0)</f>
        <v/>
      </c>
      <c r="AF14" s="87" t="n">
        <v>0</v>
      </c>
      <c r="AG14" t="n">
        <v>3506</v>
      </c>
      <c r="AH14" t="n">
        <v>60597</v>
      </c>
      <c r="AI14" t="n">
        <v>0</v>
      </c>
      <c r="AJ14" s="88">
        <f>IF(OR(AG14&lt;=0,AH14&lt;=0),"",LN(AG14)-LN(AH14))</f>
        <v/>
      </c>
      <c r="AK14" t="n">
        <v>9188</v>
      </c>
      <c r="AL14" t="n">
        <v>54915</v>
      </c>
      <c r="AM14" s="88">
        <f>IF(OR(AK14&lt;=0,AL14&lt;=0),"",LN(AK14)-LN(AL14))</f>
        <v/>
      </c>
      <c r="AN14" t="n">
        <v>3302</v>
      </c>
      <c r="AO14" t="n">
        <v>58576</v>
      </c>
      <c r="AP14" s="88">
        <f>IF(OR(AN14&lt;=0,AO14&lt;=0),"",LN(AN14)-LN(AO14))</f>
        <v/>
      </c>
      <c r="AQ14" t="n">
        <v>3419</v>
      </c>
      <c r="AR14" t="n">
        <v>60597</v>
      </c>
      <c r="AS14" s="88">
        <f>IF(OR(AQ14&lt;=0,AR14&lt;=0),"",LN(AQ14)-LN(AR14))</f>
        <v/>
      </c>
      <c r="AT14" t="n">
        <v>4259</v>
      </c>
      <c r="AU14" t="n">
        <v>59534</v>
      </c>
      <c r="AV14" t="n">
        <v>308</v>
      </c>
      <c r="AW14" t="n">
        <v>394</v>
      </c>
      <c r="AX14" t="n">
        <v>3089</v>
      </c>
      <c r="AY14" s="88">
        <f>IF(OR(AT14&lt;=0,AU14&lt;=0),"",LN(AT14)-LN(AU14))</f>
        <v/>
      </c>
      <c r="AZ14" s="46" t="n">
        <v>9.1</v>
      </c>
      <c r="BA14" s="46" t="n">
        <v>12.05</v>
      </c>
      <c r="BB14" s="47" t="n">
        <v>0.3</v>
      </c>
    </row>
    <row r="15">
      <c r="A15" s="48" t="n">
        <v>45305</v>
      </c>
      <c r="B15" s="49" t="n">
        <v>29011</v>
      </c>
      <c r="C15" s="50" t="n">
        <v>23.08</v>
      </c>
      <c r="D15" s="51" t="inlineStr">
        <is>
          <t>Moderate</t>
        </is>
      </c>
      <c r="E15" s="52" t="n">
        <v>-0.6</v>
      </c>
      <c r="F15" s="52" t="n">
        <v>3.1</v>
      </c>
      <c r="G15" s="51" t="inlineStr">
        <is>
          <t>Sun</t>
        </is>
      </c>
      <c r="H15" s="51" t="inlineStr">
        <is>
          <t>Weekend</t>
        </is>
      </c>
      <c r="I15" s="51" t="inlineStr">
        <is>
          <t>Winter</t>
        </is>
      </c>
      <c r="J15" s="51" t="n">
        <v>25</v>
      </c>
      <c r="K15" s="51" t="inlineStr">
        <is>
          <t>OK</t>
        </is>
      </c>
      <c r="L15" s="46" t="n">
        <v>32.56</v>
      </c>
      <c r="M15" t="inlineStr">
        <is>
          <t>Moderate</t>
        </is>
      </c>
      <c r="N15" s="87" t="n">
        <v>25</v>
      </c>
      <c r="O15" s="87" t="n">
        <v>0</v>
      </c>
      <c r="P15" s="87" t="n">
        <v>0</v>
      </c>
      <c r="Q15" s="87" t="n">
        <v>0</v>
      </c>
      <c r="R15" s="87" t="n">
        <v>0</v>
      </c>
      <c r="S15" s="47" t="n">
        <v>2.1</v>
      </c>
      <c r="T15" s="47" t="n">
        <v>74.5</v>
      </c>
      <c r="U15" s="47" t="n"/>
      <c r="V15" s="87" t="n">
        <v>1</v>
      </c>
      <c r="W15" s="87" t="n">
        <v>0</v>
      </c>
      <c r="Y15" t="inlineStr">
        <is>
          <t>Jan</t>
        </is>
      </c>
      <c r="Z15" s="87" t="n">
        <v>2024</v>
      </c>
      <c r="AA15" s="47">
        <f>IF(F15="",0,F15)</f>
        <v/>
      </c>
      <c r="AB15" s="87">
        <f>IF(AA15&gt;=0.1,1,0)</f>
        <v/>
      </c>
      <c r="AC15" s="87" t="n">
        <v>0</v>
      </c>
      <c r="AD15" s="47">
        <f>IF(U15="",0,U15)</f>
        <v/>
      </c>
      <c r="AE15" s="87">
        <f>IF(OR(V15=1,W15=1),1,0)</f>
        <v/>
      </c>
      <c r="AF15" s="87" t="n">
        <v>0</v>
      </c>
      <c r="AG15" t="n">
        <v>1404</v>
      </c>
      <c r="AH15" t="n">
        <v>27607</v>
      </c>
      <c r="AI15" t="n">
        <v>0</v>
      </c>
      <c r="AJ15" s="88">
        <f>IF(OR(AG15&lt;=0,AH15&lt;=0),"",LN(AG15)-LN(AH15))</f>
        <v/>
      </c>
      <c r="AK15" t="n">
        <v>3881</v>
      </c>
      <c r="AL15" t="n">
        <v>25130</v>
      </c>
      <c r="AM15" s="88">
        <f>IF(OR(AK15&lt;=0,AL15&lt;=0),"",LN(AK15)-LN(AL15))</f>
        <v/>
      </c>
      <c r="AN15" t="n">
        <v>1330</v>
      </c>
      <c r="AO15" t="n">
        <v>26607</v>
      </c>
      <c r="AP15" s="88">
        <f>IF(OR(AN15&lt;=0,AO15&lt;=0),"",LN(AN15)-LN(AO15))</f>
        <v/>
      </c>
      <c r="AQ15" t="n">
        <v>1360</v>
      </c>
      <c r="AR15" t="n">
        <v>27607</v>
      </c>
      <c r="AS15" s="88">
        <f>IF(OR(AQ15&lt;=0,AR15&lt;=0),"",LN(AQ15)-LN(AR15))</f>
        <v/>
      </c>
      <c r="AT15" t="n">
        <v>2089</v>
      </c>
      <c r="AU15" t="n">
        <v>26818</v>
      </c>
      <c r="AV15" t="n">
        <v>105</v>
      </c>
      <c r="AW15" t="n">
        <v>152</v>
      </c>
      <c r="AX15" t="n">
        <v>1245</v>
      </c>
      <c r="AY15" s="88">
        <f>IF(OR(AT15&lt;=0,AU15&lt;=0),"",LN(AT15)-LN(AU15))</f>
        <v/>
      </c>
      <c r="AZ15" s="46" t="n">
        <v>0.7</v>
      </c>
      <c r="BA15" s="46" t="n">
        <v>1.28</v>
      </c>
      <c r="BB15" s="47" t="n">
        <v>5.8</v>
      </c>
    </row>
    <row r="16">
      <c r="A16" s="48" t="n">
        <v>45306</v>
      </c>
      <c r="B16" s="49" t="n">
        <v>69542</v>
      </c>
      <c r="C16" s="50" t="n">
        <v>9.800000000000001</v>
      </c>
      <c r="D16" s="51" t="inlineStr">
        <is>
          <t>Good</t>
        </is>
      </c>
      <c r="E16" s="52" t="n">
        <v>-3.7</v>
      </c>
      <c r="F16" s="52" t="n"/>
      <c r="G16" s="51" t="inlineStr">
        <is>
          <t>Mon</t>
        </is>
      </c>
      <c r="H16" s="51" t="inlineStr">
        <is>
          <t>Weekday</t>
        </is>
      </c>
      <c r="I16" s="51" t="inlineStr">
        <is>
          <t>Winter</t>
        </is>
      </c>
      <c r="J16" s="51" t="n">
        <v>25</v>
      </c>
      <c r="K16" s="51" t="inlineStr">
        <is>
          <t>강수량 공란</t>
        </is>
      </c>
      <c r="L16" s="46" t="n">
        <v>22.04</v>
      </c>
      <c r="M16" t="inlineStr">
        <is>
          <t>Good</t>
        </is>
      </c>
      <c r="N16" s="87" t="n">
        <v>25</v>
      </c>
      <c r="O16" s="87" t="n">
        <v>0</v>
      </c>
      <c r="P16" s="87" t="n">
        <v>0</v>
      </c>
      <c r="Q16" s="87" t="n">
        <v>0</v>
      </c>
      <c r="R16" s="87" t="n">
        <v>0</v>
      </c>
      <c r="S16" s="47" t="n">
        <v>2.5</v>
      </c>
      <c r="T16" s="47" t="n">
        <v>51.3</v>
      </c>
      <c r="U16" s="47" t="n"/>
      <c r="V16" s="87" t="n">
        <v>0</v>
      </c>
      <c r="W16" s="87" t="n">
        <v>0</v>
      </c>
      <c r="Y16" t="inlineStr">
        <is>
          <t>Jan</t>
        </is>
      </c>
      <c r="Z16" s="87" t="n">
        <v>2024</v>
      </c>
      <c r="AA16" s="47">
        <f>IF(F16="",0,F16)</f>
        <v/>
      </c>
      <c r="AB16" s="87">
        <f>IF(AA16&gt;=0.1,1,0)</f>
        <v/>
      </c>
      <c r="AC16" s="87" t="n">
        <v>0</v>
      </c>
      <c r="AD16" s="47">
        <f>IF(U16="",0,U16)</f>
        <v/>
      </c>
      <c r="AE16" s="87">
        <f>IF(OR(V16=1,W16=1),1,0)</f>
        <v/>
      </c>
      <c r="AF16" s="87" t="n">
        <v>0</v>
      </c>
      <c r="AG16" t="n">
        <v>3048</v>
      </c>
      <c r="AH16" t="n">
        <v>66494</v>
      </c>
      <c r="AI16" t="n">
        <v>0</v>
      </c>
      <c r="AJ16" s="88">
        <f>IF(OR(AG16&lt;=0,AH16&lt;=0),"",LN(AG16)-LN(AH16))</f>
        <v/>
      </c>
      <c r="AK16" t="n">
        <v>9228</v>
      </c>
      <c r="AL16" t="n">
        <v>60314</v>
      </c>
      <c r="AM16" s="88">
        <f>IF(OR(AK16&lt;=0,AL16&lt;=0),"",LN(AK16)-LN(AL16))</f>
        <v/>
      </c>
      <c r="AN16" t="n">
        <v>2924</v>
      </c>
      <c r="AO16" t="n">
        <v>64151</v>
      </c>
      <c r="AP16" s="88">
        <f>IF(OR(AN16&lt;=0,AO16&lt;=0),"",LN(AN16)-LN(AO16))</f>
        <v/>
      </c>
      <c r="AQ16" t="n">
        <v>2972</v>
      </c>
      <c r="AR16" t="n">
        <v>66494</v>
      </c>
      <c r="AS16" s="88">
        <f>IF(OR(AQ16&lt;=0,AR16&lt;=0),"",LN(AQ16)-LN(AR16))</f>
        <v/>
      </c>
      <c r="AT16" t="n">
        <v>3794</v>
      </c>
      <c r="AU16" t="n">
        <v>65412</v>
      </c>
      <c r="AV16" t="n">
        <v>338</v>
      </c>
      <c r="AW16" t="n">
        <v>217</v>
      </c>
      <c r="AX16" t="n">
        <v>2816</v>
      </c>
      <c r="AY16" s="88">
        <f>IF(OR(AT16&lt;=0,AU16&lt;=0),"",LN(AT16)-LN(AU16))</f>
        <v/>
      </c>
      <c r="AZ16" s="46" t="n">
        <v>9.199999999999999</v>
      </c>
      <c r="BA16" s="46" t="n">
        <v>12.82</v>
      </c>
      <c r="BB16" s="47" t="n">
        <v>0</v>
      </c>
    </row>
    <row r="17">
      <c r="A17" s="48" t="n">
        <v>45307</v>
      </c>
      <c r="B17" s="49" t="n">
        <v>78770</v>
      </c>
      <c r="C17" s="50" t="n">
        <v>17.6</v>
      </c>
      <c r="D17" s="51" t="inlineStr">
        <is>
          <t>Moderate</t>
        </is>
      </c>
      <c r="E17" s="52" t="n">
        <v>-2.1</v>
      </c>
      <c r="F17" s="52" t="n"/>
      <c r="G17" s="51" t="inlineStr">
        <is>
          <t>Tue</t>
        </is>
      </c>
      <c r="H17" s="51" t="inlineStr">
        <is>
          <t>Weekday</t>
        </is>
      </c>
      <c r="I17" s="51" t="inlineStr">
        <is>
          <t>Winter</t>
        </is>
      </c>
      <c r="J17" s="51" t="n">
        <v>25</v>
      </c>
      <c r="K17" s="51" t="inlineStr">
        <is>
          <t>강수량 공란</t>
        </is>
      </c>
      <c r="L17" s="46" t="n">
        <v>31.52</v>
      </c>
      <c r="M17" t="inlineStr">
        <is>
          <t>Moderate</t>
        </is>
      </c>
      <c r="N17" s="87" t="n">
        <v>25</v>
      </c>
      <c r="O17" s="87" t="n">
        <v>0</v>
      </c>
      <c r="P17" s="87" t="n">
        <v>0</v>
      </c>
      <c r="Q17" s="87" t="n">
        <v>0</v>
      </c>
      <c r="R17" s="87" t="n">
        <v>0</v>
      </c>
      <c r="S17" s="47" t="n">
        <v>1.5</v>
      </c>
      <c r="T17" s="47" t="n">
        <v>49.8</v>
      </c>
      <c r="U17" s="47" t="n"/>
      <c r="V17" s="87" t="n">
        <v>0</v>
      </c>
      <c r="W17" s="87" t="n">
        <v>0</v>
      </c>
      <c r="Y17" t="inlineStr">
        <is>
          <t>Jan</t>
        </is>
      </c>
      <c r="Z17" s="87" t="n">
        <v>2024</v>
      </c>
      <c r="AA17" s="47">
        <f>IF(F17="",0,F17)</f>
        <v/>
      </c>
      <c r="AB17" s="87">
        <f>IF(AA17&gt;=0.1,1,0)</f>
        <v/>
      </c>
      <c r="AC17" s="87" t="n">
        <v>0</v>
      </c>
      <c r="AD17" s="47">
        <f>IF(U17="",0,U17)</f>
        <v/>
      </c>
      <c r="AE17" s="87">
        <f>IF(OR(V17=1,W17=1),1,0)</f>
        <v/>
      </c>
      <c r="AF17" s="87" t="n">
        <v>0</v>
      </c>
      <c r="AG17" t="n">
        <v>3508</v>
      </c>
      <c r="AH17" t="n">
        <v>75262</v>
      </c>
      <c r="AI17" t="n">
        <v>0</v>
      </c>
      <c r="AJ17" s="88">
        <f>IF(OR(AG17&lt;=0,AH17&lt;=0),"",LN(AG17)-LN(AH17))</f>
        <v/>
      </c>
      <c r="AK17" t="n">
        <v>10631</v>
      </c>
      <c r="AL17" t="n">
        <v>68139</v>
      </c>
      <c r="AM17" s="88">
        <f>IF(OR(AK17&lt;=0,AL17&lt;=0),"",LN(AK17)-LN(AL17))</f>
        <v/>
      </c>
      <c r="AN17" t="n">
        <v>3331</v>
      </c>
      <c r="AO17" t="n">
        <v>72664</v>
      </c>
      <c r="AP17" s="88">
        <f>IF(OR(AN17&lt;=0,AO17&lt;=0),"",LN(AN17)-LN(AO17))</f>
        <v/>
      </c>
      <c r="AQ17" t="n">
        <v>3432</v>
      </c>
      <c r="AR17" t="n">
        <v>75262</v>
      </c>
      <c r="AS17" s="88">
        <f>IF(OR(AQ17&lt;=0,AR17&lt;=0),"",LN(AQ17)-LN(AR17))</f>
        <v/>
      </c>
      <c r="AT17" t="n">
        <v>4130</v>
      </c>
      <c r="AU17" t="n">
        <v>74295</v>
      </c>
      <c r="AV17" t="n">
        <v>347</v>
      </c>
      <c r="AW17" t="n">
        <v>259</v>
      </c>
      <c r="AX17" t="n">
        <v>3229</v>
      </c>
      <c r="AY17" s="88">
        <f>IF(OR(AT17&lt;=0,AU17&lt;=0),"",LN(AT17)-LN(AU17))</f>
        <v/>
      </c>
      <c r="AZ17" s="46" t="n">
        <v>8.300000000000001</v>
      </c>
      <c r="BA17" s="46" t="n">
        <v>11.86</v>
      </c>
      <c r="BB17" s="47" t="n">
        <v>2.3</v>
      </c>
    </row>
    <row r="18">
      <c r="A18" s="48" t="n">
        <v>45308</v>
      </c>
      <c r="B18" s="49" t="n">
        <v>36748</v>
      </c>
      <c r="C18" s="50" t="n">
        <v>26.8</v>
      </c>
      <c r="D18" s="51" t="inlineStr">
        <is>
          <t>Moderate</t>
        </is>
      </c>
      <c r="E18" s="52" t="n">
        <v>0.6</v>
      </c>
      <c r="F18" s="52" t="n">
        <v>9.699999999999999</v>
      </c>
      <c r="G18" s="51" t="inlineStr">
        <is>
          <t>Wed</t>
        </is>
      </c>
      <c r="H18" s="51" t="inlineStr">
        <is>
          <t>Weekday</t>
        </is>
      </c>
      <c r="I18" s="51" t="inlineStr">
        <is>
          <t>Winter</t>
        </is>
      </c>
      <c r="J18" s="51" t="n">
        <v>25</v>
      </c>
      <c r="K18" s="51" t="inlineStr">
        <is>
          <t>OK</t>
        </is>
      </c>
      <c r="L18" s="46" t="n">
        <v>36.8</v>
      </c>
      <c r="M18" t="inlineStr">
        <is>
          <t>Moderate</t>
        </is>
      </c>
      <c r="N18" s="87" t="n">
        <v>25</v>
      </c>
      <c r="O18" s="87" t="n">
        <v>0</v>
      </c>
      <c r="P18" s="87" t="n">
        <v>0</v>
      </c>
      <c r="Q18" s="87" t="n">
        <v>0</v>
      </c>
      <c r="R18" s="87" t="n">
        <v>0</v>
      </c>
      <c r="S18" s="47" t="n">
        <v>2</v>
      </c>
      <c r="T18" s="47" t="n">
        <v>78.5</v>
      </c>
      <c r="U18" s="47" t="n">
        <v>2.3</v>
      </c>
      <c r="V18" s="87" t="n">
        <v>0</v>
      </c>
      <c r="W18" s="87" t="n">
        <v>0</v>
      </c>
      <c r="Y18" t="inlineStr">
        <is>
          <t>Jan</t>
        </is>
      </c>
      <c r="Z18" s="87" t="n">
        <v>2024</v>
      </c>
      <c r="AA18" s="47">
        <f>IF(F18="",0,F18)</f>
        <v/>
      </c>
      <c r="AB18" s="87">
        <f>IF(AA18&gt;=0.1,1,0)</f>
        <v/>
      </c>
      <c r="AC18" s="87" t="n">
        <v>0</v>
      </c>
      <c r="AD18" s="47">
        <f>IF(U18="",0,U18)</f>
        <v/>
      </c>
      <c r="AE18" s="87">
        <f>IF(OR(V18=1,W18=1),1,0)</f>
        <v/>
      </c>
      <c r="AF18" s="87" t="n">
        <v>0</v>
      </c>
      <c r="AG18" t="n">
        <v>1713</v>
      </c>
      <c r="AH18" t="n">
        <v>35035</v>
      </c>
      <c r="AI18" t="n">
        <v>0</v>
      </c>
      <c r="AJ18" s="88">
        <f>IF(OR(AG18&lt;=0,AH18&lt;=0),"",LN(AG18)-LN(AH18))</f>
        <v/>
      </c>
      <c r="AK18" t="n">
        <v>4649</v>
      </c>
      <c r="AL18" t="n">
        <v>32099</v>
      </c>
      <c r="AM18" s="88">
        <f>IF(OR(AK18&lt;=0,AL18&lt;=0),"",LN(AK18)-LN(AL18))</f>
        <v/>
      </c>
      <c r="AN18" t="n">
        <v>1634</v>
      </c>
      <c r="AO18" t="n">
        <v>33798</v>
      </c>
      <c r="AP18" s="88">
        <f>IF(OR(AN18&lt;=0,AO18&lt;=0),"",LN(AN18)-LN(AO18))</f>
        <v/>
      </c>
      <c r="AQ18" t="n">
        <v>1658</v>
      </c>
      <c r="AR18" t="n">
        <v>35035</v>
      </c>
      <c r="AS18" s="88">
        <f>IF(OR(AQ18&lt;=0,AR18&lt;=0),"",LN(AQ18)-LN(AR18))</f>
        <v/>
      </c>
      <c r="AT18" t="n">
        <v>1501</v>
      </c>
      <c r="AU18" t="n">
        <v>35093</v>
      </c>
      <c r="AV18" t="n">
        <v>156</v>
      </c>
      <c r="AW18" t="n">
        <v>80</v>
      </c>
      <c r="AX18" t="n">
        <v>1630</v>
      </c>
      <c r="AY18" s="88">
        <f>IF(OR(AT18&lt;=0,AU18&lt;=0),"",LN(AT18)-LN(AU18))</f>
        <v/>
      </c>
      <c r="AZ18" s="46" t="n">
        <v>0</v>
      </c>
      <c r="BA18" s="46" t="n">
        <v>1.9</v>
      </c>
      <c r="BB18" s="47" t="n">
        <v>9.4</v>
      </c>
    </row>
    <row r="19">
      <c r="A19" s="48" t="n">
        <v>45309</v>
      </c>
      <c r="B19" s="49" t="n">
        <v>75776</v>
      </c>
      <c r="C19" s="50" t="n">
        <v>20.24</v>
      </c>
      <c r="D19" s="51" t="inlineStr">
        <is>
          <t>Moderate</t>
        </is>
      </c>
      <c r="E19" s="52" t="n">
        <v>4.5</v>
      </c>
      <c r="F19" s="52" t="n">
        <v>0.5</v>
      </c>
      <c r="G19" s="51" t="inlineStr">
        <is>
          <t>Thu</t>
        </is>
      </c>
      <c r="H19" s="51" t="inlineStr">
        <is>
          <t>Weekday</t>
        </is>
      </c>
      <c r="I19" s="51" t="inlineStr">
        <is>
          <t>Winter</t>
        </is>
      </c>
      <c r="J19" s="51" t="n">
        <v>25</v>
      </c>
      <c r="K19" s="51" t="inlineStr">
        <is>
          <t>OK</t>
        </is>
      </c>
      <c r="L19" s="46" t="n">
        <v>25.64</v>
      </c>
      <c r="M19" t="inlineStr">
        <is>
          <t>Good</t>
        </is>
      </c>
      <c r="N19" s="87" t="n">
        <v>25</v>
      </c>
      <c r="O19" s="87" t="n">
        <v>0</v>
      </c>
      <c r="P19" s="87" t="n">
        <v>0</v>
      </c>
      <c r="Q19" s="87" t="n">
        <v>0</v>
      </c>
      <c r="R19" s="87" t="n">
        <v>0</v>
      </c>
      <c r="S19" s="47" t="n">
        <v>2.4</v>
      </c>
      <c r="T19" s="47" t="n">
        <v>81.5</v>
      </c>
      <c r="U19" s="47" t="n"/>
      <c r="V19" s="87" t="n">
        <v>0</v>
      </c>
      <c r="W19" s="87" t="n">
        <v>0</v>
      </c>
      <c r="Y19" t="inlineStr">
        <is>
          <t>Jan</t>
        </is>
      </c>
      <c r="Z19" s="87" t="n">
        <v>2024</v>
      </c>
      <c r="AA19" s="47">
        <f>IF(F19="",0,F19)</f>
        <v/>
      </c>
      <c r="AB19" s="87">
        <f>IF(AA19&gt;=0.1,1,0)</f>
        <v/>
      </c>
      <c r="AC19" s="87" t="n">
        <v>0</v>
      </c>
      <c r="AD19" s="47">
        <f>IF(U19="",0,U19)</f>
        <v/>
      </c>
      <c r="AE19" s="87">
        <f>IF(OR(V19=1,W19=1),1,0)</f>
        <v/>
      </c>
      <c r="AF19" s="87" t="n">
        <v>0</v>
      </c>
      <c r="AG19" t="n">
        <v>3699</v>
      </c>
      <c r="AH19" t="n">
        <v>72077</v>
      </c>
      <c r="AI19" t="n">
        <v>0</v>
      </c>
      <c r="AJ19" s="88">
        <f>IF(OR(AG19&lt;=0,AH19&lt;=0),"",LN(AG19)-LN(AH19))</f>
        <v/>
      </c>
      <c r="AK19" t="n">
        <v>10826</v>
      </c>
      <c r="AL19" t="n">
        <v>64950</v>
      </c>
      <c r="AM19" s="88">
        <f>IF(OR(AK19&lt;=0,AL19&lt;=0),"",LN(AK19)-LN(AL19))</f>
        <v/>
      </c>
      <c r="AN19" t="n">
        <v>3502</v>
      </c>
      <c r="AO19" t="n">
        <v>69496</v>
      </c>
      <c r="AP19" s="88">
        <f>IF(OR(AN19&lt;=0,AO19&lt;=0),"",LN(AN19)-LN(AO19))</f>
        <v/>
      </c>
      <c r="AQ19" t="n">
        <v>3598</v>
      </c>
      <c r="AR19" t="n">
        <v>72077</v>
      </c>
      <c r="AS19" s="88">
        <f>IF(OR(AQ19&lt;=0,AR19&lt;=0),"",LN(AQ19)-LN(AR19))</f>
        <v/>
      </c>
      <c r="AT19" t="n">
        <v>4288</v>
      </c>
      <c r="AU19" t="n">
        <v>71052</v>
      </c>
      <c r="AV19" t="n">
        <v>441</v>
      </c>
      <c r="AW19" t="n">
        <v>347</v>
      </c>
      <c r="AX19" t="n">
        <v>3323</v>
      </c>
      <c r="AY19" s="88">
        <f>IF(OR(AT19&lt;=0,AU19&lt;=0),"",LN(AT19)-LN(AU19))</f>
        <v/>
      </c>
      <c r="AZ19" s="46" t="n">
        <v>6.3</v>
      </c>
      <c r="BA19" s="46" t="n">
        <v>9.859999999999999</v>
      </c>
      <c r="BB19" s="47" t="n">
        <v>4.5</v>
      </c>
    </row>
    <row r="20">
      <c r="A20" s="48" t="n">
        <v>45310</v>
      </c>
      <c r="B20" s="49" t="n">
        <v>90529</v>
      </c>
      <c r="C20" s="50" t="n">
        <v>8.48</v>
      </c>
      <c r="D20" s="51" t="inlineStr">
        <is>
          <t>Good</t>
        </is>
      </c>
      <c r="E20" s="52" t="n">
        <v>5.4</v>
      </c>
      <c r="F20" s="52" t="n"/>
      <c r="G20" s="51" t="inlineStr">
        <is>
          <t>Fri</t>
        </is>
      </c>
      <c r="H20" s="51" t="inlineStr">
        <is>
          <t>Weekday</t>
        </is>
      </c>
      <c r="I20" s="51" t="inlineStr">
        <is>
          <t>Winter</t>
        </is>
      </c>
      <c r="J20" s="51" t="n">
        <v>25</v>
      </c>
      <c r="K20" s="51" t="inlineStr">
        <is>
          <t>강수량 공란</t>
        </is>
      </c>
      <c r="L20" s="46" t="n">
        <v>14.16</v>
      </c>
      <c r="M20" t="inlineStr">
        <is>
          <t>Good</t>
        </is>
      </c>
      <c r="N20" s="87" t="n">
        <v>25</v>
      </c>
      <c r="O20" s="87" t="n">
        <v>0</v>
      </c>
      <c r="P20" s="87" t="n">
        <v>0</v>
      </c>
      <c r="Q20" s="87" t="n">
        <v>0</v>
      </c>
      <c r="R20" s="87" t="n">
        <v>0</v>
      </c>
      <c r="S20" s="47" t="n">
        <v>4.5</v>
      </c>
      <c r="T20" s="47" t="n">
        <v>65.40000000000001</v>
      </c>
      <c r="U20" s="47" t="n"/>
      <c r="V20" s="87" t="n">
        <v>0</v>
      </c>
      <c r="W20" s="87" t="n">
        <v>0</v>
      </c>
      <c r="Y20" t="inlineStr">
        <is>
          <t>Jan</t>
        </is>
      </c>
      <c r="Z20" s="87" t="n">
        <v>2024</v>
      </c>
      <c r="AA20" s="47">
        <f>IF(F20="",0,F20)</f>
        <v/>
      </c>
      <c r="AB20" s="87">
        <f>IF(AA20&gt;=0.1,1,0)</f>
        <v/>
      </c>
      <c r="AC20" s="87" t="n">
        <v>0</v>
      </c>
      <c r="AD20" s="47">
        <f>IF(U20="",0,U20)</f>
        <v/>
      </c>
      <c r="AE20" s="87">
        <f>IF(OR(V20=1,W20=1),1,0)</f>
        <v/>
      </c>
      <c r="AF20" s="87" t="n">
        <v>0</v>
      </c>
      <c r="AG20" t="n">
        <v>4328</v>
      </c>
      <c r="AH20" t="n">
        <v>86201</v>
      </c>
      <c r="AI20" t="n">
        <v>0</v>
      </c>
      <c r="AJ20" s="88">
        <f>IF(OR(AG20&lt;=0,AH20&lt;=0),"",LN(AG20)-LN(AH20))</f>
        <v/>
      </c>
      <c r="AK20" t="n">
        <v>12703</v>
      </c>
      <c r="AL20" t="n">
        <v>77826</v>
      </c>
      <c r="AM20" s="88">
        <f>IF(OR(AK20&lt;=0,AL20&lt;=0),"",LN(AK20)-LN(AL20))</f>
        <v/>
      </c>
      <c r="AN20" t="n">
        <v>4101</v>
      </c>
      <c r="AO20" t="n">
        <v>83230</v>
      </c>
      <c r="AP20" s="88">
        <f>IF(OR(AN20&lt;=0,AO20&lt;=0),"",LN(AN20)-LN(AO20))</f>
        <v/>
      </c>
      <c r="AQ20" t="n">
        <v>4233</v>
      </c>
      <c r="AR20" t="n">
        <v>86201</v>
      </c>
      <c r="AS20" s="88">
        <f>IF(OR(AQ20&lt;=0,AR20&lt;=0),"",LN(AQ20)-LN(AR20))</f>
        <v/>
      </c>
      <c r="AT20" t="n">
        <v>5026</v>
      </c>
      <c r="AU20" t="n">
        <v>85027</v>
      </c>
      <c r="AV20" t="n">
        <v>479</v>
      </c>
      <c r="AW20" t="n">
        <v>351</v>
      </c>
      <c r="AX20" t="n">
        <v>3950</v>
      </c>
      <c r="AY20" s="88">
        <f>IF(OR(AT20&lt;=0,AU20&lt;=0),"",LN(AT20)-LN(AU20))</f>
        <v/>
      </c>
      <c r="AZ20" s="46" t="n">
        <v>7.1</v>
      </c>
      <c r="BA20" s="46" t="n">
        <v>10.29</v>
      </c>
      <c r="BB20" s="47" t="n">
        <v>7</v>
      </c>
    </row>
    <row r="21">
      <c r="A21" s="48" t="n">
        <v>45311</v>
      </c>
      <c r="B21" s="49" t="n">
        <v>41782</v>
      </c>
      <c r="C21" s="50" t="n">
        <v>1.72</v>
      </c>
      <c r="D21" s="51" t="inlineStr">
        <is>
          <t>Good</t>
        </is>
      </c>
      <c r="E21" s="52" t="n">
        <v>3.4</v>
      </c>
      <c r="F21" s="52" t="n">
        <v>0.4</v>
      </c>
      <c r="G21" s="51" t="inlineStr">
        <is>
          <t>Sat</t>
        </is>
      </c>
      <c r="H21" s="51" t="inlineStr">
        <is>
          <t>Weekend</t>
        </is>
      </c>
      <c r="I21" s="51" t="inlineStr">
        <is>
          <t>Winter</t>
        </is>
      </c>
      <c r="J21" s="51" t="n">
        <v>25</v>
      </c>
      <c r="K21" s="51" t="inlineStr">
        <is>
          <t>OK</t>
        </is>
      </c>
      <c r="L21" s="46" t="n">
        <v>4.96</v>
      </c>
      <c r="M21" t="inlineStr">
        <is>
          <t>Good</t>
        </is>
      </c>
      <c r="N21" s="87" t="n">
        <v>25</v>
      </c>
      <c r="O21" s="87" t="n">
        <v>0</v>
      </c>
      <c r="P21" s="87" t="n">
        <v>0</v>
      </c>
      <c r="Q21" s="87" t="n">
        <v>0</v>
      </c>
      <c r="R21" s="87" t="n">
        <v>0</v>
      </c>
      <c r="S21" s="47" t="n">
        <v>5.3</v>
      </c>
      <c r="T21" s="47" t="n">
        <v>69.5</v>
      </c>
      <c r="U21" s="47" t="n"/>
      <c r="V21" s="87" t="n">
        <v>1</v>
      </c>
      <c r="W21" s="87" t="n">
        <v>0</v>
      </c>
      <c r="Y21" t="inlineStr">
        <is>
          <t>Jan</t>
        </is>
      </c>
      <c r="Z21" s="87" t="n">
        <v>2024</v>
      </c>
      <c r="AA21" s="47">
        <f>IF(F21="",0,F21)</f>
        <v/>
      </c>
      <c r="AB21" s="87">
        <f>IF(AA21&gt;=0.1,1,0)</f>
        <v/>
      </c>
      <c r="AC21" s="87" t="n">
        <v>0</v>
      </c>
      <c r="AD21" s="47">
        <f>IF(U21="",0,U21)</f>
        <v/>
      </c>
      <c r="AE21" s="87">
        <f>IF(OR(V21=1,W21=1),1,0)</f>
        <v/>
      </c>
      <c r="AF21" s="87" t="n">
        <v>0</v>
      </c>
      <c r="AG21" t="n">
        <v>2005</v>
      </c>
      <c r="AH21" t="n">
        <v>39777</v>
      </c>
      <c r="AI21" t="n">
        <v>0</v>
      </c>
      <c r="AJ21" s="88">
        <f>IF(OR(AG21&lt;=0,AH21&lt;=0),"",LN(AG21)-LN(AH21))</f>
        <v/>
      </c>
      <c r="AK21" t="n">
        <v>5404</v>
      </c>
      <c r="AL21" t="n">
        <v>36378</v>
      </c>
      <c r="AM21" s="88">
        <f>IF(OR(AK21&lt;=0,AL21&lt;=0),"",LN(AK21)-LN(AL21))</f>
        <v/>
      </c>
      <c r="AN21" t="n">
        <v>1897</v>
      </c>
      <c r="AO21" t="n">
        <v>38350</v>
      </c>
      <c r="AP21" s="88">
        <f>IF(OR(AN21&lt;=0,AO21&lt;=0),"",LN(AN21)-LN(AO21))</f>
        <v/>
      </c>
      <c r="AQ21" t="n">
        <v>1948</v>
      </c>
      <c r="AR21" t="n">
        <v>39777</v>
      </c>
      <c r="AS21" s="88">
        <f>IF(OR(AQ21&lt;=0,AR21&lt;=0),"",LN(AQ21)-LN(AR21))</f>
        <v/>
      </c>
      <c r="AT21" t="n">
        <v>2721</v>
      </c>
      <c r="AU21" t="n">
        <v>38832</v>
      </c>
      <c r="AV21" t="n">
        <v>230</v>
      </c>
      <c r="AW21" t="n">
        <v>219</v>
      </c>
      <c r="AX21" t="n">
        <v>1767</v>
      </c>
      <c r="AY21" s="88">
        <f>IF(OR(AT21&lt;=0,AU21&lt;=0),"",LN(AT21)-LN(AU21))</f>
        <v/>
      </c>
      <c r="AZ21" s="46" t="n">
        <v>0</v>
      </c>
      <c r="BA21" s="46" t="n">
        <v>2.74</v>
      </c>
      <c r="BB21" s="47" t="n">
        <v>8.9</v>
      </c>
    </row>
    <row r="22">
      <c r="A22" s="48" t="n">
        <v>45312</v>
      </c>
      <c r="B22" s="49" t="n">
        <v>36989</v>
      </c>
      <c r="C22" s="50" t="n">
        <v>8.880000000000001</v>
      </c>
      <c r="D22" s="51" t="inlineStr">
        <is>
          <t>Good</t>
        </is>
      </c>
      <c r="E22" s="52" t="n">
        <v>1.7</v>
      </c>
      <c r="F22" s="52" t="n">
        <v>0.4</v>
      </c>
      <c r="G22" s="51" t="inlineStr">
        <is>
          <t>Sun</t>
        </is>
      </c>
      <c r="H22" s="51" t="inlineStr">
        <is>
          <t>Weekend</t>
        </is>
      </c>
      <c r="I22" s="51" t="inlineStr">
        <is>
          <t>Winter</t>
        </is>
      </c>
      <c r="J22" s="51" t="n">
        <v>25</v>
      </c>
      <c r="K22" s="51" t="inlineStr">
        <is>
          <t>OK</t>
        </is>
      </c>
      <c r="L22" s="46" t="n">
        <v>12.92</v>
      </c>
      <c r="M22" t="inlineStr">
        <is>
          <t>Good</t>
        </is>
      </c>
      <c r="N22" s="87" t="n">
        <v>25</v>
      </c>
      <c r="O22" s="87" t="n">
        <v>0</v>
      </c>
      <c r="P22" s="87" t="n">
        <v>0</v>
      </c>
      <c r="Q22" s="87" t="n">
        <v>0</v>
      </c>
      <c r="R22" s="87" t="n">
        <v>0</v>
      </c>
      <c r="S22" s="47" t="n">
        <v>2.5</v>
      </c>
      <c r="T22" s="47" t="n">
        <v>75.8</v>
      </c>
      <c r="U22" s="47" t="n"/>
      <c r="V22" s="87" t="n">
        <v>1</v>
      </c>
      <c r="W22" s="87" t="n">
        <v>0</v>
      </c>
      <c r="Y22" t="inlineStr">
        <is>
          <t>Jan</t>
        </is>
      </c>
      <c r="Z22" s="87" t="n">
        <v>2024</v>
      </c>
      <c r="AA22" s="47">
        <f>IF(F22="",0,F22)</f>
        <v/>
      </c>
      <c r="AB22" s="87">
        <f>IF(AA22&gt;=0.1,1,0)</f>
        <v/>
      </c>
      <c r="AC22" s="87" t="n">
        <v>0</v>
      </c>
      <c r="AD22" s="47">
        <f>IF(U22="",0,U22)</f>
        <v/>
      </c>
      <c r="AE22" s="87">
        <f>IF(OR(V22=1,W22=1),1,0)</f>
        <v/>
      </c>
      <c r="AF22" s="87" t="n">
        <v>0</v>
      </c>
      <c r="AG22" t="n">
        <v>1867</v>
      </c>
      <c r="AH22" t="n">
        <v>35122</v>
      </c>
      <c r="AI22" t="n">
        <v>0</v>
      </c>
      <c r="AJ22" s="88">
        <f>IF(OR(AG22&lt;=0,AH22&lt;=0),"",LN(AG22)-LN(AH22))</f>
        <v/>
      </c>
      <c r="AK22" t="n">
        <v>4992</v>
      </c>
      <c r="AL22" t="n">
        <v>31997</v>
      </c>
      <c r="AM22" s="88">
        <f>IF(OR(AK22&lt;=0,AL22&lt;=0),"",LN(AK22)-LN(AL22))</f>
        <v/>
      </c>
      <c r="AN22" t="n">
        <v>1748</v>
      </c>
      <c r="AO22" t="n">
        <v>33974</v>
      </c>
      <c r="AP22" s="88">
        <f>IF(OR(AN22&lt;=0,AO22&lt;=0),"",LN(AN22)-LN(AO22))</f>
        <v/>
      </c>
      <c r="AQ22" t="n">
        <v>1833</v>
      </c>
      <c r="AR22" t="n">
        <v>35122</v>
      </c>
      <c r="AS22" s="88">
        <f>IF(OR(AQ22&lt;=0,AR22&lt;=0),"",LN(AQ22)-LN(AR22))</f>
        <v/>
      </c>
      <c r="AT22" t="n">
        <v>2718</v>
      </c>
      <c r="AU22" t="n">
        <v>34129</v>
      </c>
      <c r="AV22" t="n">
        <v>143</v>
      </c>
      <c r="AW22" t="n">
        <v>200</v>
      </c>
      <c r="AX22" t="n">
        <v>1655</v>
      </c>
      <c r="AY22" s="88">
        <f>IF(OR(AT22&lt;=0,AU22&lt;=0),"",LN(AT22)-LN(AU22))</f>
        <v/>
      </c>
      <c r="AZ22" s="46" t="n">
        <v>0</v>
      </c>
      <c r="BA22" s="46" t="n">
        <v>3.57</v>
      </c>
      <c r="BB22" s="47" t="n">
        <v>9.1</v>
      </c>
    </row>
    <row r="23">
      <c r="A23" s="48" t="n">
        <v>45313</v>
      </c>
      <c r="B23" s="49" t="n">
        <v>48139</v>
      </c>
      <c r="C23" s="50" t="n">
        <v>20</v>
      </c>
      <c r="D23" s="51" t="inlineStr">
        <is>
          <t>Moderate</t>
        </is>
      </c>
      <c r="E23" s="52" t="n">
        <v>-8.699999999999999</v>
      </c>
      <c r="F23" s="52" t="n">
        <v>0.2</v>
      </c>
      <c r="G23" s="51" t="inlineStr">
        <is>
          <t>Mon</t>
        </is>
      </c>
      <c r="H23" s="51" t="inlineStr">
        <is>
          <t>Weekday</t>
        </is>
      </c>
      <c r="I23" s="51" t="inlineStr">
        <is>
          <t>Winter</t>
        </is>
      </c>
      <c r="J23" s="51" t="n">
        <v>25</v>
      </c>
      <c r="K23" s="51" t="inlineStr">
        <is>
          <t>OK</t>
        </is>
      </c>
      <c r="L23" s="46" t="n">
        <v>31.36</v>
      </c>
      <c r="M23" t="inlineStr">
        <is>
          <t>Moderate</t>
        </is>
      </c>
      <c r="N23" s="87" t="n">
        <v>25</v>
      </c>
      <c r="O23" s="87" t="n">
        <v>0</v>
      </c>
      <c r="P23" s="87" t="n">
        <v>0</v>
      </c>
      <c r="Q23" s="87" t="n">
        <v>0</v>
      </c>
      <c r="R23" s="87" t="n">
        <v>0</v>
      </c>
      <c r="S23" s="47" t="n">
        <v>4.1</v>
      </c>
      <c r="T23" s="47" t="n">
        <v>65.59999999999999</v>
      </c>
      <c r="U23" s="47" t="n">
        <v>2.3</v>
      </c>
      <c r="V23" s="87" t="n">
        <v>0</v>
      </c>
      <c r="W23" s="87" t="n">
        <v>0</v>
      </c>
      <c r="Y23" t="inlineStr">
        <is>
          <t>Jan</t>
        </is>
      </c>
      <c r="Z23" s="87" t="n">
        <v>2024</v>
      </c>
      <c r="AA23" s="47">
        <f>IF(F23="",0,F23)</f>
        <v/>
      </c>
      <c r="AB23" s="87">
        <f>IF(AA23&gt;=0.1,1,0)</f>
        <v/>
      </c>
      <c r="AC23" s="87" t="n">
        <v>0</v>
      </c>
      <c r="AD23" s="47">
        <f>IF(U23="",0,U23)</f>
        <v/>
      </c>
      <c r="AE23" s="87">
        <f>IF(OR(V23=1,W23=1),1,0)</f>
        <v/>
      </c>
      <c r="AF23" s="87" t="n">
        <v>0</v>
      </c>
      <c r="AG23" t="n">
        <v>2092</v>
      </c>
      <c r="AH23" t="n">
        <v>46047</v>
      </c>
      <c r="AI23" t="n">
        <v>0</v>
      </c>
      <c r="AJ23" s="88">
        <f>IF(OR(AG23&lt;=0,AH23&lt;=0),"",LN(AG23)-LN(AH23))</f>
        <v/>
      </c>
      <c r="AK23" t="n">
        <v>6480</v>
      </c>
      <c r="AL23" t="n">
        <v>41659</v>
      </c>
      <c r="AM23" s="88">
        <f>IF(OR(AK23&lt;=0,AL23&lt;=0),"",LN(AK23)-LN(AL23))</f>
        <v/>
      </c>
      <c r="AN23" t="n">
        <v>2006</v>
      </c>
      <c r="AO23" t="n">
        <v>44355</v>
      </c>
      <c r="AP23" s="88">
        <f>IF(OR(AN23&lt;=0,AO23&lt;=0),"",LN(AN23)-LN(AO23))</f>
        <v/>
      </c>
      <c r="AQ23" t="n">
        <v>2041</v>
      </c>
      <c r="AR23" t="n">
        <v>46047</v>
      </c>
      <c r="AS23" s="88">
        <f>IF(OR(AQ23&lt;=0,AR23&lt;=0),"",LN(AQ23)-LN(AR23))</f>
        <v/>
      </c>
      <c r="AT23" t="n">
        <v>2519</v>
      </c>
      <c r="AU23" t="n">
        <v>45325</v>
      </c>
      <c r="AV23" t="n">
        <v>297</v>
      </c>
      <c r="AW23" t="n">
        <v>138</v>
      </c>
      <c r="AX23" t="n">
        <v>1939</v>
      </c>
      <c r="AY23" s="88">
        <f>IF(OR(AT23&lt;=0,AU23&lt;=0),"",LN(AT23)-LN(AU23))</f>
        <v/>
      </c>
      <c r="AZ23" s="46" t="n">
        <v>3.6</v>
      </c>
      <c r="BA23" s="46" t="n">
        <v>8.49</v>
      </c>
      <c r="BB23" s="47" t="n">
        <v>5</v>
      </c>
    </row>
    <row r="24">
      <c r="A24" s="48" t="n">
        <v>45314</v>
      </c>
      <c r="B24" s="49" t="n">
        <v>43595</v>
      </c>
      <c r="C24" s="50" t="n">
        <v>11.88</v>
      </c>
      <c r="D24" s="51" t="inlineStr">
        <is>
          <t>Good</t>
        </is>
      </c>
      <c r="E24" s="52" t="n">
        <v>-11.7</v>
      </c>
      <c r="F24" s="52" t="n"/>
      <c r="G24" s="51" t="inlineStr">
        <is>
          <t>Tue</t>
        </is>
      </c>
      <c r="H24" s="51" t="inlineStr">
        <is>
          <t>Weekday</t>
        </is>
      </c>
      <c r="I24" s="51" t="inlineStr">
        <is>
          <t>Winter</t>
        </is>
      </c>
      <c r="J24" s="51" t="n">
        <v>25</v>
      </c>
      <c r="K24" s="51" t="inlineStr">
        <is>
          <t>강수량 공란</t>
        </is>
      </c>
      <c r="L24" s="46" t="n">
        <v>21.52</v>
      </c>
      <c r="M24" t="inlineStr">
        <is>
          <t>Good</t>
        </is>
      </c>
      <c r="N24" s="87" t="n">
        <v>25</v>
      </c>
      <c r="O24" s="87" t="n">
        <v>0</v>
      </c>
      <c r="P24" s="87" t="n">
        <v>0</v>
      </c>
      <c r="Q24" s="87" t="n">
        <v>0</v>
      </c>
      <c r="R24" s="87" t="n">
        <v>0</v>
      </c>
      <c r="S24" s="47" t="n">
        <v>3.9</v>
      </c>
      <c r="T24" s="47" t="n">
        <v>53.6</v>
      </c>
      <c r="U24" s="47" t="n"/>
      <c r="V24" s="87" t="n">
        <v>0</v>
      </c>
      <c r="W24" s="87" t="n">
        <v>0</v>
      </c>
      <c r="Y24" t="inlineStr">
        <is>
          <t>Jan</t>
        </is>
      </c>
      <c r="Z24" s="87" t="n">
        <v>2024</v>
      </c>
      <c r="AA24" s="47">
        <f>IF(F24="",0,F24)</f>
        <v/>
      </c>
      <c r="AB24" s="87">
        <f>IF(AA24&gt;=0.1,1,0)</f>
        <v/>
      </c>
      <c r="AC24" s="87" t="n">
        <v>0</v>
      </c>
      <c r="AD24" s="47">
        <f>IF(U24="",0,U24)</f>
        <v/>
      </c>
      <c r="AE24" s="87">
        <f>IF(OR(V24=1,W24=1),1,0)</f>
        <v/>
      </c>
      <c r="AF24" s="87" t="n">
        <v>0</v>
      </c>
      <c r="AG24" t="n">
        <v>1771</v>
      </c>
      <c r="AH24" t="n">
        <v>41824</v>
      </c>
      <c r="AI24" t="n">
        <v>0</v>
      </c>
      <c r="AJ24" s="88">
        <f>IF(OR(AG24&lt;=0,AH24&lt;=0),"",LN(AG24)-LN(AH24))</f>
        <v/>
      </c>
      <c r="AK24" t="n">
        <v>5542</v>
      </c>
      <c r="AL24" t="n">
        <v>38053</v>
      </c>
      <c r="AM24" s="88">
        <f>IF(OR(AK24&lt;=0,AL24&lt;=0),"",LN(AK24)-LN(AL24))</f>
        <v/>
      </c>
      <c r="AN24" t="n">
        <v>1706</v>
      </c>
      <c r="AO24" t="n">
        <v>40196</v>
      </c>
      <c r="AP24" s="88">
        <f>IF(OR(AN24&lt;=0,AO24&lt;=0),"",LN(AN24)-LN(AO24))</f>
        <v/>
      </c>
      <c r="AQ24" t="n">
        <v>1723</v>
      </c>
      <c r="AR24" t="n">
        <v>41824</v>
      </c>
      <c r="AS24" s="88">
        <f>IF(OR(AQ24&lt;=0,AR24&lt;=0),"",LN(AQ24)-LN(AR24))</f>
        <v/>
      </c>
      <c r="AT24" t="n">
        <v>2256</v>
      </c>
      <c r="AU24" t="n">
        <v>41018</v>
      </c>
      <c r="AV24" t="n">
        <v>324</v>
      </c>
      <c r="AW24" t="n">
        <v>91</v>
      </c>
      <c r="AX24" t="n">
        <v>1665</v>
      </c>
      <c r="AY24" s="88">
        <f>IF(OR(AT24&lt;=0,AU24&lt;=0),"",LN(AT24)-LN(AU24))</f>
        <v/>
      </c>
      <c r="AZ24" s="46" t="n">
        <v>9.1</v>
      </c>
      <c r="BA24" s="46" t="n">
        <v>13.53</v>
      </c>
      <c r="BB24" s="47" t="n">
        <v>0.5</v>
      </c>
    </row>
    <row r="25">
      <c r="A25" s="48" t="n">
        <v>45315</v>
      </c>
      <c r="B25" s="49" t="n">
        <v>50771</v>
      </c>
      <c r="C25" s="50" t="n">
        <v>11</v>
      </c>
      <c r="D25" s="51" t="inlineStr">
        <is>
          <t>Good</t>
        </is>
      </c>
      <c r="E25" s="52" t="n">
        <v>-8</v>
      </c>
      <c r="F25" s="52" t="n"/>
      <c r="G25" s="51" t="inlineStr">
        <is>
          <t>Wed</t>
        </is>
      </c>
      <c r="H25" s="51" t="inlineStr">
        <is>
          <t>Weekday</t>
        </is>
      </c>
      <c r="I25" s="51" t="inlineStr">
        <is>
          <t>Winter</t>
        </is>
      </c>
      <c r="J25" s="51" t="n">
        <v>25</v>
      </c>
      <c r="K25" s="51" t="inlineStr">
        <is>
          <t>강수량 공란</t>
        </is>
      </c>
      <c r="L25" s="46" t="n">
        <v>22.96</v>
      </c>
      <c r="M25" t="inlineStr">
        <is>
          <t>Good</t>
        </is>
      </c>
      <c r="N25" s="87" t="n">
        <v>25</v>
      </c>
      <c r="O25" s="87" t="n">
        <v>0</v>
      </c>
      <c r="P25" s="87" t="n">
        <v>0</v>
      </c>
      <c r="Q25" s="87" t="n">
        <v>0</v>
      </c>
      <c r="R25" s="87" t="n">
        <v>0</v>
      </c>
      <c r="S25" s="47" t="n">
        <v>3.3</v>
      </c>
      <c r="T25" s="47" t="n">
        <v>52</v>
      </c>
      <c r="U25" s="47" t="n"/>
      <c r="V25" s="87" t="n">
        <v>0</v>
      </c>
      <c r="W25" s="87" t="n">
        <v>0</v>
      </c>
      <c r="Y25" t="inlineStr">
        <is>
          <t>Jan</t>
        </is>
      </c>
      <c r="Z25" s="87" t="n">
        <v>2024</v>
      </c>
      <c r="AA25" s="47">
        <f>IF(F25="",0,F25)</f>
        <v/>
      </c>
      <c r="AB25" s="87">
        <f>IF(AA25&gt;=0.1,1,0)</f>
        <v/>
      </c>
      <c r="AC25" s="87" t="n">
        <v>0</v>
      </c>
      <c r="AD25" s="47">
        <f>IF(U25="",0,U25)</f>
        <v/>
      </c>
      <c r="AE25" s="87">
        <f>IF(OR(V25=1,W25=1),1,0)</f>
        <v/>
      </c>
      <c r="AF25" s="87" t="n">
        <v>0</v>
      </c>
      <c r="AG25" t="n">
        <v>2138</v>
      </c>
      <c r="AH25" t="n">
        <v>48633</v>
      </c>
      <c r="AI25" t="n">
        <v>0</v>
      </c>
      <c r="AJ25" s="88">
        <f>IF(OR(AG25&lt;=0,AH25&lt;=0),"",LN(AG25)-LN(AH25))</f>
        <v/>
      </c>
      <c r="AK25" t="n">
        <v>6627</v>
      </c>
      <c r="AL25" t="n">
        <v>44144</v>
      </c>
      <c r="AM25" s="88">
        <f>IF(OR(AK25&lt;=0,AL25&lt;=0),"",LN(AK25)-LN(AL25))</f>
        <v/>
      </c>
      <c r="AN25" t="n">
        <v>2062</v>
      </c>
      <c r="AO25" t="n">
        <v>46818</v>
      </c>
      <c r="AP25" s="88">
        <f>IF(OR(AN25&lt;=0,AO25&lt;=0),"",LN(AN25)-LN(AO25))</f>
        <v/>
      </c>
      <c r="AQ25" t="n">
        <v>2092</v>
      </c>
      <c r="AR25" t="n">
        <v>48633</v>
      </c>
      <c r="AS25" s="88">
        <f>IF(OR(AQ25&lt;=0,AR25&lt;=0),"",LN(AQ25)-LN(AR25))</f>
        <v/>
      </c>
      <c r="AT25" t="n">
        <v>2593</v>
      </c>
      <c r="AU25" t="n">
        <v>47911</v>
      </c>
      <c r="AV25" t="n">
        <v>269</v>
      </c>
      <c r="AW25" t="n">
        <v>144</v>
      </c>
      <c r="AX25" t="n">
        <v>1983</v>
      </c>
      <c r="AY25" s="88">
        <f>IF(OR(AT25&lt;=0,AU25&lt;=0),"",LN(AT25)-LN(AU25))</f>
        <v/>
      </c>
      <c r="AZ25" s="46" t="n">
        <v>9.300000000000001</v>
      </c>
      <c r="BA25" s="46" t="n">
        <v>13.63</v>
      </c>
      <c r="BB25" s="47" t="n">
        <v>0</v>
      </c>
    </row>
    <row r="26">
      <c r="A26" s="48" t="n">
        <v>45316</v>
      </c>
      <c r="B26" s="49" t="n">
        <v>62371</v>
      </c>
      <c r="C26" s="50" t="n">
        <v>12.52</v>
      </c>
      <c r="D26" s="51" t="inlineStr">
        <is>
          <t>Good</t>
        </is>
      </c>
      <c r="E26" s="52" t="n">
        <v>-5.3</v>
      </c>
      <c r="F26" s="52" t="n"/>
      <c r="G26" s="51" t="inlineStr">
        <is>
          <t>Thu</t>
        </is>
      </c>
      <c r="H26" s="51" t="inlineStr">
        <is>
          <t>Weekday</t>
        </is>
      </c>
      <c r="I26" s="51" t="inlineStr">
        <is>
          <t>Winter</t>
        </is>
      </c>
      <c r="J26" s="51" t="n">
        <v>25</v>
      </c>
      <c r="K26" s="51" t="inlineStr">
        <is>
          <t>강수량 공란</t>
        </is>
      </c>
      <c r="L26" s="46" t="n">
        <v>21.6</v>
      </c>
      <c r="M26" t="inlineStr">
        <is>
          <t>Good</t>
        </is>
      </c>
      <c r="N26" s="87" t="n">
        <v>25</v>
      </c>
      <c r="O26" s="87" t="n">
        <v>0</v>
      </c>
      <c r="P26" s="87" t="n">
        <v>0</v>
      </c>
      <c r="Q26" s="87" t="n">
        <v>0</v>
      </c>
      <c r="R26" s="87" t="n">
        <v>0</v>
      </c>
      <c r="S26" s="47" t="n">
        <v>2.1</v>
      </c>
      <c r="T26" s="47" t="n">
        <v>47.8</v>
      </c>
      <c r="U26" s="47" t="n"/>
      <c r="V26" s="87" t="n">
        <v>0</v>
      </c>
      <c r="W26" s="87" t="n">
        <v>0</v>
      </c>
      <c r="Y26" t="inlineStr">
        <is>
          <t>Jan</t>
        </is>
      </c>
      <c r="Z26" s="87" t="n">
        <v>2024</v>
      </c>
      <c r="AA26" s="47">
        <f>IF(F26="",0,F26)</f>
        <v/>
      </c>
      <c r="AB26" s="87">
        <f>IF(AA26&gt;=0.1,1,0)</f>
        <v/>
      </c>
      <c r="AC26" s="87" t="n">
        <v>0</v>
      </c>
      <c r="AD26" s="47">
        <f>IF(U26="",0,U26)</f>
        <v/>
      </c>
      <c r="AE26" s="87">
        <f>IF(OR(V26=1,W26=1),1,0)</f>
        <v/>
      </c>
      <c r="AF26" s="87" t="n">
        <v>0</v>
      </c>
      <c r="AG26" t="n">
        <v>2653</v>
      </c>
      <c r="AH26" t="n">
        <v>59718</v>
      </c>
      <c r="AI26" t="n">
        <v>0</v>
      </c>
      <c r="AJ26" s="88">
        <f>IF(OR(AG26&lt;=0,AH26&lt;=0),"",LN(AG26)-LN(AH26))</f>
        <v/>
      </c>
      <c r="AK26" t="n">
        <v>8137</v>
      </c>
      <c r="AL26" t="n">
        <v>54234</v>
      </c>
      <c r="AM26" s="88">
        <f>IF(OR(AK26&lt;=0,AL26&lt;=0),"",LN(AK26)-LN(AL26))</f>
        <v/>
      </c>
      <c r="AN26" t="n">
        <v>2537</v>
      </c>
      <c r="AO26" t="n">
        <v>57527</v>
      </c>
      <c r="AP26" s="88">
        <f>IF(OR(AN26&lt;=0,AO26&lt;=0),"",LN(AN26)-LN(AO26))</f>
        <v/>
      </c>
      <c r="AQ26" t="n">
        <v>2592</v>
      </c>
      <c r="AR26" t="n">
        <v>59718</v>
      </c>
      <c r="AS26" s="88">
        <f>IF(OR(AQ26&lt;=0,AR26&lt;=0),"",LN(AQ26)-LN(AR26))</f>
        <v/>
      </c>
      <c r="AT26" t="n">
        <v>3329</v>
      </c>
      <c r="AU26" t="n">
        <v>58739</v>
      </c>
      <c r="AV26" t="n">
        <v>306</v>
      </c>
      <c r="AW26" t="n">
        <v>218</v>
      </c>
      <c r="AX26" t="n">
        <v>2420</v>
      </c>
      <c r="AY26" s="88">
        <f>IF(OR(AT26&lt;=0,AU26&lt;=0),"",LN(AT26)-LN(AU26))</f>
        <v/>
      </c>
      <c r="AZ26" s="46" t="n">
        <v>9.4</v>
      </c>
      <c r="BA26" s="46" t="n">
        <v>13.57</v>
      </c>
      <c r="BB26" s="47" t="n">
        <v>0</v>
      </c>
    </row>
    <row r="27">
      <c r="A27" s="48" t="n">
        <v>45317</v>
      </c>
      <c r="B27" s="49" t="n">
        <v>75062</v>
      </c>
      <c r="C27" s="50" t="n">
        <v>22.44</v>
      </c>
      <c r="D27" s="51" t="inlineStr">
        <is>
          <t>Moderate</t>
        </is>
      </c>
      <c r="E27" s="52" t="n">
        <v>-1.7</v>
      </c>
      <c r="F27" s="52" t="n"/>
      <c r="G27" s="51" t="inlineStr">
        <is>
          <t>Fri</t>
        </is>
      </c>
      <c r="H27" s="51" t="inlineStr">
        <is>
          <t>Weekday</t>
        </is>
      </c>
      <c r="I27" s="51" t="inlineStr">
        <is>
          <t>Winter</t>
        </is>
      </c>
      <c r="J27" s="51" t="n">
        <v>25</v>
      </c>
      <c r="K27" s="51" t="inlineStr">
        <is>
          <t>강수량 공란</t>
        </is>
      </c>
      <c r="L27" s="46" t="n">
        <v>33.76</v>
      </c>
      <c r="M27" t="inlineStr">
        <is>
          <t>Moderate</t>
        </is>
      </c>
      <c r="N27" s="87" t="n">
        <v>25</v>
      </c>
      <c r="O27" s="87" t="n">
        <v>0</v>
      </c>
      <c r="P27" s="87" t="n">
        <v>0</v>
      </c>
      <c r="Q27" s="87" t="n">
        <v>0</v>
      </c>
      <c r="R27" s="87" t="n">
        <v>0</v>
      </c>
      <c r="S27" s="47" t="n">
        <v>1.9</v>
      </c>
      <c r="T27" s="47" t="n">
        <v>62.5</v>
      </c>
      <c r="U27" s="47" t="n"/>
      <c r="V27" s="87" t="n">
        <v>0</v>
      </c>
      <c r="W27" s="87" t="n">
        <v>0</v>
      </c>
      <c r="Y27" t="inlineStr">
        <is>
          <t>Jan</t>
        </is>
      </c>
      <c r="Z27" s="87" t="n">
        <v>2024</v>
      </c>
      <c r="AA27" s="47">
        <f>IF(F27="",0,F27)</f>
        <v/>
      </c>
      <c r="AB27" s="87">
        <f>IF(AA27&gt;=0.1,1,0)</f>
        <v/>
      </c>
      <c r="AC27" s="87" t="n">
        <v>0</v>
      </c>
      <c r="AD27" s="47">
        <f>IF(U27="",0,U27)</f>
        <v/>
      </c>
      <c r="AE27" s="87">
        <f>IF(OR(V27=1,W27=1),1,0)</f>
        <v/>
      </c>
      <c r="AF27" s="87" t="n">
        <v>0</v>
      </c>
      <c r="AG27" t="n">
        <v>3461</v>
      </c>
      <c r="AH27" t="n">
        <v>71601</v>
      </c>
      <c r="AI27" t="n">
        <v>0</v>
      </c>
      <c r="AJ27" s="88">
        <f>IF(OR(AG27&lt;=0,AH27&lt;=0),"",LN(AG27)-LN(AH27))</f>
        <v/>
      </c>
      <c r="AK27" t="n">
        <v>10331</v>
      </c>
      <c r="AL27" t="n">
        <v>64731</v>
      </c>
      <c r="AM27" s="88">
        <f>IF(OR(AK27&lt;=0,AL27&lt;=0),"",LN(AK27)-LN(AL27))</f>
        <v/>
      </c>
      <c r="AN27" t="n">
        <v>3302</v>
      </c>
      <c r="AO27" t="n">
        <v>69094</v>
      </c>
      <c r="AP27" s="88">
        <f>IF(OR(AN27&lt;=0,AO27&lt;=0),"",LN(AN27)-LN(AO27))</f>
        <v/>
      </c>
      <c r="AQ27" t="n">
        <v>3371</v>
      </c>
      <c r="AR27" t="n">
        <v>71601</v>
      </c>
      <c r="AS27" s="88">
        <f>IF(OR(AQ27&lt;=0,AR27&lt;=0),"",LN(AQ27)-LN(AR27))</f>
        <v/>
      </c>
      <c r="AT27" t="n">
        <v>4065</v>
      </c>
      <c r="AU27" t="n">
        <v>70617</v>
      </c>
      <c r="AV27" t="n">
        <v>385</v>
      </c>
      <c r="AW27" t="n">
        <v>274</v>
      </c>
      <c r="AX27" t="n">
        <v>3164</v>
      </c>
      <c r="AY27" s="88">
        <f>IF(OR(AT27&lt;=0,AU27&lt;=0),"",LN(AT27)-LN(AU27))</f>
        <v/>
      </c>
      <c r="AZ27" s="46" t="n">
        <v>9.4</v>
      </c>
      <c r="BA27" s="46" t="n">
        <v>12.68</v>
      </c>
      <c r="BB27" s="47" t="n">
        <v>0.8</v>
      </c>
    </row>
    <row r="28">
      <c r="A28" s="48" t="n">
        <v>45318</v>
      </c>
      <c r="B28" s="49" t="n">
        <v>57700</v>
      </c>
      <c r="C28" s="50" t="n">
        <v>37.36</v>
      </c>
      <c r="D28" s="51" t="inlineStr">
        <is>
          <t>Bad</t>
        </is>
      </c>
      <c r="E28" s="52" t="n">
        <v>-0.5</v>
      </c>
      <c r="F28" s="52" t="n"/>
      <c r="G28" s="51" t="inlineStr">
        <is>
          <t>Sat</t>
        </is>
      </c>
      <c r="H28" s="51" t="inlineStr">
        <is>
          <t>Weekend</t>
        </is>
      </c>
      <c r="I28" s="51" t="inlineStr">
        <is>
          <t>Winter</t>
        </is>
      </c>
      <c r="J28" s="51" t="n">
        <v>25</v>
      </c>
      <c r="K28" s="51" t="inlineStr">
        <is>
          <t>강수량 공란</t>
        </is>
      </c>
      <c r="L28" s="46" t="n">
        <v>50.56</v>
      </c>
      <c r="M28" t="inlineStr">
        <is>
          <t>Moderate</t>
        </is>
      </c>
      <c r="N28" s="87" t="n">
        <v>25</v>
      </c>
      <c r="O28" s="87" t="n">
        <v>0</v>
      </c>
      <c r="P28" s="87" t="n">
        <v>0</v>
      </c>
      <c r="Q28" s="87" t="n">
        <v>0</v>
      </c>
      <c r="R28" s="87" t="n">
        <v>0</v>
      </c>
      <c r="S28" s="47" t="n">
        <v>1.8</v>
      </c>
      <c r="T28" s="47" t="n">
        <v>70</v>
      </c>
      <c r="U28" s="47" t="n"/>
      <c r="V28" s="87" t="n">
        <v>1</v>
      </c>
      <c r="W28" s="87" t="n">
        <v>0</v>
      </c>
      <c r="Y28" t="inlineStr">
        <is>
          <t>Jan</t>
        </is>
      </c>
      <c r="Z28" s="87" t="n">
        <v>2024</v>
      </c>
      <c r="AA28" s="47">
        <f>IF(F28="",0,F28)</f>
        <v/>
      </c>
      <c r="AB28" s="87">
        <f>IF(AA28&gt;=0.1,1,0)</f>
        <v/>
      </c>
      <c r="AC28" s="87" t="n">
        <v>0</v>
      </c>
      <c r="AD28" s="47">
        <f>IF(U28="",0,U28)</f>
        <v/>
      </c>
      <c r="AE28" s="87">
        <f>IF(OR(V28=1,W28=1),1,0)</f>
        <v/>
      </c>
      <c r="AF28" s="87" t="n">
        <v>0</v>
      </c>
      <c r="AG28" t="n">
        <v>2987</v>
      </c>
      <c r="AH28" t="n">
        <v>54713</v>
      </c>
      <c r="AI28" t="n">
        <v>0</v>
      </c>
      <c r="AJ28" s="88">
        <f>IF(OR(AG28&lt;=0,AH28&lt;=0),"",LN(AG28)-LN(AH28))</f>
        <v/>
      </c>
      <c r="AK28" t="n">
        <v>8035</v>
      </c>
      <c r="AL28" t="n">
        <v>49665</v>
      </c>
      <c r="AM28" s="88">
        <f>IF(OR(AK28&lt;=0,AL28&lt;=0),"",LN(AK28)-LN(AL28))</f>
        <v/>
      </c>
      <c r="AN28" t="n">
        <v>2836</v>
      </c>
      <c r="AO28" t="n">
        <v>52761</v>
      </c>
      <c r="AP28" s="88">
        <f>IF(OR(AN28&lt;=0,AO28&lt;=0),"",LN(AN28)-LN(AO28))</f>
        <v/>
      </c>
      <c r="AQ28" t="n">
        <v>2901</v>
      </c>
      <c r="AR28" t="n">
        <v>54713</v>
      </c>
      <c r="AS28" s="88">
        <f>IF(OR(AQ28&lt;=0,AR28&lt;=0),"",LN(AQ28)-LN(AR28))</f>
        <v/>
      </c>
      <c r="AT28" t="n">
        <v>4005</v>
      </c>
      <c r="AU28" t="n">
        <v>53423</v>
      </c>
      <c r="AV28" t="n">
        <v>273</v>
      </c>
      <c r="AW28" t="n">
        <v>362</v>
      </c>
      <c r="AX28" t="n">
        <v>2608</v>
      </c>
      <c r="AY28" s="88">
        <f>IF(OR(AT28&lt;=0,AU28&lt;=0),"",LN(AT28)-LN(AU28))</f>
        <v/>
      </c>
      <c r="AZ28" s="46" t="n">
        <v>8</v>
      </c>
      <c r="BA28" s="46" t="n">
        <v>12.43</v>
      </c>
      <c r="BB28" s="47" t="n">
        <v>2.9</v>
      </c>
    </row>
    <row r="29">
      <c r="A29" s="48" t="n">
        <v>45319</v>
      </c>
      <c r="B29" s="49" t="n">
        <v>48382</v>
      </c>
      <c r="C29" s="50" t="n">
        <v>21.6</v>
      </c>
      <c r="D29" s="51" t="inlineStr">
        <is>
          <t>Moderate</t>
        </is>
      </c>
      <c r="E29" s="52" t="n">
        <v>-1.5</v>
      </c>
      <c r="F29" s="52" t="n"/>
      <c r="G29" s="51" t="inlineStr">
        <is>
          <t>Sun</t>
        </is>
      </c>
      <c r="H29" s="51" t="inlineStr">
        <is>
          <t>Weekend</t>
        </is>
      </c>
      <c r="I29" s="51" t="inlineStr">
        <is>
          <t>Winter</t>
        </is>
      </c>
      <c r="J29" s="51" t="n">
        <v>25</v>
      </c>
      <c r="K29" s="51" t="inlineStr">
        <is>
          <t>강수량 공란</t>
        </is>
      </c>
      <c r="L29" s="46" t="n">
        <v>30.68</v>
      </c>
      <c r="M29" t="inlineStr">
        <is>
          <t>Moderate</t>
        </is>
      </c>
      <c r="N29" s="87" t="n">
        <v>25</v>
      </c>
      <c r="O29" s="87" t="n">
        <v>0</v>
      </c>
      <c r="P29" s="87" t="n">
        <v>0</v>
      </c>
      <c r="Q29" s="87" t="n">
        <v>0</v>
      </c>
      <c r="R29" s="87" t="n">
        <v>0</v>
      </c>
      <c r="S29" s="47" t="n">
        <v>1.9</v>
      </c>
      <c r="T29" s="47" t="n">
        <v>62.3</v>
      </c>
      <c r="U29" s="47" t="n"/>
      <c r="V29" s="87" t="n">
        <v>1</v>
      </c>
      <c r="W29" s="87" t="n">
        <v>0</v>
      </c>
      <c r="Y29" t="inlineStr">
        <is>
          <t>Jan</t>
        </is>
      </c>
      <c r="Z29" s="87" t="n">
        <v>2024</v>
      </c>
      <c r="AA29" s="47">
        <f>IF(F29="",0,F29)</f>
        <v/>
      </c>
      <c r="AB29" s="87">
        <f>IF(AA29&gt;=0.1,1,0)</f>
        <v/>
      </c>
      <c r="AC29" s="87" t="n">
        <v>0</v>
      </c>
      <c r="AD29" s="47">
        <f>IF(U29="",0,U29)</f>
        <v/>
      </c>
      <c r="AE29" s="87">
        <f>IF(OR(V29=1,W29=1),1,0)</f>
        <v/>
      </c>
      <c r="AF29" s="87" t="n">
        <v>0</v>
      </c>
      <c r="AG29" t="n">
        <v>2833</v>
      </c>
      <c r="AH29" t="n">
        <v>45549</v>
      </c>
      <c r="AI29" t="n">
        <v>0</v>
      </c>
      <c r="AJ29" s="88">
        <f>IF(OR(AG29&lt;=0,AH29&lt;=0),"",LN(AG29)-LN(AH29))</f>
        <v/>
      </c>
      <c r="AK29" t="n">
        <v>7087</v>
      </c>
      <c r="AL29" t="n">
        <v>41295</v>
      </c>
      <c r="AM29" s="88">
        <f>IF(OR(AK29&lt;=0,AL29&lt;=0),"",LN(AK29)-LN(AL29))</f>
        <v/>
      </c>
      <c r="AN29" t="n">
        <v>2673</v>
      </c>
      <c r="AO29" t="n">
        <v>43981</v>
      </c>
      <c r="AP29" s="88">
        <f>IF(OR(AN29&lt;=0,AO29&lt;=0),"",LN(AN29)-LN(AO29))</f>
        <v/>
      </c>
      <c r="AQ29" t="n">
        <v>2763</v>
      </c>
      <c r="AR29" t="n">
        <v>45549</v>
      </c>
      <c r="AS29" s="88">
        <f>IF(OR(AQ29&lt;=0,AR29&lt;=0),"",LN(AQ29)-LN(AR29))</f>
        <v/>
      </c>
      <c r="AT29" t="n">
        <v>3786</v>
      </c>
      <c r="AU29" t="n">
        <v>44359</v>
      </c>
      <c r="AV29" t="n">
        <v>241</v>
      </c>
      <c r="AW29" t="n">
        <v>367</v>
      </c>
      <c r="AX29" t="n">
        <v>2450</v>
      </c>
      <c r="AY29" s="88">
        <f>IF(OR(AT29&lt;=0,AU29&lt;=0),"",LN(AT29)-LN(AU29))</f>
        <v/>
      </c>
      <c r="AZ29" s="46" t="n">
        <v>8</v>
      </c>
      <c r="BA29" s="46" t="n">
        <v>12.52</v>
      </c>
      <c r="BB29" s="47" t="n">
        <v>2</v>
      </c>
    </row>
    <row r="30">
      <c r="A30" s="48" t="n">
        <v>45320</v>
      </c>
      <c r="B30" s="49" t="n">
        <v>78801</v>
      </c>
      <c r="C30" s="50" t="n">
        <v>31.64</v>
      </c>
      <c r="D30" s="51" t="inlineStr">
        <is>
          <t>Moderate</t>
        </is>
      </c>
      <c r="E30" s="52" t="n">
        <v>-0.4</v>
      </c>
      <c r="F30" s="52" t="n"/>
      <c r="G30" s="51" t="inlineStr">
        <is>
          <t>Mon</t>
        </is>
      </c>
      <c r="H30" s="51" t="inlineStr">
        <is>
          <t>Weekday</t>
        </is>
      </c>
      <c r="I30" s="51" t="inlineStr">
        <is>
          <t>Winter</t>
        </is>
      </c>
      <c r="J30" s="51" t="n">
        <v>25</v>
      </c>
      <c r="K30" s="51" t="inlineStr">
        <is>
          <t>강수량 공란</t>
        </is>
      </c>
      <c r="L30" s="46" t="n">
        <v>43.48</v>
      </c>
      <c r="M30" t="inlineStr">
        <is>
          <t>Moderate</t>
        </is>
      </c>
      <c r="N30" s="87" t="n">
        <v>25</v>
      </c>
      <c r="O30" s="87" t="n">
        <v>0</v>
      </c>
      <c r="P30" s="87" t="n">
        <v>0</v>
      </c>
      <c r="Q30" s="87" t="n">
        <v>0</v>
      </c>
      <c r="R30" s="87" t="n">
        <v>0</v>
      </c>
      <c r="S30" s="47" t="n">
        <v>1.7</v>
      </c>
      <c r="T30" s="47" t="n">
        <v>66.59999999999999</v>
      </c>
      <c r="U30" s="47" t="n"/>
      <c r="V30" s="87" t="n">
        <v>0</v>
      </c>
      <c r="W30" s="87" t="n">
        <v>0</v>
      </c>
      <c r="Y30" t="inlineStr">
        <is>
          <t>Jan</t>
        </is>
      </c>
      <c r="Z30" s="87" t="n">
        <v>2024</v>
      </c>
      <c r="AA30" s="47">
        <f>IF(F30="",0,F30)</f>
        <v/>
      </c>
      <c r="AB30" s="87">
        <f>IF(AA30&gt;=0.1,1,0)</f>
        <v/>
      </c>
      <c r="AC30" s="87" t="n">
        <v>0</v>
      </c>
      <c r="AD30" s="47">
        <f>IF(U30="",0,U30)</f>
        <v/>
      </c>
      <c r="AE30" s="87">
        <f>IF(OR(V30=1,W30=1),1,0)</f>
        <v/>
      </c>
      <c r="AF30" s="87" t="n">
        <v>0</v>
      </c>
      <c r="AG30" t="n">
        <v>3754</v>
      </c>
      <c r="AH30" t="n">
        <v>75047</v>
      </c>
      <c r="AI30" t="n">
        <v>0</v>
      </c>
      <c r="AJ30" s="88">
        <f>IF(OR(AG30&lt;=0,AH30&lt;=0),"",LN(AG30)-LN(AH30))</f>
        <v/>
      </c>
      <c r="AK30" t="n">
        <v>11051</v>
      </c>
      <c r="AL30" t="n">
        <v>67750</v>
      </c>
      <c r="AM30" s="88">
        <f>IF(OR(AK30&lt;=0,AL30&lt;=0),"",LN(AK30)-LN(AL30))</f>
        <v/>
      </c>
      <c r="AN30" t="n">
        <v>3581</v>
      </c>
      <c r="AO30" t="n">
        <v>72272</v>
      </c>
      <c r="AP30" s="88">
        <f>IF(OR(AN30&lt;=0,AO30&lt;=0),"",LN(AN30)-LN(AO30))</f>
        <v/>
      </c>
      <c r="AQ30" t="n">
        <v>3666</v>
      </c>
      <c r="AR30" t="n">
        <v>75047</v>
      </c>
      <c r="AS30" s="88">
        <f>IF(OR(AQ30&lt;=0,AR30&lt;=0),"",LN(AQ30)-LN(AR30))</f>
        <v/>
      </c>
      <c r="AT30" t="n">
        <v>4239</v>
      </c>
      <c r="AU30" t="n">
        <v>74181</v>
      </c>
      <c r="AV30" t="n">
        <v>383</v>
      </c>
      <c r="AW30" t="n">
        <v>304</v>
      </c>
      <c r="AX30" t="n">
        <v>3433</v>
      </c>
      <c r="AY30" s="88">
        <f>IF(OR(AT30&lt;=0,AU30&lt;=0),"",LN(AT30)-LN(AU30))</f>
        <v/>
      </c>
      <c r="AZ30" s="46" t="n">
        <v>9.199999999999999</v>
      </c>
      <c r="BA30" s="46" t="n">
        <v>12.65</v>
      </c>
      <c r="BB30" s="47" t="n">
        <v>2</v>
      </c>
    </row>
    <row r="31">
      <c r="A31" s="48" t="n">
        <v>45321</v>
      </c>
      <c r="B31" s="49" t="n">
        <v>86595</v>
      </c>
      <c r="C31" s="50" t="n">
        <v>41.48</v>
      </c>
      <c r="D31" s="51" t="inlineStr">
        <is>
          <t>Bad</t>
        </is>
      </c>
      <c r="E31" s="52" t="n">
        <v>1.4</v>
      </c>
      <c r="F31" s="52" t="n"/>
      <c r="G31" s="51" t="inlineStr">
        <is>
          <t>Tue</t>
        </is>
      </c>
      <c r="H31" s="51" t="inlineStr">
        <is>
          <t>Weekday</t>
        </is>
      </c>
      <c r="I31" s="51" t="inlineStr">
        <is>
          <t>Winter</t>
        </is>
      </c>
      <c r="J31" s="51" t="n">
        <v>25</v>
      </c>
      <c r="K31" s="51" t="inlineStr">
        <is>
          <t>강수량 공란</t>
        </is>
      </c>
      <c r="L31" s="46" t="n">
        <v>57.36</v>
      </c>
      <c r="M31" t="inlineStr">
        <is>
          <t>Moderate</t>
        </is>
      </c>
      <c r="N31" s="87" t="n">
        <v>25</v>
      </c>
      <c r="O31" s="87" t="n">
        <v>0</v>
      </c>
      <c r="P31" s="87" t="n">
        <v>0</v>
      </c>
      <c r="Q31" s="87" t="n">
        <v>0</v>
      </c>
      <c r="R31" s="87" t="n">
        <v>0</v>
      </c>
      <c r="S31" s="47" t="n">
        <v>1.4</v>
      </c>
      <c r="T31" s="47" t="n">
        <v>59.3</v>
      </c>
      <c r="U31" s="47" t="n"/>
      <c r="V31" s="87" t="n">
        <v>0</v>
      </c>
      <c r="W31" s="87" t="n">
        <v>0</v>
      </c>
      <c r="Y31" t="inlineStr">
        <is>
          <t>Jan</t>
        </is>
      </c>
      <c r="Z31" s="87" t="n">
        <v>2024</v>
      </c>
      <c r="AA31" s="47">
        <f>IF(F31="",0,F31)</f>
        <v/>
      </c>
      <c r="AB31" s="87">
        <f>IF(AA31&gt;=0.1,1,0)</f>
        <v/>
      </c>
      <c r="AC31" s="87" t="n">
        <v>0</v>
      </c>
      <c r="AD31" s="47">
        <f>IF(U31="",0,U31)</f>
        <v/>
      </c>
      <c r="AE31" s="87">
        <f>IF(OR(V31=1,W31=1),1,0)</f>
        <v/>
      </c>
      <c r="AF31" s="87" t="n">
        <v>0</v>
      </c>
      <c r="AG31" t="n">
        <v>4295</v>
      </c>
      <c r="AH31" t="n">
        <v>82299</v>
      </c>
      <c r="AI31" t="n">
        <v>1</v>
      </c>
      <c r="AJ31" s="88">
        <f>IF(OR(AG31&lt;=0,AH31&lt;=0),"",LN(AG31)-LN(AH31))</f>
        <v/>
      </c>
      <c r="AK31" t="n">
        <v>12218</v>
      </c>
      <c r="AL31" t="n">
        <v>74376</v>
      </c>
      <c r="AM31" s="88">
        <f>IF(OR(AK31&lt;=0,AL31&lt;=0),"",LN(AK31)-LN(AL31))</f>
        <v/>
      </c>
      <c r="AN31" t="n">
        <v>4098</v>
      </c>
      <c r="AO31" t="n">
        <v>79354</v>
      </c>
      <c r="AP31" s="88">
        <f>IF(OR(AN31&lt;=0,AO31&lt;=0),"",LN(AN31)-LN(AO31))</f>
        <v/>
      </c>
      <c r="AQ31" t="n">
        <v>4177</v>
      </c>
      <c r="AR31" t="n">
        <v>82299</v>
      </c>
      <c r="AS31" s="88">
        <f>IF(OR(AQ31&lt;=0,AR31&lt;=0),"",LN(AQ31)-LN(AR31))</f>
        <v/>
      </c>
      <c r="AT31" t="n">
        <v>4566</v>
      </c>
      <c r="AU31" t="n">
        <v>81627</v>
      </c>
      <c r="AV31" t="n">
        <v>408</v>
      </c>
      <c r="AW31" t="n">
        <v>340</v>
      </c>
      <c r="AX31" t="n">
        <v>3936</v>
      </c>
      <c r="AY31" s="88">
        <f>IF(OR(AT31&lt;=0,AU31&lt;=0),"",LN(AT31)-LN(AU31))</f>
        <v/>
      </c>
      <c r="AZ31" s="46" t="n">
        <v>9.4</v>
      </c>
      <c r="BA31" s="46" t="n">
        <v>12.73</v>
      </c>
      <c r="BB31" s="47" t="n">
        <v>2.3</v>
      </c>
    </row>
    <row r="32">
      <c r="A32" s="48" t="n">
        <v>45322</v>
      </c>
      <c r="B32" s="49" t="n">
        <v>93212</v>
      </c>
      <c r="C32" s="50" t="n">
        <v>41.08</v>
      </c>
      <c r="D32" s="51" t="inlineStr">
        <is>
          <t>Bad</t>
        </is>
      </c>
      <c r="E32" s="52" t="n">
        <v>4.7</v>
      </c>
      <c r="F32" s="52" t="n"/>
      <c r="G32" s="51" t="inlineStr">
        <is>
          <t>Wed</t>
        </is>
      </c>
      <c r="H32" s="51" t="inlineStr">
        <is>
          <t>Weekday</t>
        </is>
      </c>
      <c r="I32" s="51" t="inlineStr">
        <is>
          <t>Winter</t>
        </is>
      </c>
      <c r="J32" s="51" t="n">
        <v>25</v>
      </c>
      <c r="K32" s="51" t="inlineStr">
        <is>
          <t>강수량 공란</t>
        </is>
      </c>
      <c r="L32" s="46" t="n">
        <v>56.8</v>
      </c>
      <c r="M32" t="inlineStr">
        <is>
          <t>Moderate</t>
        </is>
      </c>
      <c r="N32" s="87" t="n">
        <v>25</v>
      </c>
      <c r="O32" s="87" t="n">
        <v>0</v>
      </c>
      <c r="P32" s="87" t="n">
        <v>0</v>
      </c>
      <c r="Q32" s="87" t="n">
        <v>0</v>
      </c>
      <c r="R32" s="87" t="n">
        <v>0</v>
      </c>
      <c r="S32" s="47" t="n">
        <v>1.9</v>
      </c>
      <c r="T32" s="47" t="n">
        <v>54.1</v>
      </c>
      <c r="U32" s="47" t="n"/>
      <c r="V32" s="87" t="n">
        <v>0</v>
      </c>
      <c r="W32" s="87" t="n">
        <v>0</v>
      </c>
      <c r="Y32" t="inlineStr">
        <is>
          <t>Jan</t>
        </is>
      </c>
      <c r="Z32" s="87" t="n">
        <v>2024</v>
      </c>
      <c r="AA32" s="47">
        <f>IF(F32="",0,F32)</f>
        <v/>
      </c>
      <c r="AB32" s="87">
        <f>IF(AA32&gt;=0.1,1,0)</f>
        <v/>
      </c>
      <c r="AC32" s="87" t="n">
        <v>0</v>
      </c>
      <c r="AD32" s="47">
        <f>IF(U32="",0,U32)</f>
        <v/>
      </c>
      <c r="AE32" s="87">
        <f>IF(OR(V32=1,W32=1),1,0)</f>
        <v/>
      </c>
      <c r="AF32" s="87" t="n">
        <v>0</v>
      </c>
      <c r="AG32" t="n">
        <v>4679</v>
      </c>
      <c r="AH32" t="n">
        <v>88533</v>
      </c>
      <c r="AI32" t="n">
        <v>0</v>
      </c>
      <c r="AJ32" s="88">
        <f>IF(OR(AG32&lt;=0,AH32&lt;=0),"",LN(AG32)-LN(AH32))</f>
        <v/>
      </c>
      <c r="AK32" t="n">
        <v>13197</v>
      </c>
      <c r="AL32" t="n">
        <v>80015</v>
      </c>
      <c r="AM32" s="88">
        <f>IF(OR(AK32&lt;=0,AL32&lt;=0),"",LN(AK32)-LN(AL32))</f>
        <v/>
      </c>
      <c r="AN32" t="n">
        <v>4472</v>
      </c>
      <c r="AO32" t="n">
        <v>85342</v>
      </c>
      <c r="AP32" s="88">
        <f>IF(OR(AN32&lt;=0,AO32&lt;=0),"",LN(AN32)-LN(AO32))</f>
        <v/>
      </c>
      <c r="AQ32" t="n">
        <v>4577</v>
      </c>
      <c r="AR32" t="n">
        <v>88533</v>
      </c>
      <c r="AS32" s="88">
        <f>IF(OR(AQ32&lt;=0,AR32&lt;=0),"",LN(AQ32)-LN(AR32))</f>
        <v/>
      </c>
      <c r="AT32" t="n">
        <v>5099</v>
      </c>
      <c r="AU32" t="n">
        <v>87645</v>
      </c>
      <c r="AV32" t="n">
        <v>470</v>
      </c>
      <c r="AW32" t="n">
        <v>390</v>
      </c>
      <c r="AX32" t="n">
        <v>4272</v>
      </c>
      <c r="AY32" s="88">
        <f>IF(OR(AT32&lt;=0,AU32&lt;=0),"",LN(AT32)-LN(AU32))</f>
        <v/>
      </c>
      <c r="AZ32" s="46" t="n">
        <v>8.9</v>
      </c>
      <c r="BA32" s="46" t="n">
        <v>12.65</v>
      </c>
      <c r="BB32" s="47" t="n">
        <v>2.6</v>
      </c>
    </row>
    <row r="33">
      <c r="A33" s="48" t="n">
        <v>45323</v>
      </c>
      <c r="B33" s="49" t="n">
        <v>91540</v>
      </c>
      <c r="C33" s="50" t="n">
        <v>60.32</v>
      </c>
      <c r="D33" s="51" t="inlineStr">
        <is>
          <t>Bad</t>
        </is>
      </c>
      <c r="E33" s="52" t="n">
        <v>2.4</v>
      </c>
      <c r="F33" s="52" t="n"/>
      <c r="G33" s="51" t="inlineStr">
        <is>
          <t>Thu</t>
        </is>
      </c>
      <c r="H33" s="51" t="inlineStr">
        <is>
          <t>Weekday</t>
        </is>
      </c>
      <c r="I33" s="51" t="inlineStr">
        <is>
          <t>Winter</t>
        </is>
      </c>
      <c r="J33" s="51" t="n">
        <v>25</v>
      </c>
      <c r="K33" s="51" t="inlineStr">
        <is>
          <t>강수량 공란</t>
        </is>
      </c>
      <c r="L33" s="46" t="n">
        <v>80.16</v>
      </c>
      <c r="M33" t="inlineStr">
        <is>
          <t>Bad</t>
        </is>
      </c>
      <c r="N33" s="87" t="n">
        <v>25</v>
      </c>
      <c r="O33" s="87" t="n">
        <v>0</v>
      </c>
      <c r="P33" s="87" t="n">
        <v>0</v>
      </c>
      <c r="Q33" s="87" t="n">
        <v>0</v>
      </c>
      <c r="R33" s="87" t="n">
        <v>0</v>
      </c>
      <c r="S33" s="47" t="n">
        <v>2.1</v>
      </c>
      <c r="T33" s="47" t="n">
        <v>64.90000000000001</v>
      </c>
      <c r="U33" s="47" t="n"/>
      <c r="V33" s="87" t="n">
        <v>0</v>
      </c>
      <c r="W33" s="87" t="n">
        <v>0</v>
      </c>
      <c r="Y33" t="inlineStr">
        <is>
          <t>Feb</t>
        </is>
      </c>
      <c r="Z33" s="87" t="n">
        <v>2024</v>
      </c>
      <c r="AA33" s="47">
        <f>IF(F33="",0,F33)</f>
        <v/>
      </c>
      <c r="AB33" s="87">
        <f>IF(AA33&gt;=0.1,1,0)</f>
        <v/>
      </c>
      <c r="AC33" s="87" t="n">
        <v>0</v>
      </c>
      <c r="AD33" s="47">
        <f>IF(U33="",0,U33)</f>
        <v/>
      </c>
      <c r="AE33" s="87">
        <f>IF(OR(V33=1,W33=1),1,0)</f>
        <v/>
      </c>
      <c r="AF33" s="87" t="n">
        <v>0</v>
      </c>
      <c r="AG33" t="n">
        <v>4221</v>
      </c>
      <c r="AH33" t="n">
        <v>87318</v>
      </c>
      <c r="AI33" t="n">
        <v>1</v>
      </c>
      <c r="AJ33" s="88">
        <f>IF(OR(AG33&lt;=0,AH33&lt;=0),"",LN(AG33)-LN(AH33))</f>
        <v/>
      </c>
      <c r="AK33" t="n">
        <v>12695</v>
      </c>
      <c r="AL33" t="n">
        <v>78844</v>
      </c>
      <c r="AM33" s="88">
        <f>IF(OR(AK33&lt;=0,AL33&lt;=0),"",LN(AK33)-LN(AL33))</f>
        <v/>
      </c>
      <c r="AN33" t="n">
        <v>4028</v>
      </c>
      <c r="AO33" t="n">
        <v>84256</v>
      </c>
      <c r="AP33" s="88">
        <f>IF(OR(AN33&lt;=0,AO33&lt;=0),"",LN(AN33)-LN(AO33))</f>
        <v/>
      </c>
      <c r="AQ33" t="n">
        <v>4102</v>
      </c>
      <c r="AR33" t="n">
        <v>87318</v>
      </c>
      <c r="AS33" s="88">
        <f>IF(OR(AQ33&lt;=0,AR33&lt;=0),"",LN(AQ33)-LN(AR33))</f>
        <v/>
      </c>
      <c r="AT33" t="n">
        <v>4827</v>
      </c>
      <c r="AU33" t="n">
        <v>86226</v>
      </c>
      <c r="AV33" t="n">
        <v>491</v>
      </c>
      <c r="AW33" t="n">
        <v>341</v>
      </c>
      <c r="AX33" t="n">
        <v>3860</v>
      </c>
      <c r="AY33" s="88">
        <f>IF(OR(AT33&lt;=0,AU33&lt;=0),"",LN(AT33)-LN(AU33))</f>
        <v/>
      </c>
      <c r="AZ33" s="46" t="n">
        <v>6.8</v>
      </c>
      <c r="BA33" s="46" t="n">
        <v>10.12</v>
      </c>
      <c r="BB33" s="47" t="n">
        <v>6.4</v>
      </c>
    </row>
    <row r="34">
      <c r="A34" s="48" t="n">
        <v>45324</v>
      </c>
      <c r="B34" s="49" t="n">
        <v>94969</v>
      </c>
      <c r="C34" s="50" t="n">
        <v>32.72</v>
      </c>
      <c r="D34" s="51" t="inlineStr">
        <is>
          <t>Moderate</t>
        </is>
      </c>
      <c r="E34" s="52" t="n">
        <v>3.1</v>
      </c>
      <c r="F34" s="52" t="n"/>
      <c r="G34" s="51" t="inlineStr">
        <is>
          <t>Fri</t>
        </is>
      </c>
      <c r="H34" s="51" t="inlineStr">
        <is>
          <t>Weekday</t>
        </is>
      </c>
      <c r="I34" s="51" t="inlineStr">
        <is>
          <t>Winter</t>
        </is>
      </c>
      <c r="J34" s="51" t="n">
        <v>25</v>
      </c>
      <c r="K34" s="51" t="inlineStr">
        <is>
          <t>강수량 공란</t>
        </is>
      </c>
      <c r="L34" s="46" t="n">
        <v>45</v>
      </c>
      <c r="M34" t="inlineStr">
        <is>
          <t>Moderate</t>
        </is>
      </c>
      <c r="N34" s="87" t="n">
        <v>25</v>
      </c>
      <c r="O34" s="87" t="n">
        <v>0</v>
      </c>
      <c r="P34" s="87" t="n">
        <v>0</v>
      </c>
      <c r="Q34" s="87" t="n">
        <v>0</v>
      </c>
      <c r="R34" s="87" t="n">
        <v>0</v>
      </c>
      <c r="S34" s="47" t="n">
        <v>2.1</v>
      </c>
      <c r="T34" s="47" t="n">
        <v>65.5</v>
      </c>
      <c r="U34" s="47" t="n"/>
      <c r="V34" s="87" t="n">
        <v>0</v>
      </c>
      <c r="W34" s="87" t="n">
        <v>0</v>
      </c>
      <c r="Y34" t="inlineStr">
        <is>
          <t>Feb</t>
        </is>
      </c>
      <c r="Z34" s="87" t="n">
        <v>2024</v>
      </c>
      <c r="AA34" s="47">
        <f>IF(F34="",0,F34)</f>
        <v/>
      </c>
      <c r="AB34" s="87">
        <f>IF(AA34&gt;=0.1,1,0)</f>
        <v/>
      </c>
      <c r="AC34" s="87" t="n">
        <v>0</v>
      </c>
      <c r="AD34" s="47">
        <f>IF(U34="",0,U34)</f>
        <v/>
      </c>
      <c r="AE34" s="87">
        <f>IF(OR(V34=1,W34=1),1,0)</f>
        <v/>
      </c>
      <c r="AF34" s="87" t="n">
        <v>0</v>
      </c>
      <c r="AG34" t="n">
        <v>4504</v>
      </c>
      <c r="AH34" t="n">
        <v>90465</v>
      </c>
      <c r="AI34" t="n">
        <v>0</v>
      </c>
      <c r="AJ34" s="88">
        <f>IF(OR(AG34&lt;=0,AH34&lt;=0),"",LN(AG34)-LN(AH34))</f>
        <v/>
      </c>
      <c r="AK34" t="n">
        <v>13039</v>
      </c>
      <c r="AL34" t="n">
        <v>81930</v>
      </c>
      <c r="AM34" s="88">
        <f>IF(OR(AK34&lt;=0,AL34&lt;=0),"",LN(AK34)-LN(AL34))</f>
        <v/>
      </c>
      <c r="AN34" t="n">
        <v>4285</v>
      </c>
      <c r="AO34" t="n">
        <v>87265</v>
      </c>
      <c r="AP34" s="88">
        <f>IF(OR(AN34&lt;=0,AO34&lt;=0),"",LN(AN34)-LN(AO34))</f>
        <v/>
      </c>
      <c r="AQ34" t="n">
        <v>4385</v>
      </c>
      <c r="AR34" t="n">
        <v>90465</v>
      </c>
      <c r="AS34" s="88">
        <f>IF(OR(AQ34&lt;=0,AR34&lt;=0),"",LN(AQ34)-LN(AR34))</f>
        <v/>
      </c>
      <c r="AT34" t="n">
        <v>5277</v>
      </c>
      <c r="AU34" t="n">
        <v>89193</v>
      </c>
      <c r="AV34" t="n">
        <v>504</v>
      </c>
      <c r="AW34" t="n">
        <v>383</v>
      </c>
      <c r="AX34" t="n">
        <v>4091</v>
      </c>
      <c r="AY34" s="88">
        <f>IF(OR(AT34&lt;=0,AU34&lt;=0),"",LN(AT34)-LN(AU34))</f>
        <v/>
      </c>
      <c r="AZ34" s="46" t="n">
        <v>4.4</v>
      </c>
      <c r="BA34" s="46" t="n">
        <v>10.3</v>
      </c>
      <c r="BB34" s="47" t="n">
        <v>5.4</v>
      </c>
    </row>
    <row r="35">
      <c r="A35" s="48" t="n">
        <v>45325</v>
      </c>
      <c r="B35" s="49" t="n">
        <v>67693</v>
      </c>
      <c r="C35" s="50" t="n">
        <v>26</v>
      </c>
      <c r="D35" s="51" t="inlineStr">
        <is>
          <t>Moderate</t>
        </is>
      </c>
      <c r="E35" s="52" t="n">
        <v>4.7</v>
      </c>
      <c r="F35" s="52" t="n">
        <v>0</v>
      </c>
      <c r="G35" s="51" t="inlineStr">
        <is>
          <t>Sat</t>
        </is>
      </c>
      <c r="H35" s="51" t="inlineStr">
        <is>
          <t>Weekend</t>
        </is>
      </c>
      <c r="I35" s="51" t="inlineStr">
        <is>
          <t>Winter</t>
        </is>
      </c>
      <c r="J35" s="51" t="n">
        <v>25</v>
      </c>
      <c r="K35" s="51" t="inlineStr">
        <is>
          <t>OK</t>
        </is>
      </c>
      <c r="L35" s="46" t="n">
        <v>35.72</v>
      </c>
      <c r="M35" t="inlineStr">
        <is>
          <t>Moderate</t>
        </is>
      </c>
      <c r="N35" s="87" t="n">
        <v>25</v>
      </c>
      <c r="O35" s="87" t="n">
        <v>0</v>
      </c>
      <c r="P35" s="87" t="n">
        <v>0</v>
      </c>
      <c r="Q35" s="87" t="n">
        <v>0</v>
      </c>
      <c r="R35" s="87" t="n">
        <v>0</v>
      </c>
      <c r="S35" s="47" t="n">
        <v>2.2</v>
      </c>
      <c r="T35" s="47" t="n">
        <v>63.9</v>
      </c>
      <c r="U35" s="47" t="n"/>
      <c r="V35" s="87" t="n">
        <v>1</v>
      </c>
      <c r="W35" s="87" t="n">
        <v>0</v>
      </c>
      <c r="Y35" t="inlineStr">
        <is>
          <t>Feb</t>
        </is>
      </c>
      <c r="Z35" s="87" t="n">
        <v>2024</v>
      </c>
      <c r="AA35" s="47">
        <f>IF(F35="",0,F35)</f>
        <v/>
      </c>
      <c r="AB35" s="87">
        <f>IF(AA35&gt;=0.1,1,0)</f>
        <v/>
      </c>
      <c r="AC35" s="87" t="n">
        <v>1</v>
      </c>
      <c r="AD35" s="47">
        <f>IF(U35="",0,U35)</f>
        <v/>
      </c>
      <c r="AE35" s="87">
        <f>IF(OR(V35=1,W35=1),1,0)</f>
        <v/>
      </c>
      <c r="AF35" s="87" t="n">
        <v>0</v>
      </c>
      <c r="AG35" t="n">
        <v>3678</v>
      </c>
      <c r="AH35" t="n">
        <v>64015</v>
      </c>
      <c r="AI35" t="n">
        <v>0</v>
      </c>
      <c r="AJ35" s="88">
        <f>IF(OR(AG35&lt;=0,AH35&lt;=0),"",LN(AG35)-LN(AH35))</f>
        <v/>
      </c>
      <c r="AK35" t="n">
        <v>9587</v>
      </c>
      <c r="AL35" t="n">
        <v>58106</v>
      </c>
      <c r="AM35" s="88">
        <f>IF(OR(AK35&lt;=0,AL35&lt;=0),"",LN(AK35)-LN(AL35))</f>
        <v/>
      </c>
      <c r="AN35" t="n">
        <v>3486</v>
      </c>
      <c r="AO35" t="n">
        <v>61787</v>
      </c>
      <c r="AP35" s="88">
        <f>IF(OR(AN35&lt;=0,AO35&lt;=0),"",LN(AN35)-LN(AO35))</f>
        <v/>
      </c>
      <c r="AQ35" t="n">
        <v>3574</v>
      </c>
      <c r="AR35" t="n">
        <v>64015</v>
      </c>
      <c r="AS35" s="88">
        <f>IF(OR(AQ35&lt;=0,AR35&lt;=0),"",LN(AQ35)-LN(AR35))</f>
        <v/>
      </c>
      <c r="AT35" t="n">
        <v>4780</v>
      </c>
      <c r="AU35" t="n">
        <v>62619</v>
      </c>
      <c r="AV35" t="n">
        <v>296</v>
      </c>
      <c r="AW35" t="n">
        <v>446</v>
      </c>
      <c r="AX35" t="n">
        <v>3212</v>
      </c>
      <c r="AY35" s="88">
        <f>IF(OR(AT35&lt;=0,AU35&lt;=0),"",LN(AT35)-LN(AU35))</f>
        <v/>
      </c>
      <c r="AZ35" s="46" t="n">
        <v>1</v>
      </c>
      <c r="BA35" s="46" t="n">
        <v>6.77</v>
      </c>
      <c r="BB35" s="47" t="n">
        <v>8.4</v>
      </c>
    </row>
    <row r="36">
      <c r="A36" s="48" t="n">
        <v>45326</v>
      </c>
      <c r="B36" s="49" t="n">
        <v>72950</v>
      </c>
      <c r="C36" s="50" t="n">
        <v>16.64</v>
      </c>
      <c r="D36" s="51" t="inlineStr">
        <is>
          <t>Moderate</t>
        </is>
      </c>
      <c r="E36" s="52" t="n">
        <v>7.3</v>
      </c>
      <c r="F36" s="52" t="n"/>
      <c r="G36" s="51" t="inlineStr">
        <is>
          <t>Sun</t>
        </is>
      </c>
      <c r="H36" s="51" t="inlineStr">
        <is>
          <t>Weekend</t>
        </is>
      </c>
      <c r="I36" s="51" t="inlineStr">
        <is>
          <t>Winter</t>
        </is>
      </c>
      <c r="J36" s="51" t="n">
        <v>25</v>
      </c>
      <c r="K36" s="51" t="inlineStr">
        <is>
          <t>강수량 공란</t>
        </is>
      </c>
      <c r="L36" s="46" t="n">
        <v>22.92</v>
      </c>
      <c r="M36" t="inlineStr">
        <is>
          <t>Good</t>
        </is>
      </c>
      <c r="N36" s="87" t="n">
        <v>25</v>
      </c>
      <c r="O36" s="87" t="n">
        <v>0</v>
      </c>
      <c r="P36" s="87" t="n">
        <v>0</v>
      </c>
      <c r="Q36" s="87" t="n">
        <v>0</v>
      </c>
      <c r="R36" s="87" t="n">
        <v>0</v>
      </c>
      <c r="S36" s="47" t="n">
        <v>1.8</v>
      </c>
      <c r="T36" s="47" t="n">
        <v>60.9</v>
      </c>
      <c r="U36" s="47" t="n"/>
      <c r="V36" s="87" t="n">
        <v>1</v>
      </c>
      <c r="W36" s="87" t="n">
        <v>0</v>
      </c>
      <c r="Y36" t="inlineStr">
        <is>
          <t>Feb</t>
        </is>
      </c>
      <c r="Z36" s="87" t="n">
        <v>2024</v>
      </c>
      <c r="AA36" s="47">
        <f>IF(F36="",0,F36)</f>
        <v/>
      </c>
      <c r="AB36" s="87">
        <f>IF(AA36&gt;=0.1,1,0)</f>
        <v/>
      </c>
      <c r="AC36" s="87" t="n">
        <v>0</v>
      </c>
      <c r="AD36" s="47">
        <f>IF(U36="",0,U36)</f>
        <v/>
      </c>
      <c r="AE36" s="87">
        <f>IF(OR(V36=1,W36=1),1,0)</f>
        <v/>
      </c>
      <c r="AF36" s="87" t="n">
        <v>0</v>
      </c>
      <c r="AG36" t="n">
        <v>5393</v>
      </c>
      <c r="AH36" t="n">
        <v>67557</v>
      </c>
      <c r="AI36" t="n">
        <v>0</v>
      </c>
      <c r="AJ36" s="88">
        <f>IF(OR(AG36&lt;=0,AH36&lt;=0),"",LN(AG36)-LN(AH36))</f>
        <v/>
      </c>
      <c r="AK36" t="n">
        <v>12162</v>
      </c>
      <c r="AL36" t="n">
        <v>60788</v>
      </c>
      <c r="AM36" s="88">
        <f>IF(OR(AK36&lt;=0,AL36&lt;=0),"",LN(AK36)-LN(AL36))</f>
        <v/>
      </c>
      <c r="AN36" t="n">
        <v>5049</v>
      </c>
      <c r="AO36" t="n">
        <v>65278</v>
      </c>
      <c r="AP36" s="88">
        <f>IF(OR(AN36&lt;=0,AO36&lt;=0),"",LN(AN36)-LN(AO36))</f>
        <v/>
      </c>
      <c r="AQ36" t="n">
        <v>5239</v>
      </c>
      <c r="AR36" t="n">
        <v>67557</v>
      </c>
      <c r="AS36" s="88">
        <f>IF(OR(AQ36&lt;=0,AR36&lt;=0),"",LN(AQ36)-LN(AR36))</f>
        <v/>
      </c>
      <c r="AT36" t="n">
        <v>6191</v>
      </c>
      <c r="AU36" t="n">
        <v>66395</v>
      </c>
      <c r="AV36" t="n">
        <v>367</v>
      </c>
      <c r="AW36" t="n">
        <v>799</v>
      </c>
      <c r="AX36" t="n">
        <v>4548</v>
      </c>
      <c r="AY36" s="88">
        <f>IF(OR(AT36&lt;=0,AU36&lt;=0),"",LN(AT36)-LN(AU36))</f>
        <v/>
      </c>
      <c r="AZ36" s="46" t="n">
        <v>4.6</v>
      </c>
      <c r="BA36" s="46" t="n">
        <v>10.88</v>
      </c>
      <c r="BB36" s="47" t="n">
        <v>8.6</v>
      </c>
    </row>
    <row r="37">
      <c r="A37" s="48" t="n">
        <v>45327</v>
      </c>
      <c r="B37" s="49" t="n">
        <v>28209</v>
      </c>
      <c r="C37" s="50" t="n">
        <v>2.96</v>
      </c>
      <c r="D37" s="51" t="inlineStr">
        <is>
          <t>Good</t>
        </is>
      </c>
      <c r="E37" s="52" t="n">
        <v>2.7</v>
      </c>
      <c r="F37" s="52" t="n">
        <v>3.9</v>
      </c>
      <c r="G37" s="51" t="inlineStr">
        <is>
          <t>Mon</t>
        </is>
      </c>
      <c r="H37" s="51" t="inlineStr">
        <is>
          <t>Weekday</t>
        </is>
      </c>
      <c r="I37" s="51" t="inlineStr">
        <is>
          <t>Winter</t>
        </is>
      </c>
      <c r="J37" s="51" t="n">
        <v>25</v>
      </c>
      <c r="K37" s="51" t="inlineStr">
        <is>
          <t>OK</t>
        </is>
      </c>
      <c r="L37" s="46" t="n">
        <v>5.84</v>
      </c>
      <c r="M37" t="inlineStr">
        <is>
          <t>Good</t>
        </is>
      </c>
      <c r="N37" s="87" t="n">
        <v>25</v>
      </c>
      <c r="O37" s="87" t="n">
        <v>0</v>
      </c>
      <c r="P37" s="87" t="n">
        <v>0</v>
      </c>
      <c r="Q37" s="87" t="n">
        <v>0</v>
      </c>
      <c r="R37" s="87" t="n">
        <v>0</v>
      </c>
      <c r="S37" s="47" t="n">
        <v>5</v>
      </c>
      <c r="T37" s="47" t="n">
        <v>81.8</v>
      </c>
      <c r="U37" s="47" t="n">
        <v>3.6</v>
      </c>
      <c r="V37" s="87" t="n">
        <v>0</v>
      </c>
      <c r="W37" s="87" t="n">
        <v>0</v>
      </c>
      <c r="Y37" t="inlineStr">
        <is>
          <t>Feb</t>
        </is>
      </c>
      <c r="Z37" s="87" t="n">
        <v>2024</v>
      </c>
      <c r="AA37" s="47">
        <f>IF(F37="",0,F37)</f>
        <v/>
      </c>
      <c r="AB37" s="87">
        <f>IF(AA37&gt;=0.1,1,0)</f>
        <v/>
      </c>
      <c r="AC37" s="87" t="n">
        <v>0</v>
      </c>
      <c r="AD37" s="47">
        <f>IF(U37="",0,U37)</f>
        <v/>
      </c>
      <c r="AE37" s="87">
        <f>IF(OR(V37=1,W37=1),1,0)</f>
        <v/>
      </c>
      <c r="AF37" s="87" t="n">
        <v>0</v>
      </c>
      <c r="AG37" t="n">
        <v>1145</v>
      </c>
      <c r="AH37" t="n">
        <v>27064</v>
      </c>
      <c r="AI37" t="n">
        <v>0</v>
      </c>
      <c r="AJ37" s="88">
        <f>IF(OR(AG37&lt;=0,AH37&lt;=0),"",LN(AG37)-LN(AH37))</f>
        <v/>
      </c>
      <c r="AK37" t="n">
        <v>3395</v>
      </c>
      <c r="AL37" t="n">
        <v>24814</v>
      </c>
      <c r="AM37" s="88">
        <f>IF(OR(AK37&lt;=0,AL37&lt;=0),"",LN(AK37)-LN(AL37))</f>
        <v/>
      </c>
      <c r="AN37" t="n">
        <v>1095</v>
      </c>
      <c r="AO37" t="n">
        <v>26064</v>
      </c>
      <c r="AP37" s="88">
        <f>IF(OR(AN37&lt;=0,AO37&lt;=0),"",LN(AN37)-LN(AO37))</f>
        <v/>
      </c>
      <c r="AQ37" t="n">
        <v>1123</v>
      </c>
      <c r="AR37" t="n">
        <v>27064</v>
      </c>
      <c r="AS37" s="88">
        <f>IF(OR(AQ37&lt;=0,AR37&lt;=0),"",LN(AQ37)-LN(AR37))</f>
        <v/>
      </c>
      <c r="AT37" t="n">
        <v>1811</v>
      </c>
      <c r="AU37" t="n">
        <v>26249</v>
      </c>
      <c r="AV37" t="n">
        <v>150</v>
      </c>
      <c r="AW37" t="n">
        <v>93</v>
      </c>
      <c r="AX37" t="n">
        <v>1046</v>
      </c>
      <c r="AY37" s="88">
        <f>IF(OR(AT37&lt;=0,AU37&lt;=0),"",LN(AT37)-LN(AU37))</f>
        <v/>
      </c>
      <c r="AZ37" s="46" t="n">
        <v>0</v>
      </c>
      <c r="BA37" s="46" t="n">
        <v>3.47</v>
      </c>
      <c r="BB37" s="47" t="n">
        <v>10</v>
      </c>
    </row>
    <row r="38">
      <c r="A38" s="48" t="n">
        <v>45328</v>
      </c>
      <c r="B38" s="49" t="n">
        <v>75264</v>
      </c>
      <c r="C38" s="50" t="n">
        <v>9.56</v>
      </c>
      <c r="D38" s="51" t="inlineStr">
        <is>
          <t>Good</t>
        </is>
      </c>
      <c r="E38" s="52" t="n">
        <v>1.2</v>
      </c>
      <c r="F38" s="52" t="n">
        <v>0.2</v>
      </c>
      <c r="G38" s="51" t="inlineStr">
        <is>
          <t>Tue</t>
        </is>
      </c>
      <c r="H38" s="51" t="inlineStr">
        <is>
          <t>Weekday</t>
        </is>
      </c>
      <c r="I38" s="51" t="inlineStr">
        <is>
          <t>Winter</t>
        </is>
      </c>
      <c r="J38" s="51" t="n">
        <v>25</v>
      </c>
      <c r="K38" s="51" t="inlineStr">
        <is>
          <t>OK</t>
        </is>
      </c>
      <c r="L38" s="46" t="n">
        <v>13.72</v>
      </c>
      <c r="M38" t="inlineStr">
        <is>
          <t>Good</t>
        </is>
      </c>
      <c r="N38" s="87" t="n">
        <v>25</v>
      </c>
      <c r="O38" s="87" t="n">
        <v>0</v>
      </c>
      <c r="P38" s="87" t="n">
        <v>0</v>
      </c>
      <c r="Q38" s="87" t="n">
        <v>0</v>
      </c>
      <c r="R38" s="87" t="n">
        <v>0</v>
      </c>
      <c r="S38" s="47" t="n">
        <v>2.2</v>
      </c>
      <c r="T38" s="47" t="n">
        <v>83.5</v>
      </c>
      <c r="U38" s="47" t="n">
        <v>0.2</v>
      </c>
      <c r="V38" s="87" t="n">
        <v>0</v>
      </c>
      <c r="W38" s="87" t="n">
        <v>0</v>
      </c>
      <c r="Y38" t="inlineStr">
        <is>
          <t>Feb</t>
        </is>
      </c>
      <c r="Z38" s="87" t="n">
        <v>2024</v>
      </c>
      <c r="AA38" s="47">
        <f>IF(F38="",0,F38)</f>
        <v/>
      </c>
      <c r="AB38" s="87">
        <f>IF(AA38&gt;=0.1,1,0)</f>
        <v/>
      </c>
      <c r="AC38" s="87" t="n">
        <v>0</v>
      </c>
      <c r="AD38" s="47">
        <f>IF(U38="",0,U38)</f>
        <v/>
      </c>
      <c r="AE38" s="87">
        <f>IF(OR(V38=1,W38=1),1,0)</f>
        <v/>
      </c>
      <c r="AF38" s="87" t="n">
        <v>0</v>
      </c>
      <c r="AG38" t="n">
        <v>3371</v>
      </c>
      <c r="AH38" t="n">
        <v>71892</v>
      </c>
      <c r="AI38" t="n">
        <v>1</v>
      </c>
      <c r="AJ38" s="88">
        <f>IF(OR(AG38&lt;=0,AH38&lt;=0),"",LN(AG38)-LN(AH38))</f>
        <v/>
      </c>
      <c r="AK38" t="n">
        <v>10218</v>
      </c>
      <c r="AL38" t="n">
        <v>65045</v>
      </c>
      <c r="AM38" s="88">
        <f>IF(OR(AK38&lt;=0,AL38&lt;=0),"",LN(AK38)-LN(AL38))</f>
        <v/>
      </c>
      <c r="AN38" t="n">
        <v>3232</v>
      </c>
      <c r="AO38" t="n">
        <v>69319</v>
      </c>
      <c r="AP38" s="88">
        <f>IF(OR(AN38&lt;=0,AO38&lt;=0),"",LN(AN38)-LN(AO38))</f>
        <v/>
      </c>
      <c r="AQ38" t="n">
        <v>3291</v>
      </c>
      <c r="AR38" t="n">
        <v>71892</v>
      </c>
      <c r="AS38" s="88">
        <f>IF(OR(AQ38&lt;=0,AR38&lt;=0),"",LN(AQ38)-LN(AR38))</f>
        <v/>
      </c>
      <c r="AT38" t="n">
        <v>4393</v>
      </c>
      <c r="AU38" t="n">
        <v>70511</v>
      </c>
      <c r="AV38" t="n">
        <v>367</v>
      </c>
      <c r="AW38" t="n">
        <v>296</v>
      </c>
      <c r="AX38" t="n">
        <v>3055</v>
      </c>
      <c r="AY38" s="88">
        <f>IF(OR(AT38&lt;=0,AU38&lt;=0),"",LN(AT38)-LN(AU38))</f>
        <v/>
      </c>
      <c r="AZ38" s="46" t="n">
        <v>0</v>
      </c>
      <c r="BA38" s="46" t="n">
        <v>4.49</v>
      </c>
      <c r="BB38" s="47" t="n">
        <v>8.800000000000001</v>
      </c>
    </row>
    <row r="39">
      <c r="A39" s="48" t="n">
        <v>45329</v>
      </c>
      <c r="B39" s="49" t="n">
        <v>83368</v>
      </c>
      <c r="C39" s="50" t="n">
        <v>26.28</v>
      </c>
      <c r="D39" s="51" t="inlineStr">
        <is>
          <t>Moderate</t>
        </is>
      </c>
      <c r="E39" s="52" t="n">
        <v>0.6</v>
      </c>
      <c r="F39" s="52" t="n">
        <v>0</v>
      </c>
      <c r="G39" s="51" t="inlineStr">
        <is>
          <t>Wed</t>
        </is>
      </c>
      <c r="H39" s="51" t="inlineStr">
        <is>
          <t>Weekday</t>
        </is>
      </c>
      <c r="I39" s="51" t="inlineStr">
        <is>
          <t>Winter</t>
        </is>
      </c>
      <c r="J39" s="51" t="n">
        <v>25</v>
      </c>
      <c r="K39" s="51" t="inlineStr">
        <is>
          <t>OK</t>
        </is>
      </c>
      <c r="L39" s="46" t="n">
        <v>32.64</v>
      </c>
      <c r="M39" t="inlineStr">
        <is>
          <t>Moderate</t>
        </is>
      </c>
      <c r="N39" s="87" t="n">
        <v>25</v>
      </c>
      <c r="O39" s="87" t="n">
        <v>0</v>
      </c>
      <c r="P39" s="87" t="n">
        <v>0</v>
      </c>
      <c r="Q39" s="87" t="n">
        <v>0</v>
      </c>
      <c r="R39" s="87" t="n">
        <v>0</v>
      </c>
      <c r="S39" s="47" t="n">
        <v>2.1</v>
      </c>
      <c r="T39" s="47" t="n">
        <v>76.59999999999999</v>
      </c>
      <c r="U39" s="47" t="n"/>
      <c r="V39" s="87" t="n">
        <v>0</v>
      </c>
      <c r="W39" s="87" t="n">
        <v>0</v>
      </c>
      <c r="Y39" t="inlineStr">
        <is>
          <t>Feb</t>
        </is>
      </c>
      <c r="Z39" s="87" t="n">
        <v>2024</v>
      </c>
      <c r="AA39" s="47">
        <f>IF(F39="",0,F39)</f>
        <v/>
      </c>
      <c r="AB39" s="87">
        <f>IF(AA39&gt;=0.1,1,0)</f>
        <v/>
      </c>
      <c r="AC39" s="87" t="n">
        <v>1</v>
      </c>
      <c r="AD39" s="47">
        <f>IF(U39="",0,U39)</f>
        <v/>
      </c>
      <c r="AE39" s="87">
        <f>IF(OR(V39=1,W39=1),1,0)</f>
        <v/>
      </c>
      <c r="AF39" s="87" t="n">
        <v>0</v>
      </c>
      <c r="AG39" t="n">
        <v>3822</v>
      </c>
      <c r="AH39" t="n">
        <v>79545</v>
      </c>
      <c r="AI39" t="n">
        <v>1</v>
      </c>
      <c r="AJ39" s="88">
        <f>IF(OR(AG39&lt;=0,AH39&lt;=0),"",LN(AG39)-LN(AH39))</f>
        <v/>
      </c>
      <c r="AK39" t="n">
        <v>11301</v>
      </c>
      <c r="AL39" t="n">
        <v>72066</v>
      </c>
      <c r="AM39" s="88">
        <f>IF(OR(AK39&lt;=0,AL39&lt;=0),"",LN(AK39)-LN(AL39))</f>
        <v/>
      </c>
      <c r="AN39" t="n">
        <v>3670</v>
      </c>
      <c r="AO39" t="n">
        <v>76653</v>
      </c>
      <c r="AP39" s="88">
        <f>IF(OR(AN39&lt;=0,AO39&lt;=0),"",LN(AN39)-LN(AO39))</f>
        <v/>
      </c>
      <c r="AQ39" t="n">
        <v>3749</v>
      </c>
      <c r="AR39" t="n">
        <v>79545</v>
      </c>
      <c r="AS39" s="88">
        <f>IF(OR(AQ39&lt;=0,AR39&lt;=0),"",LN(AQ39)-LN(AR39))</f>
        <v/>
      </c>
      <c r="AT39" t="n">
        <v>4312</v>
      </c>
      <c r="AU39" t="n">
        <v>78330</v>
      </c>
      <c r="AV39" t="n">
        <v>733</v>
      </c>
      <c r="AW39" t="n">
        <v>290</v>
      </c>
      <c r="AX39" t="n">
        <v>3493</v>
      </c>
      <c r="AY39" s="88">
        <f>IF(OR(AT39&lt;=0,AU39&lt;=0),"",LN(AT39)-LN(AU39))</f>
        <v/>
      </c>
      <c r="AZ39" s="46" t="n">
        <v>0</v>
      </c>
      <c r="BA39" s="46" t="n">
        <v>3.61</v>
      </c>
      <c r="BB39" s="47" t="n">
        <v>6.6</v>
      </c>
    </row>
    <row r="40">
      <c r="A40" s="48" t="n">
        <v>45330</v>
      </c>
      <c r="B40" s="49" t="n">
        <v>87764</v>
      </c>
      <c r="C40" s="50" t="n">
        <v>30.96</v>
      </c>
      <c r="D40" s="51" t="inlineStr">
        <is>
          <t>Moderate</t>
        </is>
      </c>
      <c r="E40" s="52" t="n">
        <v>0.6</v>
      </c>
      <c r="F40" s="52" t="n"/>
      <c r="G40" s="51" t="inlineStr">
        <is>
          <t>Thu</t>
        </is>
      </c>
      <c r="H40" s="51" t="inlineStr">
        <is>
          <t>Weekday</t>
        </is>
      </c>
      <c r="I40" s="51" t="inlineStr">
        <is>
          <t>Winter</t>
        </is>
      </c>
      <c r="J40" s="51" t="n">
        <v>25</v>
      </c>
      <c r="K40" s="51" t="inlineStr">
        <is>
          <t>강수량 공란</t>
        </is>
      </c>
      <c r="L40" s="46" t="n">
        <v>39.24</v>
      </c>
      <c r="M40" t="inlineStr">
        <is>
          <t>Moderate</t>
        </is>
      </c>
      <c r="N40" s="87" t="n">
        <v>25</v>
      </c>
      <c r="O40" s="87" t="n">
        <v>0</v>
      </c>
      <c r="P40" s="87" t="n">
        <v>0</v>
      </c>
      <c r="Q40" s="87" t="n">
        <v>0</v>
      </c>
      <c r="R40" s="87" t="n">
        <v>0</v>
      </c>
      <c r="S40" s="47" t="n">
        <v>1.6</v>
      </c>
      <c r="T40" s="47" t="n">
        <v>66.90000000000001</v>
      </c>
      <c r="U40" s="47" t="n"/>
      <c r="V40" s="87" t="n">
        <v>0</v>
      </c>
      <c r="W40" s="87" t="n">
        <v>0</v>
      </c>
      <c r="Y40" t="inlineStr">
        <is>
          <t>Feb</t>
        </is>
      </c>
      <c r="Z40" s="87" t="n">
        <v>2024</v>
      </c>
      <c r="AA40" s="47">
        <f>IF(F40="",0,F40)</f>
        <v/>
      </c>
      <c r="AB40" s="87">
        <f>IF(AA40&gt;=0.1,1,0)</f>
        <v/>
      </c>
      <c r="AC40" s="87" t="n">
        <v>0</v>
      </c>
      <c r="AD40" s="47">
        <f>IF(U40="",0,U40)</f>
        <v/>
      </c>
      <c r="AE40" s="87">
        <f>IF(OR(V40=1,W40=1),1,0)</f>
        <v/>
      </c>
      <c r="AF40" s="87" t="n">
        <v>0</v>
      </c>
      <c r="AG40" t="n">
        <v>4242</v>
      </c>
      <c r="AH40" t="n">
        <v>83522</v>
      </c>
      <c r="AI40" t="n">
        <v>0</v>
      </c>
      <c r="AJ40" s="88">
        <f>IF(OR(AG40&lt;=0,AH40&lt;=0),"",LN(AG40)-LN(AH40))</f>
        <v/>
      </c>
      <c r="AK40" t="n">
        <v>12055</v>
      </c>
      <c r="AL40" t="n">
        <v>75709</v>
      </c>
      <c r="AM40" s="88">
        <f>IF(OR(AK40&lt;=0,AL40&lt;=0),"",LN(AK40)-LN(AL40))</f>
        <v/>
      </c>
      <c r="AN40" t="n">
        <v>4048</v>
      </c>
      <c r="AO40" t="n">
        <v>80711</v>
      </c>
      <c r="AP40" s="88">
        <f>IF(OR(AN40&lt;=0,AO40&lt;=0),"",LN(AN40)-LN(AO40))</f>
        <v/>
      </c>
      <c r="AQ40" t="n">
        <v>4128</v>
      </c>
      <c r="AR40" t="n">
        <v>83522</v>
      </c>
      <c r="AS40" s="88">
        <f>IF(OR(AQ40&lt;=0,AR40&lt;=0),"",LN(AQ40)-LN(AR40))</f>
        <v/>
      </c>
      <c r="AT40" t="n">
        <v>5334</v>
      </c>
      <c r="AU40" t="n">
        <v>82019</v>
      </c>
      <c r="AV40" t="n">
        <v>413</v>
      </c>
      <c r="AW40" t="n">
        <v>385</v>
      </c>
      <c r="AX40" t="n">
        <v>3827</v>
      </c>
      <c r="AY40" s="88">
        <f>IF(OR(AT40&lt;=0,AU40&lt;=0),"",LN(AT40)-LN(AU40))</f>
        <v/>
      </c>
      <c r="AZ40" s="46" t="n">
        <v>9.199999999999999</v>
      </c>
      <c r="BA40" s="46" t="n">
        <v>13.96</v>
      </c>
      <c r="BB40" s="47" t="n">
        <v>2</v>
      </c>
    </row>
    <row r="41">
      <c r="A41" s="48" t="n">
        <v>45331</v>
      </c>
      <c r="B41" s="49" t="n">
        <v>46880</v>
      </c>
      <c r="C41" s="50" t="n">
        <v>25.84</v>
      </c>
      <c r="D41" s="51" t="inlineStr">
        <is>
          <t>Moderate</t>
        </is>
      </c>
      <c r="E41" s="52" t="n">
        <v>1.1</v>
      </c>
      <c r="F41" s="52" t="n"/>
      <c r="G41" s="51" t="inlineStr">
        <is>
          <t>Fri</t>
        </is>
      </c>
      <c r="H41" s="51" t="inlineStr">
        <is>
          <t>Weekday</t>
        </is>
      </c>
      <c r="I41" s="51" t="inlineStr">
        <is>
          <t>Winter</t>
        </is>
      </c>
      <c r="J41" s="51" t="n">
        <v>25</v>
      </c>
      <c r="K41" s="51" t="inlineStr">
        <is>
          <t>강수량 공란</t>
        </is>
      </c>
      <c r="L41" s="46" t="n">
        <v>34.36</v>
      </c>
      <c r="M41" t="inlineStr">
        <is>
          <t>Moderate</t>
        </is>
      </c>
      <c r="N41" s="87" t="n">
        <v>25</v>
      </c>
      <c r="O41" s="87" t="n">
        <v>0</v>
      </c>
      <c r="P41" s="87" t="n">
        <v>0</v>
      </c>
      <c r="Q41" s="87" t="n">
        <v>0</v>
      </c>
      <c r="R41" s="87" t="n">
        <v>0</v>
      </c>
      <c r="S41" s="47" t="n">
        <v>2.2</v>
      </c>
      <c r="T41" s="47" t="n">
        <v>66.8</v>
      </c>
      <c r="U41" s="47" t="n"/>
      <c r="V41" s="87" t="n">
        <v>0</v>
      </c>
      <c r="W41" s="87" t="n">
        <v>1</v>
      </c>
      <c r="X41" t="inlineStr">
        <is>
          <t>설날 연휴</t>
        </is>
      </c>
      <c r="Y41" t="inlineStr">
        <is>
          <t>Feb</t>
        </is>
      </c>
      <c r="Z41" s="87" t="n">
        <v>2024</v>
      </c>
      <c r="AA41" s="47">
        <f>IF(F41="",0,F41)</f>
        <v/>
      </c>
      <c r="AB41" s="87">
        <f>IF(AA41&gt;=0.1,1,0)</f>
        <v/>
      </c>
      <c r="AC41" s="87" t="n">
        <v>0</v>
      </c>
      <c r="AD41" s="47">
        <f>IF(U41="",0,U41)</f>
        <v/>
      </c>
      <c r="AE41" s="87">
        <f>IF(OR(V41=1,W41=1),1,0)</f>
        <v/>
      </c>
      <c r="AF41" s="87" t="n">
        <v>0</v>
      </c>
      <c r="AG41" t="n">
        <v>2729</v>
      </c>
      <c r="AH41" t="n">
        <v>44151</v>
      </c>
      <c r="AI41" t="n">
        <v>0</v>
      </c>
      <c r="AJ41" s="88">
        <f>IF(OR(AG41&lt;=0,AH41&lt;=0),"",LN(AG41)-LN(AH41))</f>
        <v/>
      </c>
      <c r="AK41" t="n">
        <v>6851</v>
      </c>
      <c r="AL41" t="n">
        <v>40029</v>
      </c>
      <c r="AM41" s="88">
        <f>IF(OR(AK41&lt;=0,AL41&lt;=0),"",LN(AK41)-LN(AL41))</f>
        <v/>
      </c>
      <c r="AN41" t="n">
        <v>2590</v>
      </c>
      <c r="AO41" t="n">
        <v>42714</v>
      </c>
      <c r="AP41" s="88">
        <f>IF(OR(AN41&lt;=0,AO41&lt;=0),"",LN(AN41)-LN(AO41))</f>
        <v/>
      </c>
      <c r="AQ41" t="n">
        <v>2636</v>
      </c>
      <c r="AR41" t="n">
        <v>44151</v>
      </c>
      <c r="AS41" s="88">
        <f>IF(OR(AQ41&lt;=0,AR41&lt;=0),"",LN(AQ41)-LN(AR41))</f>
        <v/>
      </c>
      <c r="AT41" t="n">
        <v>4408</v>
      </c>
      <c r="AU41" t="n">
        <v>42272</v>
      </c>
      <c r="AV41" t="n">
        <v>202</v>
      </c>
      <c r="AW41" t="n">
        <v>453</v>
      </c>
      <c r="AX41" t="n">
        <v>2258</v>
      </c>
      <c r="AY41" s="88">
        <f>IF(OR(AT41&lt;=0,AU41&lt;=0),"",LN(AT41)-LN(AU41))</f>
        <v/>
      </c>
      <c r="AZ41" s="46" t="n">
        <v>6.9</v>
      </c>
      <c r="BA41" s="46" t="n">
        <v>12.47</v>
      </c>
      <c r="BB41" s="47" t="n">
        <v>3.3</v>
      </c>
    </row>
    <row r="42">
      <c r="A42" s="48" t="n">
        <v>45332</v>
      </c>
      <c r="B42" s="49" t="n">
        <v>34184</v>
      </c>
      <c r="C42" s="50" t="n">
        <v>36.72</v>
      </c>
      <c r="D42" s="51" t="inlineStr">
        <is>
          <t>Bad</t>
        </is>
      </c>
      <c r="E42" s="52" t="n">
        <v>1.7</v>
      </c>
      <c r="F42" s="52" t="n"/>
      <c r="G42" s="51" t="inlineStr">
        <is>
          <t>Sat</t>
        </is>
      </c>
      <c r="H42" s="51" t="inlineStr">
        <is>
          <t>Weekend</t>
        </is>
      </c>
      <c r="I42" s="51" t="inlineStr">
        <is>
          <t>Winter</t>
        </is>
      </c>
      <c r="J42" s="51" t="n">
        <v>25</v>
      </c>
      <c r="K42" s="51" t="inlineStr">
        <is>
          <t>강수량 공란</t>
        </is>
      </c>
      <c r="L42" s="46" t="n">
        <v>46.64</v>
      </c>
      <c r="M42" t="inlineStr">
        <is>
          <t>Moderate</t>
        </is>
      </c>
      <c r="N42" s="87" t="n">
        <v>25</v>
      </c>
      <c r="O42" s="87" t="n">
        <v>0</v>
      </c>
      <c r="P42" s="87" t="n">
        <v>0</v>
      </c>
      <c r="Q42" s="87" t="n">
        <v>0</v>
      </c>
      <c r="R42" s="87" t="n">
        <v>0</v>
      </c>
      <c r="S42" s="47" t="n">
        <v>1.9</v>
      </c>
      <c r="T42" s="47" t="n">
        <v>69.40000000000001</v>
      </c>
      <c r="U42" s="47" t="n"/>
      <c r="V42" s="87" t="n">
        <v>1</v>
      </c>
      <c r="W42" s="87" t="n">
        <v>1</v>
      </c>
      <c r="X42" t="inlineStr">
        <is>
          <t>설날</t>
        </is>
      </c>
      <c r="Y42" t="inlineStr">
        <is>
          <t>Feb</t>
        </is>
      </c>
      <c r="Z42" s="87" t="n">
        <v>2024</v>
      </c>
      <c r="AA42" s="47">
        <f>IF(F42="",0,F42)</f>
        <v/>
      </c>
      <c r="AB42" s="87">
        <f>IF(AA42&gt;=0.1,1,0)</f>
        <v/>
      </c>
      <c r="AC42" s="87" t="n">
        <v>0</v>
      </c>
      <c r="AD42" s="47">
        <f>IF(U42="",0,U42)</f>
        <v/>
      </c>
      <c r="AE42" s="87">
        <f>IF(OR(V42=1,W42=1),1,0)</f>
        <v/>
      </c>
      <c r="AF42" s="87" t="n">
        <v>0</v>
      </c>
      <c r="AG42" t="n">
        <v>2213</v>
      </c>
      <c r="AH42" t="n">
        <v>31971</v>
      </c>
      <c r="AI42" t="n">
        <v>0</v>
      </c>
      <c r="AJ42" s="88">
        <f>IF(OR(AG42&lt;=0,AH42&lt;=0),"",LN(AG42)-LN(AH42))</f>
        <v/>
      </c>
      <c r="AK42" t="n">
        <v>5204</v>
      </c>
      <c r="AL42" t="n">
        <v>28980</v>
      </c>
      <c r="AM42" s="88">
        <f>IF(OR(AK42&lt;=0,AL42&lt;=0),"",LN(AK42)-LN(AL42))</f>
        <v/>
      </c>
      <c r="AN42" t="n">
        <v>2072</v>
      </c>
      <c r="AO42" t="n">
        <v>30933</v>
      </c>
      <c r="AP42" s="88">
        <f>IF(OR(AN42&lt;=0,AO42&lt;=0),"",LN(AN42)-LN(AO42))</f>
        <v/>
      </c>
      <c r="AQ42" t="n">
        <v>2135</v>
      </c>
      <c r="AR42" t="n">
        <v>31971</v>
      </c>
      <c r="AS42" s="88">
        <f>IF(OR(AQ42&lt;=0,AR42&lt;=0),"",LN(AQ42)-LN(AR42))</f>
        <v/>
      </c>
      <c r="AT42" t="n">
        <v>3430</v>
      </c>
      <c r="AU42" t="n">
        <v>30596</v>
      </c>
      <c r="AV42" t="n">
        <v>159</v>
      </c>
      <c r="AW42" t="n">
        <v>351</v>
      </c>
      <c r="AX42" t="n">
        <v>1850</v>
      </c>
      <c r="AY42" s="88">
        <f>IF(OR(AT42&lt;=0,AU42&lt;=0),"",LN(AT42)-LN(AU42))</f>
        <v/>
      </c>
      <c r="AZ42" s="46" t="n">
        <v>5.6</v>
      </c>
      <c r="BA42" s="46" t="n">
        <v>11.32</v>
      </c>
      <c r="BB42" s="47" t="n">
        <v>2.3</v>
      </c>
    </row>
    <row r="43">
      <c r="A43" s="48" t="n">
        <v>45333</v>
      </c>
      <c r="B43" s="49" t="n">
        <v>42842</v>
      </c>
      <c r="C43" s="50" t="n">
        <v>49.8</v>
      </c>
      <c r="D43" s="51" t="inlineStr">
        <is>
          <t>Bad</t>
        </is>
      </c>
      <c r="E43" s="52" t="n">
        <v>1</v>
      </c>
      <c r="F43" s="52" t="n">
        <v>0</v>
      </c>
      <c r="G43" s="51" t="inlineStr">
        <is>
          <t>Sun</t>
        </is>
      </c>
      <c r="H43" s="51" t="inlineStr">
        <is>
          <t>Weekend</t>
        </is>
      </c>
      <c r="I43" s="51" t="inlineStr">
        <is>
          <t>Winter</t>
        </is>
      </c>
      <c r="J43" s="51" t="n">
        <v>25</v>
      </c>
      <c r="K43" s="51" t="inlineStr">
        <is>
          <t>OK</t>
        </is>
      </c>
      <c r="L43" s="46" t="n">
        <v>62.52</v>
      </c>
      <c r="M43" t="inlineStr">
        <is>
          <t>Moderate</t>
        </is>
      </c>
      <c r="N43" s="87" t="n">
        <v>25</v>
      </c>
      <c r="O43" s="87" t="n">
        <v>0</v>
      </c>
      <c r="P43" s="87" t="n">
        <v>0</v>
      </c>
      <c r="Q43" s="87" t="n">
        <v>0</v>
      </c>
      <c r="R43" s="87" t="n">
        <v>0</v>
      </c>
      <c r="S43" s="47" t="n">
        <v>2.2</v>
      </c>
      <c r="T43" s="47" t="n">
        <v>70.59999999999999</v>
      </c>
      <c r="U43" s="47" t="n"/>
      <c r="V43" s="87" t="n">
        <v>1</v>
      </c>
      <c r="W43" s="87" t="n">
        <v>1</v>
      </c>
      <c r="X43" t="inlineStr">
        <is>
          <t>설날 연휴</t>
        </is>
      </c>
      <c r="Y43" t="inlineStr">
        <is>
          <t>Feb</t>
        </is>
      </c>
      <c r="Z43" s="87" t="n">
        <v>2024</v>
      </c>
      <c r="AA43" s="47">
        <f>IF(F43="",0,F43)</f>
        <v/>
      </c>
      <c r="AB43" s="87">
        <f>IF(AA43&gt;=0.1,1,0)</f>
        <v/>
      </c>
      <c r="AC43" s="87" t="n">
        <v>1</v>
      </c>
      <c r="AD43" s="47">
        <f>IF(U43="",0,U43)</f>
        <v/>
      </c>
      <c r="AE43" s="87">
        <f>IF(OR(V43=1,W43=1),1,0)</f>
        <v/>
      </c>
      <c r="AF43" s="87" t="n">
        <v>0</v>
      </c>
      <c r="AG43" t="n">
        <v>2791</v>
      </c>
      <c r="AH43" t="n">
        <v>40051</v>
      </c>
      <c r="AI43" t="n">
        <v>0</v>
      </c>
      <c r="AJ43" s="88">
        <f>IF(OR(AG43&lt;=0,AH43&lt;=0),"",LN(AG43)-LN(AH43))</f>
        <v/>
      </c>
      <c r="AK43" t="n">
        <v>6580</v>
      </c>
      <c r="AL43" t="n">
        <v>36262</v>
      </c>
      <c r="AM43" s="88">
        <f>IF(OR(AK43&lt;=0,AL43&lt;=0),"",LN(AK43)-LN(AL43))</f>
        <v/>
      </c>
      <c r="AN43" t="n">
        <v>2604</v>
      </c>
      <c r="AO43" t="n">
        <v>38775</v>
      </c>
      <c r="AP43" s="88">
        <f>IF(OR(AN43&lt;=0,AO43&lt;=0),"",LN(AN43)-LN(AO43))</f>
        <v/>
      </c>
      <c r="AQ43" t="n">
        <v>2694</v>
      </c>
      <c r="AR43" t="n">
        <v>40051</v>
      </c>
      <c r="AS43" s="88">
        <f>IF(OR(AQ43&lt;=0,AR43&lt;=0),"",LN(AQ43)-LN(AR43))</f>
        <v/>
      </c>
      <c r="AT43" t="n">
        <v>3681</v>
      </c>
      <c r="AU43" t="n">
        <v>38972</v>
      </c>
      <c r="AV43" t="n">
        <v>191</v>
      </c>
      <c r="AW43" t="n">
        <v>403</v>
      </c>
      <c r="AX43" t="n">
        <v>2375</v>
      </c>
      <c r="AY43" s="88">
        <f>IF(OR(AT43&lt;=0,AU43&lt;=0),"",LN(AT43)-LN(AU43))</f>
        <v/>
      </c>
      <c r="AZ43" s="46" t="n">
        <v>5.6</v>
      </c>
      <c r="BA43" s="46" t="n">
        <v>10.38</v>
      </c>
      <c r="BB43" s="47" t="n">
        <v>2</v>
      </c>
    </row>
    <row r="44">
      <c r="A44" s="48" t="n">
        <v>45334</v>
      </c>
      <c r="B44" s="49" t="n">
        <v>65446</v>
      </c>
      <c r="C44" s="50" t="n">
        <v>47.36</v>
      </c>
      <c r="D44" s="51" t="inlineStr">
        <is>
          <t>Bad</t>
        </is>
      </c>
      <c r="E44" s="52" t="n">
        <v>3.5</v>
      </c>
      <c r="F44" s="52" t="n"/>
      <c r="G44" s="51" t="inlineStr">
        <is>
          <t>Mon</t>
        </is>
      </c>
      <c r="H44" s="51" t="inlineStr">
        <is>
          <t>Weekday</t>
        </is>
      </c>
      <c r="I44" s="51" t="inlineStr">
        <is>
          <t>Winter</t>
        </is>
      </c>
      <c r="J44" s="51" t="n">
        <v>25</v>
      </c>
      <c r="K44" s="51" t="inlineStr">
        <is>
          <t>강수량 공란</t>
        </is>
      </c>
      <c r="L44" s="46" t="n">
        <v>62.24</v>
      </c>
      <c r="M44" t="inlineStr">
        <is>
          <t>Moderate</t>
        </is>
      </c>
      <c r="N44" s="87" t="n">
        <v>25</v>
      </c>
      <c r="O44" s="87" t="n">
        <v>0</v>
      </c>
      <c r="P44" s="87" t="n">
        <v>0</v>
      </c>
      <c r="Q44" s="87" t="n">
        <v>0</v>
      </c>
      <c r="R44" s="87" t="n">
        <v>0</v>
      </c>
      <c r="S44" s="47" t="n">
        <v>1.8</v>
      </c>
      <c r="T44" s="47" t="n">
        <v>62.8</v>
      </c>
      <c r="U44" s="47" t="n"/>
      <c r="V44" s="87" t="n">
        <v>0</v>
      </c>
      <c r="W44" s="87" t="n">
        <v>1</v>
      </c>
      <c r="X44" t="inlineStr">
        <is>
          <t>설날 대체공휴일</t>
        </is>
      </c>
      <c r="Y44" t="inlineStr">
        <is>
          <t>Feb</t>
        </is>
      </c>
      <c r="Z44" s="87" t="n">
        <v>2024</v>
      </c>
      <c r="AA44" s="47">
        <f>IF(F44="",0,F44)</f>
        <v/>
      </c>
      <c r="AB44" s="87">
        <f>IF(AA44&gt;=0.1,1,0)</f>
        <v/>
      </c>
      <c r="AC44" s="87" t="n">
        <v>0</v>
      </c>
      <c r="AD44" s="47">
        <f>IF(U44="",0,U44)</f>
        <v/>
      </c>
      <c r="AE44" s="87">
        <f>IF(OR(V44=1,W44=1),1,0)</f>
        <v/>
      </c>
      <c r="AF44" s="87" t="n">
        <v>0</v>
      </c>
      <c r="AG44" t="n">
        <v>4818</v>
      </c>
      <c r="AH44" t="n">
        <v>60628</v>
      </c>
      <c r="AI44" t="n">
        <v>0</v>
      </c>
      <c r="AJ44" s="88">
        <f>IF(OR(AG44&lt;=0,AH44&lt;=0),"",LN(AG44)-LN(AH44))</f>
        <v/>
      </c>
      <c r="AK44" t="n">
        <v>11187</v>
      </c>
      <c r="AL44" t="n">
        <v>54259</v>
      </c>
      <c r="AM44" s="88">
        <f>IF(OR(AK44&lt;=0,AL44&lt;=0),"",LN(AK44)-LN(AL44))</f>
        <v/>
      </c>
      <c r="AN44" t="n">
        <v>4533</v>
      </c>
      <c r="AO44" t="n">
        <v>58637</v>
      </c>
      <c r="AP44" s="88">
        <f>IF(OR(AN44&lt;=0,AO44&lt;=0),"",LN(AN44)-LN(AO44))</f>
        <v/>
      </c>
      <c r="AQ44" t="n">
        <v>4690</v>
      </c>
      <c r="AR44" t="n">
        <v>60628</v>
      </c>
      <c r="AS44" s="88">
        <f>IF(OR(AQ44&lt;=0,AR44&lt;=0),"",LN(AQ44)-LN(AR44))</f>
        <v/>
      </c>
      <c r="AT44" t="n">
        <v>5731</v>
      </c>
      <c r="AU44" t="n">
        <v>59400</v>
      </c>
      <c r="AV44" t="n">
        <v>315</v>
      </c>
      <c r="AW44" t="n">
        <v>768</v>
      </c>
      <c r="AX44" t="n">
        <v>4013</v>
      </c>
      <c r="AY44" s="88">
        <f>IF(OR(AT44&lt;=0,AU44&lt;=0),"",LN(AT44)-LN(AU44))</f>
        <v/>
      </c>
      <c r="AZ44" s="46" t="n">
        <v>9.699999999999999</v>
      </c>
      <c r="BA44" s="46" t="n">
        <v>15.35</v>
      </c>
      <c r="BB44" s="47" t="n">
        <v>0.3</v>
      </c>
    </row>
    <row r="45">
      <c r="A45" s="48" t="n">
        <v>45335</v>
      </c>
      <c r="B45" s="49" t="n">
        <v>105495</v>
      </c>
      <c r="C45" s="50" t="n">
        <v>43.84</v>
      </c>
      <c r="D45" s="51" t="inlineStr">
        <is>
          <t>Bad</t>
        </is>
      </c>
      <c r="E45" s="52" t="n">
        <v>8.199999999999999</v>
      </c>
      <c r="F45" s="52" t="n"/>
      <c r="G45" s="51" t="inlineStr">
        <is>
          <t>Tue</t>
        </is>
      </c>
      <c r="H45" s="51" t="inlineStr">
        <is>
          <t>Weekday</t>
        </is>
      </c>
      <c r="I45" s="51" t="inlineStr">
        <is>
          <t>Winter</t>
        </is>
      </c>
      <c r="J45" s="51" t="n">
        <v>25</v>
      </c>
      <c r="K45" s="51" t="inlineStr">
        <is>
          <t>강수량 공란</t>
        </is>
      </c>
      <c r="L45" s="46" t="n">
        <v>68.76000000000001</v>
      </c>
      <c r="M45" t="inlineStr">
        <is>
          <t>Moderate</t>
        </is>
      </c>
      <c r="N45" s="87" t="n">
        <v>25</v>
      </c>
      <c r="O45" s="87" t="n">
        <v>0</v>
      </c>
      <c r="P45" s="87" t="n">
        <v>0</v>
      </c>
      <c r="Q45" s="87" t="n">
        <v>0</v>
      </c>
      <c r="R45" s="87" t="n">
        <v>0</v>
      </c>
      <c r="S45" s="47" t="n">
        <v>2.5</v>
      </c>
      <c r="T45" s="47" t="n">
        <v>70.59999999999999</v>
      </c>
      <c r="U45" s="47" t="n"/>
      <c r="V45" s="87" t="n">
        <v>0</v>
      </c>
      <c r="W45" s="87" t="n">
        <v>0</v>
      </c>
      <c r="Y45" t="inlineStr">
        <is>
          <t>Feb</t>
        </is>
      </c>
      <c r="Z45" s="87" t="n">
        <v>2024</v>
      </c>
      <c r="AA45" s="47">
        <f>IF(F45="",0,F45)</f>
        <v/>
      </c>
      <c r="AB45" s="87">
        <f>IF(AA45&gt;=0.1,1,0)</f>
        <v/>
      </c>
      <c r="AC45" s="87" t="n">
        <v>0</v>
      </c>
      <c r="AD45" s="47">
        <f>IF(U45="",0,U45)</f>
        <v/>
      </c>
      <c r="AE45" s="87">
        <f>IF(OR(V45=1,W45=1),1,0)</f>
        <v/>
      </c>
      <c r="AF45" s="87" t="n">
        <v>0</v>
      </c>
      <c r="AG45" t="n">
        <v>5941</v>
      </c>
      <c r="AH45" t="n">
        <v>99554</v>
      </c>
      <c r="AI45" t="n">
        <v>0</v>
      </c>
      <c r="AJ45" s="88">
        <f>IF(OR(AG45&lt;=0,AH45&lt;=0),"",LN(AG45)-LN(AH45))</f>
        <v/>
      </c>
      <c r="AK45" t="n">
        <v>16081</v>
      </c>
      <c r="AL45" t="n">
        <v>89414</v>
      </c>
      <c r="AM45" s="88">
        <f>IF(OR(AK45&lt;=0,AL45&lt;=0),"",LN(AK45)-LN(AL45))</f>
        <v/>
      </c>
      <c r="AN45" t="n">
        <v>5646</v>
      </c>
      <c r="AO45" t="n">
        <v>96156</v>
      </c>
      <c r="AP45" s="88">
        <f>IF(OR(AN45&lt;=0,AO45&lt;=0),"",LN(AN45)-LN(AO45))</f>
        <v/>
      </c>
      <c r="AQ45" t="n">
        <v>5804</v>
      </c>
      <c r="AR45" t="n">
        <v>99554</v>
      </c>
      <c r="AS45" s="88">
        <f>IF(OR(AQ45&lt;=0,AR45&lt;=0),"",LN(AQ45)-LN(AR45))</f>
        <v/>
      </c>
      <c r="AT45" t="n">
        <v>6281</v>
      </c>
      <c r="AU45" t="n">
        <v>98722</v>
      </c>
      <c r="AV45" t="n">
        <v>495</v>
      </c>
      <c r="AW45" t="n">
        <v>622</v>
      </c>
      <c r="AX45" t="n">
        <v>5289</v>
      </c>
      <c r="AY45" s="88">
        <f>IF(OR(AT45&lt;=0,AU45&lt;=0),"",LN(AT45)-LN(AU45))</f>
        <v/>
      </c>
      <c r="AZ45" s="46" t="n">
        <v>5.5</v>
      </c>
      <c r="BA45" s="46" t="n">
        <v>10.98</v>
      </c>
      <c r="BB45" s="47" t="n">
        <v>2.5</v>
      </c>
    </row>
    <row r="46">
      <c r="A46" s="48" t="n">
        <v>45336</v>
      </c>
      <c r="B46" s="49" t="n">
        <v>123154</v>
      </c>
      <c r="C46" s="50" t="n">
        <v>27.84</v>
      </c>
      <c r="D46" s="51" t="inlineStr">
        <is>
          <t>Moderate</t>
        </is>
      </c>
      <c r="E46" s="52" t="n">
        <v>12.9</v>
      </c>
      <c r="F46" s="52" t="n"/>
      <c r="G46" s="51" t="inlineStr">
        <is>
          <t>Wed</t>
        </is>
      </c>
      <c r="H46" s="51" t="inlineStr">
        <is>
          <t>Weekday</t>
        </is>
      </c>
      <c r="I46" s="51" t="inlineStr">
        <is>
          <t>Winter</t>
        </is>
      </c>
      <c r="J46" s="51" t="n">
        <v>25</v>
      </c>
      <c r="K46" s="51" t="inlineStr">
        <is>
          <t>강수량 공란</t>
        </is>
      </c>
      <c r="L46" s="46" t="n">
        <v>45.72</v>
      </c>
      <c r="M46" t="inlineStr">
        <is>
          <t>Moderate</t>
        </is>
      </c>
      <c r="N46" s="87" t="n">
        <v>25</v>
      </c>
      <c r="O46" s="87" t="n">
        <v>0</v>
      </c>
      <c r="P46" s="87" t="n">
        <v>0</v>
      </c>
      <c r="Q46" s="87" t="n">
        <v>0</v>
      </c>
      <c r="R46" s="87" t="n">
        <v>0</v>
      </c>
      <c r="S46" s="47" t="n">
        <v>2.2</v>
      </c>
      <c r="T46" s="47" t="n">
        <v>76.40000000000001</v>
      </c>
      <c r="U46" s="47" t="n"/>
      <c r="V46" s="87" t="n">
        <v>0</v>
      </c>
      <c r="W46" s="87" t="n">
        <v>0</v>
      </c>
      <c r="Y46" t="inlineStr">
        <is>
          <t>Feb</t>
        </is>
      </c>
      <c r="Z46" s="87" t="n">
        <v>2024</v>
      </c>
      <c r="AA46" s="47">
        <f>IF(F46="",0,F46)</f>
        <v/>
      </c>
      <c r="AB46" s="87">
        <f>IF(AA46&gt;=0.1,1,0)</f>
        <v/>
      </c>
      <c r="AC46" s="87" t="n">
        <v>0</v>
      </c>
      <c r="AD46" s="47">
        <f>IF(U46="",0,U46)</f>
        <v/>
      </c>
      <c r="AE46" s="87">
        <f>IF(OR(V46=1,W46=1),1,0)</f>
        <v/>
      </c>
      <c r="AF46" s="87" t="n">
        <v>0</v>
      </c>
      <c r="AG46" t="n">
        <v>7582</v>
      </c>
      <c r="AH46" t="n">
        <v>115572</v>
      </c>
      <c r="AI46" t="n">
        <v>0</v>
      </c>
      <c r="AJ46" s="88">
        <f>IF(OR(AG46&lt;=0,AH46&lt;=0),"",LN(AG46)-LN(AH46))</f>
        <v/>
      </c>
      <c r="AK46" t="n">
        <v>19222</v>
      </c>
      <c r="AL46" t="n">
        <v>103932</v>
      </c>
      <c r="AM46" s="88">
        <f>IF(OR(AK46&lt;=0,AL46&lt;=0),"",LN(AK46)-LN(AL46))</f>
        <v/>
      </c>
      <c r="AN46" t="n">
        <v>7148</v>
      </c>
      <c r="AO46" t="n">
        <v>111598</v>
      </c>
      <c r="AP46" s="88">
        <f>IF(OR(AN46&lt;=0,AO46&lt;=0),"",LN(AN46)-LN(AO46))</f>
        <v/>
      </c>
      <c r="AQ46" t="n">
        <v>7413</v>
      </c>
      <c r="AR46" t="n">
        <v>115572</v>
      </c>
      <c r="AS46" s="88">
        <f>IF(OR(AQ46&lt;=0,AR46&lt;=0),"",LN(AQ46)-LN(AR46))</f>
        <v/>
      </c>
      <c r="AT46" t="n">
        <v>7500</v>
      </c>
      <c r="AU46" t="n">
        <v>115043</v>
      </c>
      <c r="AV46" t="n">
        <v>620</v>
      </c>
      <c r="AW46" t="n">
        <v>884</v>
      </c>
      <c r="AX46" t="n">
        <v>6648</v>
      </c>
      <c r="AY46" s="88">
        <f>IF(OR(AT46&lt;=0,AU46&lt;=0),"",LN(AT46)-LN(AU46))</f>
        <v/>
      </c>
      <c r="AZ46" s="46" t="n">
        <v>4</v>
      </c>
      <c r="BA46" s="46" t="n">
        <v>10.39</v>
      </c>
      <c r="BB46" s="47" t="n">
        <v>7</v>
      </c>
    </row>
    <row r="47">
      <c r="A47" s="48" t="n">
        <v>45337</v>
      </c>
      <c r="B47" s="49" t="n">
        <v>56304</v>
      </c>
      <c r="C47" s="50" t="n">
        <v>15.28</v>
      </c>
      <c r="D47" s="51" t="inlineStr">
        <is>
          <t>Moderate</t>
        </is>
      </c>
      <c r="E47" s="52" t="n">
        <v>4.5</v>
      </c>
      <c r="F47" s="52" t="n">
        <v>10.9</v>
      </c>
      <c r="G47" s="51" t="inlineStr">
        <is>
          <t>Thu</t>
        </is>
      </c>
      <c r="H47" s="51" t="inlineStr">
        <is>
          <t>Weekday</t>
        </is>
      </c>
      <c r="I47" s="51" t="inlineStr">
        <is>
          <t>Winter</t>
        </is>
      </c>
      <c r="J47" s="51" t="n">
        <v>25</v>
      </c>
      <c r="K47" s="51" t="inlineStr">
        <is>
          <t>OK</t>
        </is>
      </c>
      <c r="L47" s="46" t="n">
        <v>21.76</v>
      </c>
      <c r="M47" t="inlineStr">
        <is>
          <t>Good</t>
        </is>
      </c>
      <c r="N47" s="87" t="n">
        <v>25</v>
      </c>
      <c r="O47" s="87" t="n">
        <v>0</v>
      </c>
      <c r="P47" s="87" t="n">
        <v>0</v>
      </c>
      <c r="Q47" s="87" t="n">
        <v>0</v>
      </c>
      <c r="R47" s="87" t="n">
        <v>0</v>
      </c>
      <c r="S47" s="47" t="n">
        <v>2.9</v>
      </c>
      <c r="T47" s="47" t="n">
        <v>89.90000000000001</v>
      </c>
      <c r="U47" s="47" t="n">
        <v>1.5</v>
      </c>
      <c r="V47" s="87" t="n">
        <v>0</v>
      </c>
      <c r="W47" s="87" t="n">
        <v>0</v>
      </c>
      <c r="Y47" t="inlineStr">
        <is>
          <t>Feb</t>
        </is>
      </c>
      <c r="Z47" s="87" t="n">
        <v>2024</v>
      </c>
      <c r="AA47" s="47">
        <f>IF(F47="",0,F47)</f>
        <v/>
      </c>
      <c r="AB47" s="87">
        <f>IF(AA47&gt;=0.1,1,0)</f>
        <v/>
      </c>
      <c r="AC47" s="87" t="n">
        <v>0</v>
      </c>
      <c r="AD47" s="47">
        <f>IF(U47="",0,U47)</f>
        <v/>
      </c>
      <c r="AE47" s="87">
        <f>IF(OR(V47=1,W47=1),1,0)</f>
        <v/>
      </c>
      <c r="AF47" s="87" t="n">
        <v>0</v>
      </c>
      <c r="AG47" t="n">
        <v>2653</v>
      </c>
      <c r="AH47" t="n">
        <v>53649</v>
      </c>
      <c r="AI47" t="n">
        <v>2</v>
      </c>
      <c r="AJ47" s="88">
        <f>IF(OR(AG47&lt;=0,AH47&lt;=0),"",LN(AG47)-LN(AH47))</f>
        <v/>
      </c>
      <c r="AK47" t="n">
        <v>7751</v>
      </c>
      <c r="AL47" t="n">
        <v>48551</v>
      </c>
      <c r="AM47" s="88">
        <f>IF(OR(AK47&lt;=0,AL47&lt;=0),"",LN(AK47)-LN(AL47))</f>
        <v/>
      </c>
      <c r="AN47" t="n">
        <v>2533</v>
      </c>
      <c r="AO47" t="n">
        <v>51680</v>
      </c>
      <c r="AP47" s="88">
        <f>IF(OR(AN47&lt;=0,AO47&lt;=0),"",LN(AN47)-LN(AO47))</f>
        <v/>
      </c>
      <c r="AQ47" t="n">
        <v>2582</v>
      </c>
      <c r="AR47" t="n">
        <v>53649</v>
      </c>
      <c r="AS47" s="88">
        <f>IF(OR(AQ47&lt;=0,AR47&lt;=0),"",LN(AQ47)-LN(AR47))</f>
        <v/>
      </c>
      <c r="AT47" t="n">
        <v>2620</v>
      </c>
      <c r="AU47" t="n">
        <v>53429</v>
      </c>
      <c r="AV47" t="n">
        <v>264</v>
      </c>
      <c r="AW47" t="n">
        <v>179</v>
      </c>
      <c r="AX47" t="n">
        <v>2455</v>
      </c>
      <c r="AY47" s="88">
        <f>IF(OR(AT47&lt;=0,AU47&lt;=0),"",LN(AT47)-LN(AU47))</f>
        <v/>
      </c>
      <c r="AZ47" s="46" t="n">
        <v>0.9</v>
      </c>
      <c r="BA47" s="46" t="n">
        <v>2.71</v>
      </c>
      <c r="BB47" s="47" t="n">
        <v>7.6</v>
      </c>
    </row>
    <row r="48">
      <c r="A48" s="48" t="n">
        <v>45338</v>
      </c>
      <c r="B48" s="49" t="n">
        <v>99952</v>
      </c>
      <c r="C48" s="50" t="n">
        <v>17.08</v>
      </c>
      <c r="D48" s="51" t="inlineStr">
        <is>
          <t>Moderate</t>
        </is>
      </c>
      <c r="E48" s="52" t="n">
        <v>2.3</v>
      </c>
      <c r="F48" s="52" t="n"/>
      <c r="G48" s="51" t="inlineStr">
        <is>
          <t>Fri</t>
        </is>
      </c>
      <c r="H48" s="51" t="inlineStr">
        <is>
          <t>Weekday</t>
        </is>
      </c>
      <c r="I48" s="51" t="inlineStr">
        <is>
          <t>Winter</t>
        </is>
      </c>
      <c r="J48" s="51" t="n">
        <v>25</v>
      </c>
      <c r="K48" s="51" t="inlineStr">
        <is>
          <t>강수량 공란</t>
        </is>
      </c>
      <c r="L48" s="46" t="n">
        <v>25.84</v>
      </c>
      <c r="M48" t="inlineStr">
        <is>
          <t>Good</t>
        </is>
      </c>
      <c r="N48" s="87" t="n">
        <v>25</v>
      </c>
      <c r="O48" s="87" t="n">
        <v>0</v>
      </c>
      <c r="P48" s="87" t="n">
        <v>0</v>
      </c>
      <c r="Q48" s="87" t="n">
        <v>0</v>
      </c>
      <c r="R48" s="87" t="n">
        <v>0</v>
      </c>
      <c r="S48" s="47" t="n">
        <v>1.8</v>
      </c>
      <c r="T48" s="47" t="n">
        <v>72.40000000000001</v>
      </c>
      <c r="U48" s="47" t="n"/>
      <c r="V48" s="87" t="n">
        <v>0</v>
      </c>
      <c r="W48" s="87" t="n">
        <v>0</v>
      </c>
      <c r="Y48" t="inlineStr">
        <is>
          <t>Feb</t>
        </is>
      </c>
      <c r="Z48" s="87" t="n">
        <v>2024</v>
      </c>
      <c r="AA48" s="47">
        <f>IF(F48="",0,F48)</f>
        <v/>
      </c>
      <c r="AB48" s="87">
        <f>IF(AA48&gt;=0.1,1,0)</f>
        <v/>
      </c>
      <c r="AC48" s="87" t="n">
        <v>0</v>
      </c>
      <c r="AD48" s="47">
        <f>IF(U48="",0,U48)</f>
        <v/>
      </c>
      <c r="AE48" s="87">
        <f>IF(OR(V48=1,W48=1),1,0)</f>
        <v/>
      </c>
      <c r="AF48" s="87" t="n">
        <v>0</v>
      </c>
      <c r="AG48" t="n">
        <v>5285</v>
      </c>
      <c r="AH48" t="n">
        <v>94665</v>
      </c>
      <c r="AI48" t="n">
        <v>2</v>
      </c>
      <c r="AJ48" s="88">
        <f>IF(OR(AG48&lt;=0,AH48&lt;=0),"",LN(AG48)-LN(AH48))</f>
        <v/>
      </c>
      <c r="AK48" t="n">
        <v>14524</v>
      </c>
      <c r="AL48" t="n">
        <v>85426</v>
      </c>
      <c r="AM48" s="88">
        <f>IF(OR(AK48&lt;=0,AL48&lt;=0),"",LN(AK48)-LN(AL48))</f>
        <v/>
      </c>
      <c r="AN48" t="n">
        <v>5035</v>
      </c>
      <c r="AO48" t="n">
        <v>91426</v>
      </c>
      <c r="AP48" s="88">
        <f>IF(OR(AN48&lt;=0,AO48&lt;=0),"",LN(AN48)-LN(AO48))</f>
        <v/>
      </c>
      <c r="AQ48" t="n">
        <v>5153</v>
      </c>
      <c r="AR48" t="n">
        <v>94665</v>
      </c>
      <c r="AS48" s="88">
        <f>IF(OR(AQ48&lt;=0,AR48&lt;=0),"",LN(AQ48)-LN(AR48))</f>
        <v/>
      </c>
      <c r="AT48" t="n">
        <v>5689</v>
      </c>
      <c r="AU48" t="n">
        <v>93729</v>
      </c>
      <c r="AV48" t="n">
        <v>538</v>
      </c>
      <c r="AW48" t="n">
        <v>491</v>
      </c>
      <c r="AX48" t="n">
        <v>4755</v>
      </c>
      <c r="AY48" s="88">
        <f>IF(OR(AT48&lt;=0,AU48&lt;=0),"",LN(AT48)-LN(AU48))</f>
        <v/>
      </c>
      <c r="AZ48" s="46" t="n">
        <v>7.9</v>
      </c>
      <c r="BA48" s="46" t="n">
        <v>13.32</v>
      </c>
      <c r="BB48" s="47" t="n">
        <v>0.6</v>
      </c>
    </row>
    <row r="49">
      <c r="A49" s="48" t="n">
        <v>45339</v>
      </c>
      <c r="B49" s="49" t="n">
        <v>89416</v>
      </c>
      <c r="C49" s="50" t="n">
        <v>31.04</v>
      </c>
      <c r="D49" s="51" t="inlineStr">
        <is>
          <t>Moderate</t>
        </is>
      </c>
      <c r="E49" s="52" t="n">
        <v>4.4</v>
      </c>
      <c r="F49" s="52" t="n"/>
      <c r="G49" s="51" t="inlineStr">
        <is>
          <t>Sat</t>
        </is>
      </c>
      <c r="H49" s="51" t="inlineStr">
        <is>
          <t>Weekend</t>
        </is>
      </c>
      <c r="I49" s="51" t="inlineStr">
        <is>
          <t>Winter</t>
        </is>
      </c>
      <c r="J49" s="51" t="n">
        <v>25</v>
      </c>
      <c r="K49" s="51" t="inlineStr">
        <is>
          <t>강수량 공란</t>
        </is>
      </c>
      <c r="L49" s="46" t="n">
        <v>43.24</v>
      </c>
      <c r="M49" t="inlineStr">
        <is>
          <t>Moderate</t>
        </is>
      </c>
      <c r="N49" s="87" t="n">
        <v>25</v>
      </c>
      <c r="O49" s="87" t="n">
        <v>0</v>
      </c>
      <c r="P49" s="87" t="n">
        <v>0</v>
      </c>
      <c r="Q49" s="87" t="n">
        <v>0</v>
      </c>
      <c r="R49" s="87" t="n">
        <v>0</v>
      </c>
      <c r="S49" s="47" t="n">
        <v>1.7</v>
      </c>
      <c r="T49" s="47" t="n">
        <v>73.5</v>
      </c>
      <c r="U49" s="47" t="n"/>
      <c r="V49" s="87" t="n">
        <v>1</v>
      </c>
      <c r="W49" s="87" t="n">
        <v>0</v>
      </c>
      <c r="Y49" t="inlineStr">
        <is>
          <t>Feb</t>
        </is>
      </c>
      <c r="Z49" s="87" t="n">
        <v>2024</v>
      </c>
      <c r="AA49" s="47">
        <f>IF(F49="",0,F49)</f>
        <v/>
      </c>
      <c r="AB49" s="87">
        <f>IF(AA49&gt;=0.1,1,0)</f>
        <v/>
      </c>
      <c r="AC49" s="87" t="n">
        <v>0</v>
      </c>
      <c r="AD49" s="47">
        <f>IF(U49="",0,U49)</f>
        <v/>
      </c>
      <c r="AE49" s="87">
        <f>IF(OR(V49=1,W49=1),1,0)</f>
        <v/>
      </c>
      <c r="AF49" s="87" t="n">
        <v>0</v>
      </c>
      <c r="AG49" t="n">
        <v>6626</v>
      </c>
      <c r="AH49" t="n">
        <v>82790</v>
      </c>
      <c r="AI49" t="n">
        <v>0</v>
      </c>
      <c r="AJ49" s="88">
        <f>IF(OR(AG49&lt;=0,AH49&lt;=0),"",LN(AG49)-LN(AH49))</f>
        <v/>
      </c>
      <c r="AK49" t="n">
        <v>14944</v>
      </c>
      <c r="AL49" t="n">
        <v>74472</v>
      </c>
      <c r="AM49" s="88">
        <f>IF(OR(AK49&lt;=0,AL49&lt;=0),"",LN(AK49)-LN(AL49))</f>
        <v/>
      </c>
      <c r="AN49" t="n">
        <v>6205</v>
      </c>
      <c r="AO49" t="n">
        <v>79980</v>
      </c>
      <c r="AP49" s="88">
        <f>IF(OR(AN49&lt;=0,AO49&lt;=0),"",LN(AN49)-LN(AO49))</f>
        <v/>
      </c>
      <c r="AQ49" t="n">
        <v>6434</v>
      </c>
      <c r="AR49" t="n">
        <v>82790</v>
      </c>
      <c r="AS49" s="88">
        <f>IF(OR(AQ49&lt;=0,AR49&lt;=0),"",LN(AQ49)-LN(AR49))</f>
        <v/>
      </c>
      <c r="AT49" t="n">
        <v>7179</v>
      </c>
      <c r="AU49" t="n">
        <v>81771</v>
      </c>
      <c r="AV49" t="n">
        <v>469</v>
      </c>
      <c r="AW49" t="n">
        <v>944</v>
      </c>
      <c r="AX49" t="n">
        <v>5628</v>
      </c>
      <c r="AY49" s="88">
        <f>IF(OR(AT49&lt;=0,AU49&lt;=0),"",LN(AT49)-LN(AU49))</f>
        <v/>
      </c>
      <c r="AZ49" s="46" t="n">
        <v>8.699999999999999</v>
      </c>
      <c r="BA49" s="46" t="n">
        <v>15.33</v>
      </c>
      <c r="BB49" s="47" t="n">
        <v>0</v>
      </c>
    </row>
    <row r="50">
      <c r="A50" s="48" t="n">
        <v>45340</v>
      </c>
      <c r="B50" s="49" t="n">
        <v>39094</v>
      </c>
      <c r="C50" s="50" t="n">
        <v>25.24</v>
      </c>
      <c r="D50" s="51" t="inlineStr">
        <is>
          <t>Moderate</t>
        </is>
      </c>
      <c r="E50" s="52" t="n">
        <v>6.2</v>
      </c>
      <c r="F50" s="52" t="n">
        <v>17.1</v>
      </c>
      <c r="G50" s="51" t="inlineStr">
        <is>
          <t>Sun</t>
        </is>
      </c>
      <c r="H50" s="51" t="inlineStr">
        <is>
          <t>Weekend</t>
        </is>
      </c>
      <c r="I50" s="51" t="inlineStr">
        <is>
          <t>Winter</t>
        </is>
      </c>
      <c r="J50" s="51" t="n">
        <v>25</v>
      </c>
      <c r="K50" s="51" t="inlineStr">
        <is>
          <t>OK</t>
        </is>
      </c>
      <c r="L50" s="46" t="n">
        <v>35.16</v>
      </c>
      <c r="M50" t="inlineStr">
        <is>
          <t>Moderate</t>
        </is>
      </c>
      <c r="N50" s="87" t="n">
        <v>25</v>
      </c>
      <c r="O50" s="87" t="n">
        <v>0</v>
      </c>
      <c r="P50" s="87" t="n">
        <v>0</v>
      </c>
      <c r="Q50" s="87" t="n">
        <v>0</v>
      </c>
      <c r="R50" s="87" t="n">
        <v>0</v>
      </c>
      <c r="S50" s="47" t="n">
        <v>2.8</v>
      </c>
      <c r="T50" s="47" t="n">
        <v>81.40000000000001</v>
      </c>
      <c r="U50" s="47" t="n"/>
      <c r="V50" s="87" t="n">
        <v>1</v>
      </c>
      <c r="W50" s="87" t="n">
        <v>0</v>
      </c>
      <c r="Y50" t="inlineStr">
        <is>
          <t>Feb</t>
        </is>
      </c>
      <c r="Z50" s="87" t="n">
        <v>2024</v>
      </c>
      <c r="AA50" s="47">
        <f>IF(F50="",0,F50)</f>
        <v/>
      </c>
      <c r="AB50" s="87">
        <f>IF(AA50&gt;=0.1,1,0)</f>
        <v/>
      </c>
      <c r="AC50" s="87" t="n">
        <v>0</v>
      </c>
      <c r="AD50" s="47">
        <f>IF(U50="",0,U50)</f>
        <v/>
      </c>
      <c r="AE50" s="87">
        <f>IF(OR(V50=1,W50=1),1,0)</f>
        <v/>
      </c>
      <c r="AF50" s="87" t="n">
        <v>0</v>
      </c>
      <c r="AG50" t="n">
        <v>2530</v>
      </c>
      <c r="AH50" t="n">
        <v>36564</v>
      </c>
      <c r="AI50" t="n">
        <v>0</v>
      </c>
      <c r="AJ50" s="88">
        <f>IF(OR(AG50&lt;=0,AH50&lt;=0),"",LN(AG50)-LN(AH50))</f>
        <v/>
      </c>
      <c r="AK50" t="n">
        <v>5941</v>
      </c>
      <c r="AL50" t="n">
        <v>33153</v>
      </c>
      <c r="AM50" s="88">
        <f>IF(OR(AK50&lt;=0,AL50&lt;=0),"",LN(AK50)-LN(AL50))</f>
        <v/>
      </c>
      <c r="AN50" t="n">
        <v>2392</v>
      </c>
      <c r="AO50" t="n">
        <v>35367</v>
      </c>
      <c r="AP50" s="88">
        <f>IF(OR(AN50&lt;=0,AO50&lt;=0),"",LN(AN50)-LN(AO50))</f>
        <v/>
      </c>
      <c r="AQ50" t="n">
        <v>2464</v>
      </c>
      <c r="AR50" t="n">
        <v>36564</v>
      </c>
      <c r="AS50" s="88">
        <f>IF(OR(AQ50&lt;=0,AR50&lt;=0),"",LN(AQ50)-LN(AR50))</f>
        <v/>
      </c>
      <c r="AT50" t="n">
        <v>2953</v>
      </c>
      <c r="AU50" t="n">
        <v>35939</v>
      </c>
      <c r="AV50" t="n">
        <v>201</v>
      </c>
      <c r="AW50" t="n">
        <v>344</v>
      </c>
      <c r="AX50" t="n">
        <v>2170</v>
      </c>
      <c r="AY50" s="88">
        <f>IF(OR(AT50&lt;=0,AU50&lt;=0),"",LN(AT50)-LN(AU50))</f>
        <v/>
      </c>
      <c r="AZ50" s="46" t="n">
        <v>1.1</v>
      </c>
      <c r="BA50" s="46" t="n">
        <v>3.01</v>
      </c>
      <c r="BB50" s="47" t="n">
        <v>7.1</v>
      </c>
    </row>
    <row r="51">
      <c r="A51" s="48" t="n">
        <v>45341</v>
      </c>
      <c r="B51" s="49" t="n">
        <v>39917</v>
      </c>
      <c r="C51" s="50" t="n">
        <v>8.359999999999999</v>
      </c>
      <c r="D51" s="51" t="inlineStr">
        <is>
          <t>Good</t>
        </is>
      </c>
      <c r="E51" s="52" t="n">
        <v>9.1</v>
      </c>
      <c r="F51" s="52" t="n">
        <v>8.9</v>
      </c>
      <c r="G51" s="51" t="inlineStr">
        <is>
          <t>Mon</t>
        </is>
      </c>
      <c r="H51" s="51" t="inlineStr">
        <is>
          <t>Weekday</t>
        </is>
      </c>
      <c r="I51" s="51" t="inlineStr">
        <is>
          <t>Winter</t>
        </is>
      </c>
      <c r="J51" s="51" t="n">
        <v>25</v>
      </c>
      <c r="K51" s="51" t="inlineStr">
        <is>
          <t>OK</t>
        </is>
      </c>
      <c r="L51" s="46" t="n">
        <v>13.96</v>
      </c>
      <c r="M51" t="inlineStr">
        <is>
          <t>Good</t>
        </is>
      </c>
      <c r="N51" s="87" t="n">
        <v>25</v>
      </c>
      <c r="O51" s="87" t="n">
        <v>0</v>
      </c>
      <c r="P51" s="87" t="n">
        <v>0</v>
      </c>
      <c r="Q51" s="87" t="n">
        <v>0</v>
      </c>
      <c r="R51" s="87" t="n">
        <v>0</v>
      </c>
      <c r="S51" s="47" t="n">
        <v>2.3</v>
      </c>
      <c r="T51" s="47" t="n">
        <v>95.8</v>
      </c>
      <c r="U51" s="47" t="n"/>
      <c r="V51" s="87" t="n">
        <v>0</v>
      </c>
      <c r="W51" s="87" t="n">
        <v>0</v>
      </c>
      <c r="Y51" t="inlineStr">
        <is>
          <t>Feb</t>
        </is>
      </c>
      <c r="Z51" s="87" t="n">
        <v>2024</v>
      </c>
      <c r="AA51" s="47">
        <f>IF(F51="",0,F51)</f>
        <v/>
      </c>
      <c r="AB51" s="87">
        <f>IF(AA51&gt;=0.1,1,0)</f>
        <v/>
      </c>
      <c r="AC51" s="87" t="n">
        <v>0</v>
      </c>
      <c r="AD51" s="47">
        <f>IF(U51="",0,U51)</f>
        <v/>
      </c>
      <c r="AE51" s="87">
        <f>IF(OR(V51=1,W51=1),1,0)</f>
        <v/>
      </c>
      <c r="AF51" s="87" t="n">
        <v>0</v>
      </c>
      <c r="AG51" t="n">
        <v>1749</v>
      </c>
      <c r="AH51" t="n">
        <v>38166</v>
      </c>
      <c r="AI51" t="n">
        <v>2</v>
      </c>
      <c r="AJ51" s="88">
        <f>IF(OR(AG51&lt;=0,AH51&lt;=0),"",LN(AG51)-LN(AH51))</f>
        <v/>
      </c>
      <c r="AK51" t="n">
        <v>5361</v>
      </c>
      <c r="AL51" t="n">
        <v>34554</v>
      </c>
      <c r="AM51" s="88">
        <f>IF(OR(AK51&lt;=0,AL51&lt;=0),"",LN(AK51)-LN(AL51))</f>
        <v/>
      </c>
      <c r="AN51" t="n">
        <v>1661</v>
      </c>
      <c r="AO51" t="n">
        <v>36796</v>
      </c>
      <c r="AP51" s="88">
        <f>IF(OR(AN51&lt;=0,AO51&lt;=0),"",LN(AN51)-LN(AO51))</f>
        <v/>
      </c>
      <c r="AQ51" t="n">
        <v>1695</v>
      </c>
      <c r="AR51" t="n">
        <v>38166</v>
      </c>
      <c r="AS51" s="88">
        <f>IF(OR(AQ51&lt;=0,AR51&lt;=0),"",LN(AQ51)-LN(AR51))</f>
        <v/>
      </c>
      <c r="AT51" t="n">
        <v>2468</v>
      </c>
      <c r="AU51" t="n">
        <v>37229</v>
      </c>
      <c r="AV51" t="n">
        <v>221</v>
      </c>
      <c r="AW51" t="n">
        <v>153</v>
      </c>
      <c r="AX51" t="n">
        <v>1586</v>
      </c>
      <c r="AY51" s="88">
        <f>IF(OR(AT51&lt;=0,AU51&lt;=0),"",LN(AT51)-LN(AU51))</f>
        <v/>
      </c>
      <c r="AZ51" s="46" t="n">
        <v>0</v>
      </c>
      <c r="BA51" s="46" t="n">
        <v>1.37</v>
      </c>
      <c r="BB51" s="47" t="n">
        <v>9.6</v>
      </c>
    </row>
    <row r="52">
      <c r="A52" s="48" t="n">
        <v>45342</v>
      </c>
      <c r="B52" s="49" t="n">
        <v>54433</v>
      </c>
      <c r="C52" s="50" t="n">
        <v>15.4</v>
      </c>
      <c r="D52" s="51" t="inlineStr">
        <is>
          <t>Moderate</t>
        </is>
      </c>
      <c r="E52" s="52" t="n">
        <v>4.3</v>
      </c>
      <c r="F52" s="52" t="n">
        <v>2.6</v>
      </c>
      <c r="G52" s="51" t="inlineStr">
        <is>
          <t>Tue</t>
        </is>
      </c>
      <c r="H52" s="51" t="inlineStr">
        <is>
          <t>Weekday</t>
        </is>
      </c>
      <c r="I52" s="51" t="inlineStr">
        <is>
          <t>Winter</t>
        </is>
      </c>
      <c r="J52" s="51" t="n">
        <v>25</v>
      </c>
      <c r="K52" s="51" t="inlineStr">
        <is>
          <t>OK</t>
        </is>
      </c>
      <c r="L52" s="46" t="n">
        <v>27.44</v>
      </c>
      <c r="M52" t="inlineStr">
        <is>
          <t>Good</t>
        </is>
      </c>
      <c r="N52" s="87" t="n">
        <v>25</v>
      </c>
      <c r="O52" s="87" t="n">
        <v>0</v>
      </c>
      <c r="P52" s="87" t="n">
        <v>0</v>
      </c>
      <c r="Q52" s="87" t="n">
        <v>0</v>
      </c>
      <c r="R52" s="87" t="n">
        <v>0</v>
      </c>
      <c r="S52" s="47" t="n">
        <v>3.4</v>
      </c>
      <c r="T52" s="47" t="n">
        <v>86.3</v>
      </c>
      <c r="U52" s="47" t="n"/>
      <c r="V52" s="87" t="n">
        <v>0</v>
      </c>
      <c r="W52" s="87" t="n">
        <v>0</v>
      </c>
      <c r="Y52" t="inlineStr">
        <is>
          <t>Feb</t>
        </is>
      </c>
      <c r="Z52" s="87" t="n">
        <v>2024</v>
      </c>
      <c r="AA52" s="47">
        <f>IF(F52="",0,F52)</f>
        <v/>
      </c>
      <c r="AB52" s="87">
        <f>IF(AA52&gt;=0.1,1,0)</f>
        <v/>
      </c>
      <c r="AC52" s="87" t="n">
        <v>0</v>
      </c>
      <c r="AD52" s="47">
        <f>IF(U52="",0,U52)</f>
        <v/>
      </c>
      <c r="AE52" s="87">
        <f>IF(OR(V52=1,W52=1),1,0)</f>
        <v/>
      </c>
      <c r="AF52" s="87" t="n">
        <v>0</v>
      </c>
      <c r="AG52" t="n">
        <v>2605</v>
      </c>
      <c r="AH52" t="n">
        <v>51828</v>
      </c>
      <c r="AI52" t="n">
        <v>0</v>
      </c>
      <c r="AJ52" s="88">
        <f>IF(OR(AG52&lt;=0,AH52&lt;=0),"",LN(AG52)-LN(AH52))</f>
        <v/>
      </c>
      <c r="AK52" t="n">
        <v>7264</v>
      </c>
      <c r="AL52" t="n">
        <v>47169</v>
      </c>
      <c r="AM52" s="88">
        <f>IF(OR(AK52&lt;=0,AL52&lt;=0),"",LN(AK52)-LN(AL52))</f>
        <v/>
      </c>
      <c r="AN52" t="n">
        <v>2489</v>
      </c>
      <c r="AO52" t="n">
        <v>50020</v>
      </c>
      <c r="AP52" s="88">
        <f>IF(OR(AN52&lt;=0,AO52&lt;=0),"",LN(AN52)-LN(AO52))</f>
        <v/>
      </c>
      <c r="AQ52" t="n">
        <v>2546</v>
      </c>
      <c r="AR52" t="n">
        <v>51828</v>
      </c>
      <c r="AS52" s="88">
        <f>IF(OR(AQ52&lt;=0,AR52&lt;=0),"",LN(AQ52)-LN(AR52))</f>
        <v/>
      </c>
      <c r="AT52" t="n">
        <v>3093</v>
      </c>
      <c r="AU52" t="n">
        <v>51070</v>
      </c>
      <c r="AV52" t="n">
        <v>277</v>
      </c>
      <c r="AW52" t="n">
        <v>182</v>
      </c>
      <c r="AX52" t="n">
        <v>2406</v>
      </c>
      <c r="AY52" s="88">
        <f>IF(OR(AT52&lt;=0,AU52&lt;=0),"",LN(AT52)-LN(AU52))</f>
        <v/>
      </c>
      <c r="AZ52" s="46" t="n">
        <v>0</v>
      </c>
      <c r="BA52" s="46" t="n">
        <v>2.34</v>
      </c>
      <c r="BB52" s="47" t="n">
        <v>9.9</v>
      </c>
    </row>
    <row r="53">
      <c r="A53" s="48" t="n">
        <v>45343</v>
      </c>
      <c r="B53" s="49" t="n">
        <v>9618</v>
      </c>
      <c r="C53" s="50" t="n">
        <v>1.36</v>
      </c>
      <c r="D53" s="51" t="inlineStr">
        <is>
          <t>Good</t>
        </is>
      </c>
      <c r="E53" s="52" t="n">
        <v>1.9</v>
      </c>
      <c r="F53" s="52" t="n">
        <v>17.8</v>
      </c>
      <c r="G53" s="51" t="inlineStr">
        <is>
          <t>Wed</t>
        </is>
      </c>
      <c r="H53" s="51" t="inlineStr">
        <is>
          <t>Weekday</t>
        </is>
      </c>
      <c r="I53" s="51" t="inlineStr">
        <is>
          <t>Winter</t>
        </is>
      </c>
      <c r="J53" s="51" t="n">
        <v>25</v>
      </c>
      <c r="K53" s="51" t="inlineStr">
        <is>
          <t>OK</t>
        </is>
      </c>
      <c r="L53" s="46" t="n">
        <v>3.8</v>
      </c>
      <c r="M53" t="inlineStr">
        <is>
          <t>Good</t>
        </is>
      </c>
      <c r="N53" s="87" t="n">
        <v>25</v>
      </c>
      <c r="O53" s="87" t="n">
        <v>0</v>
      </c>
      <c r="P53" s="87" t="n">
        <v>0</v>
      </c>
      <c r="Q53" s="87" t="n">
        <v>0</v>
      </c>
      <c r="R53" s="87" t="n">
        <v>0</v>
      </c>
      <c r="S53" s="47" t="n">
        <v>5.2</v>
      </c>
      <c r="T53" s="47" t="n">
        <v>92.5</v>
      </c>
      <c r="U53" s="47" t="n">
        <v>5.2</v>
      </c>
      <c r="V53" s="87" t="n">
        <v>0</v>
      </c>
      <c r="W53" s="87" t="n">
        <v>0</v>
      </c>
      <c r="Y53" t="inlineStr">
        <is>
          <t>Feb</t>
        </is>
      </c>
      <c r="Z53" s="87" t="n">
        <v>2024</v>
      </c>
      <c r="AA53" s="47">
        <f>IF(F53="",0,F53)</f>
        <v/>
      </c>
      <c r="AB53" s="87">
        <f>IF(AA53&gt;=0.1,1,0)</f>
        <v/>
      </c>
      <c r="AC53" s="87" t="n">
        <v>0</v>
      </c>
      <c r="AD53" s="47">
        <f>IF(U53="",0,U53)</f>
        <v/>
      </c>
      <c r="AE53" s="87">
        <f>IF(OR(V53=1,W53=1),1,0)</f>
        <v/>
      </c>
      <c r="AF53" s="87" t="n">
        <v>0</v>
      </c>
      <c r="AG53" t="n">
        <v>368</v>
      </c>
      <c r="AH53" t="n">
        <v>9250</v>
      </c>
      <c r="AI53" t="n">
        <v>0</v>
      </c>
      <c r="AJ53" s="88">
        <f>IF(OR(AG53&lt;=0,AH53&lt;=0),"",LN(AG53)-LN(AH53))</f>
        <v/>
      </c>
      <c r="AK53" t="n">
        <v>1166</v>
      </c>
      <c r="AL53" t="n">
        <v>8452</v>
      </c>
      <c r="AM53" s="88">
        <f>IF(OR(AK53&lt;=0,AL53&lt;=0),"",LN(AK53)-LN(AL53))</f>
        <v/>
      </c>
      <c r="AN53" t="n">
        <v>356</v>
      </c>
      <c r="AO53" t="n">
        <v>8926</v>
      </c>
      <c r="AP53" s="88">
        <f>IF(OR(AN53&lt;=0,AO53&lt;=0),"",LN(AN53)-LN(AO53))</f>
        <v/>
      </c>
      <c r="AQ53" t="n">
        <v>363</v>
      </c>
      <c r="AR53" t="n">
        <v>9250</v>
      </c>
      <c r="AS53" s="88">
        <f>IF(OR(AQ53&lt;=0,AR53&lt;=0),"",LN(AQ53)-LN(AR53))</f>
        <v/>
      </c>
      <c r="AT53" t="n">
        <v>636</v>
      </c>
      <c r="AU53" t="n">
        <v>8927</v>
      </c>
      <c r="AV53" t="n">
        <v>56</v>
      </c>
      <c r="AW53" t="n">
        <v>27</v>
      </c>
      <c r="AX53" t="n">
        <v>337</v>
      </c>
      <c r="AY53" s="88">
        <f>IF(OR(AT53&lt;=0,AU53&lt;=0),"",LN(AT53)-LN(AU53))</f>
        <v/>
      </c>
      <c r="AZ53" s="46" t="n">
        <v>0</v>
      </c>
      <c r="BA53" s="46" t="n">
        <v>2.77</v>
      </c>
      <c r="BB53" s="47" t="n">
        <v>10</v>
      </c>
    </row>
    <row r="54">
      <c r="A54" s="48" t="n">
        <v>45344</v>
      </c>
      <c r="B54" s="49" t="n">
        <v>29137</v>
      </c>
      <c r="C54" s="50" t="n">
        <v>2.48</v>
      </c>
      <c r="D54" s="51" t="inlineStr">
        <is>
          <t>Good</t>
        </is>
      </c>
      <c r="E54" s="52" t="n">
        <v>0.2</v>
      </c>
      <c r="F54" s="52" t="n">
        <v>8.800000000000001</v>
      </c>
      <c r="G54" s="51" t="inlineStr">
        <is>
          <t>Thu</t>
        </is>
      </c>
      <c r="H54" s="51" t="inlineStr">
        <is>
          <t>Weekday</t>
        </is>
      </c>
      <c r="I54" s="51" t="inlineStr">
        <is>
          <t>Winter</t>
        </is>
      </c>
      <c r="J54" s="51" t="n">
        <v>25</v>
      </c>
      <c r="K54" s="51" t="inlineStr">
        <is>
          <t>OK</t>
        </is>
      </c>
      <c r="L54" s="46" t="n">
        <v>5.56</v>
      </c>
      <c r="M54" t="inlineStr">
        <is>
          <t>Good</t>
        </is>
      </c>
      <c r="N54" s="87" t="n">
        <v>25</v>
      </c>
      <c r="O54" s="87" t="n">
        <v>0</v>
      </c>
      <c r="P54" s="87" t="n">
        <v>0</v>
      </c>
      <c r="Q54" s="87" t="n">
        <v>0</v>
      </c>
      <c r="R54" s="87" t="n">
        <v>0</v>
      </c>
      <c r="S54" s="47" t="n">
        <v>4.2</v>
      </c>
      <c r="T54" s="47" t="n">
        <v>84.5</v>
      </c>
      <c r="U54" s="47" t="n">
        <v>8.6</v>
      </c>
      <c r="V54" s="87" t="n">
        <v>0</v>
      </c>
      <c r="W54" s="87" t="n">
        <v>0</v>
      </c>
      <c r="Y54" t="inlineStr">
        <is>
          <t>Feb</t>
        </is>
      </c>
      <c r="Z54" s="87" t="n">
        <v>2024</v>
      </c>
      <c r="AA54" s="47">
        <f>IF(F54="",0,F54)</f>
        <v/>
      </c>
      <c r="AB54" s="87">
        <f>IF(AA54&gt;=0.1,1,0)</f>
        <v/>
      </c>
      <c r="AC54" s="87" t="n">
        <v>0</v>
      </c>
      <c r="AD54" s="47">
        <f>IF(U54="",0,U54)</f>
        <v/>
      </c>
      <c r="AE54" s="87">
        <f>IF(OR(V54=1,W54=1),1,0)</f>
        <v/>
      </c>
      <c r="AF54" s="87" t="n">
        <v>0</v>
      </c>
      <c r="AG54" t="n">
        <v>1233</v>
      </c>
      <c r="AH54" t="n">
        <v>27904</v>
      </c>
      <c r="AI54" t="n">
        <v>0</v>
      </c>
      <c r="AJ54" s="88">
        <f>IF(OR(AG54&lt;=0,AH54&lt;=0),"",LN(AG54)-LN(AH54))</f>
        <v/>
      </c>
      <c r="AK54" t="n">
        <v>3824</v>
      </c>
      <c r="AL54" t="n">
        <v>25313</v>
      </c>
      <c r="AM54" s="88">
        <f>IF(OR(AK54&lt;=0,AL54&lt;=0),"",LN(AK54)-LN(AL54))</f>
        <v/>
      </c>
      <c r="AN54" t="n">
        <v>1180</v>
      </c>
      <c r="AO54" t="n">
        <v>26931</v>
      </c>
      <c r="AP54" s="88">
        <f>IF(OR(AN54&lt;=0,AO54&lt;=0),"",LN(AN54)-LN(AO54))</f>
        <v/>
      </c>
      <c r="AQ54" t="n">
        <v>1206</v>
      </c>
      <c r="AR54" t="n">
        <v>27904</v>
      </c>
      <c r="AS54" s="88">
        <f>IF(OR(AQ54&lt;=0,AR54&lt;=0),"",LN(AQ54)-LN(AR54))</f>
        <v/>
      </c>
      <c r="AT54" t="n">
        <v>1927</v>
      </c>
      <c r="AU54" t="n">
        <v>27012</v>
      </c>
      <c r="AV54" t="n">
        <v>198</v>
      </c>
      <c r="AW54" t="n">
        <v>122</v>
      </c>
      <c r="AX54" t="n">
        <v>1103</v>
      </c>
      <c r="AY54" s="88">
        <f>IF(OR(AT54&lt;=0,AU54&lt;=0),"",LN(AT54)-LN(AU54))</f>
        <v/>
      </c>
      <c r="AZ54" s="46" t="n">
        <v>0</v>
      </c>
      <c r="BA54" s="46" t="n">
        <v>4.5</v>
      </c>
      <c r="BB54" s="47" t="n">
        <v>9.800000000000001</v>
      </c>
    </row>
    <row r="55">
      <c r="A55" s="48" t="n">
        <v>45345</v>
      </c>
      <c r="B55" s="49" t="n">
        <v>75742</v>
      </c>
      <c r="C55" s="50" t="n">
        <v>4.48</v>
      </c>
      <c r="D55" s="51" t="inlineStr">
        <is>
          <t>Good</t>
        </is>
      </c>
      <c r="E55" s="52" t="n">
        <v>1.8</v>
      </c>
      <c r="F55" s="52" t="n">
        <v>0.4</v>
      </c>
      <c r="G55" s="51" t="inlineStr">
        <is>
          <t>Fri</t>
        </is>
      </c>
      <c r="H55" s="51" t="inlineStr">
        <is>
          <t>Weekday</t>
        </is>
      </c>
      <c r="I55" s="51" t="inlineStr">
        <is>
          <t>Winter</t>
        </is>
      </c>
      <c r="J55" s="51" t="n">
        <v>25</v>
      </c>
      <c r="K55" s="51" t="inlineStr">
        <is>
          <t>OK</t>
        </is>
      </c>
      <c r="L55" s="46" t="n">
        <v>8.958333333333334</v>
      </c>
      <c r="M55" t="inlineStr">
        <is>
          <t>Good</t>
        </is>
      </c>
      <c r="N55" s="87" t="n">
        <v>24</v>
      </c>
      <c r="O55" s="87" t="n">
        <v>0</v>
      </c>
      <c r="P55" s="87" t="n">
        <v>0</v>
      </c>
      <c r="Q55" s="87" t="n">
        <v>0</v>
      </c>
      <c r="R55" s="87" t="n">
        <v>0</v>
      </c>
      <c r="S55" s="47" t="n">
        <v>3.5</v>
      </c>
      <c r="T55" s="47" t="n">
        <v>68.8</v>
      </c>
      <c r="U55" s="47" t="n">
        <v>0.3</v>
      </c>
      <c r="V55" s="87" t="n">
        <v>0</v>
      </c>
      <c r="W55" s="87" t="n">
        <v>0</v>
      </c>
      <c r="Y55" t="inlineStr">
        <is>
          <t>Feb</t>
        </is>
      </c>
      <c r="Z55" s="87" t="n">
        <v>2024</v>
      </c>
      <c r="AA55" s="47">
        <f>IF(F55="",0,F55)</f>
        <v/>
      </c>
      <c r="AB55" s="87">
        <f>IF(AA55&gt;=0.1,1,0)</f>
        <v/>
      </c>
      <c r="AC55" s="87" t="n">
        <v>0</v>
      </c>
      <c r="AD55" s="47">
        <f>IF(U55="",0,U55)</f>
        <v/>
      </c>
      <c r="AE55" s="87">
        <f>IF(OR(V55=1,W55=1),1,0)</f>
        <v/>
      </c>
      <c r="AF55" s="87" t="n">
        <v>0</v>
      </c>
      <c r="AG55" t="n">
        <v>3661</v>
      </c>
      <c r="AH55" t="n">
        <v>72081</v>
      </c>
      <c r="AI55" t="n">
        <v>0</v>
      </c>
      <c r="AJ55" s="88">
        <f>IF(OR(AG55&lt;=0,AH55&lt;=0),"",LN(AG55)-LN(AH55))</f>
        <v/>
      </c>
      <c r="AK55" t="n">
        <v>10522</v>
      </c>
      <c r="AL55" t="n">
        <v>65220</v>
      </c>
      <c r="AM55" s="88">
        <f>IF(OR(AK55&lt;=0,AL55&lt;=0),"",LN(AK55)-LN(AL55))</f>
        <v/>
      </c>
      <c r="AN55" t="n">
        <v>3506</v>
      </c>
      <c r="AO55" t="n">
        <v>69626</v>
      </c>
      <c r="AP55" s="88">
        <f>IF(OR(AN55&lt;=0,AO55&lt;=0),"",LN(AN55)-LN(AO55))</f>
        <v/>
      </c>
      <c r="AQ55" t="n">
        <v>3558</v>
      </c>
      <c r="AR55" t="n">
        <v>72081</v>
      </c>
      <c r="AS55" s="88">
        <f>IF(OR(AQ55&lt;=0,AR55&lt;=0),"",LN(AQ55)-LN(AR55))</f>
        <v/>
      </c>
      <c r="AT55" t="n">
        <v>4520</v>
      </c>
      <c r="AU55" t="n">
        <v>70756</v>
      </c>
      <c r="AV55" t="n">
        <v>466</v>
      </c>
      <c r="AW55" t="n">
        <v>317</v>
      </c>
      <c r="AX55" t="n">
        <v>3323</v>
      </c>
      <c r="AY55" s="88">
        <f>IF(OR(AT55&lt;=0,AU55&lt;=0),"",LN(AT55)-LN(AU55))</f>
        <v/>
      </c>
      <c r="AZ55" s="46" t="n">
        <v>5.8</v>
      </c>
      <c r="BA55" s="46" t="n">
        <v>15.28</v>
      </c>
      <c r="BB55" s="47" t="n">
        <v>5.9</v>
      </c>
    </row>
    <row r="56">
      <c r="A56" s="48" t="n">
        <v>45346</v>
      </c>
      <c r="B56" s="49" t="n">
        <v>55704</v>
      </c>
      <c r="C56" s="50" t="n">
        <v>7.16</v>
      </c>
      <c r="D56" s="51" t="inlineStr">
        <is>
          <t>Good</t>
        </is>
      </c>
      <c r="E56" s="52" t="n">
        <v>2</v>
      </c>
      <c r="F56" s="52" t="n">
        <v>2.3</v>
      </c>
      <c r="G56" s="51" t="inlineStr">
        <is>
          <t>Sat</t>
        </is>
      </c>
      <c r="H56" s="51" t="inlineStr">
        <is>
          <t>Weekend</t>
        </is>
      </c>
      <c r="I56" s="51" t="inlineStr">
        <is>
          <t>Winter</t>
        </is>
      </c>
      <c r="J56" s="51" t="n">
        <v>25</v>
      </c>
      <c r="K56" s="51" t="inlineStr">
        <is>
          <t>OK</t>
        </is>
      </c>
      <c r="L56" s="46" t="n">
        <v>13.16666666666667</v>
      </c>
      <c r="M56" t="inlineStr">
        <is>
          <t>Good</t>
        </is>
      </c>
      <c r="N56" s="87" t="n">
        <v>24</v>
      </c>
      <c r="O56" s="87" t="n">
        <v>0</v>
      </c>
      <c r="P56" s="87" t="n">
        <v>0</v>
      </c>
      <c r="Q56" s="87" t="n">
        <v>0</v>
      </c>
      <c r="R56" s="87" t="n">
        <v>0</v>
      </c>
      <c r="S56" s="47" t="n">
        <v>2.9</v>
      </c>
      <c r="T56" s="47" t="n">
        <v>68.59999999999999</v>
      </c>
      <c r="U56" s="47" t="n"/>
      <c r="V56" s="87" t="n">
        <v>1</v>
      </c>
      <c r="W56" s="87" t="n">
        <v>0</v>
      </c>
      <c r="Y56" t="inlineStr">
        <is>
          <t>Feb</t>
        </is>
      </c>
      <c r="Z56" s="87" t="n">
        <v>2024</v>
      </c>
      <c r="AA56" s="47">
        <f>IF(F56="",0,F56)</f>
        <v/>
      </c>
      <c r="AB56" s="87">
        <f>IF(AA56&gt;=0.1,1,0)</f>
        <v/>
      </c>
      <c r="AC56" s="87" t="n">
        <v>0</v>
      </c>
      <c r="AD56" s="47">
        <f>IF(U56="",0,U56)</f>
        <v/>
      </c>
      <c r="AE56" s="87">
        <f>IF(OR(V56=1,W56=1),1,0)</f>
        <v/>
      </c>
      <c r="AF56" s="87" t="n">
        <v>0</v>
      </c>
      <c r="AG56" t="n">
        <v>3000</v>
      </c>
      <c r="AH56" t="n">
        <v>52704</v>
      </c>
      <c r="AI56" t="n">
        <v>0</v>
      </c>
      <c r="AJ56" s="88">
        <f>IF(OR(AG56&lt;=0,AH56&lt;=0),"",LN(AG56)-LN(AH56))</f>
        <v/>
      </c>
      <c r="AK56" t="n">
        <v>7802</v>
      </c>
      <c r="AL56" t="n">
        <v>47902</v>
      </c>
      <c r="AM56" s="88">
        <f>IF(OR(AK56&lt;=0,AL56&lt;=0),"",LN(AK56)-LN(AL56))</f>
        <v/>
      </c>
      <c r="AN56" t="n">
        <v>2825</v>
      </c>
      <c r="AO56" t="n">
        <v>50943</v>
      </c>
      <c r="AP56" s="88">
        <f>IF(OR(AN56&lt;=0,AO56&lt;=0),"",LN(AN56)-LN(AO56))</f>
        <v/>
      </c>
      <c r="AQ56" t="n">
        <v>2928</v>
      </c>
      <c r="AR56" t="n">
        <v>52704</v>
      </c>
      <c r="AS56" s="88">
        <f>IF(OR(AQ56&lt;=0,AR56&lt;=0),"",LN(AQ56)-LN(AR56))</f>
        <v/>
      </c>
      <c r="AT56" t="n">
        <v>3951</v>
      </c>
      <c r="AU56" t="n">
        <v>51470</v>
      </c>
      <c r="AV56" t="n">
        <v>283</v>
      </c>
      <c r="AW56" t="n">
        <v>322</v>
      </c>
      <c r="AX56" t="n">
        <v>2662</v>
      </c>
      <c r="AY56" s="88">
        <f>IF(OR(AT56&lt;=0,AU56&lt;=0),"",LN(AT56)-LN(AU56))</f>
        <v/>
      </c>
      <c r="AZ56" s="46" t="n">
        <v>5.5</v>
      </c>
      <c r="BA56" s="46" t="n">
        <v>12.07</v>
      </c>
      <c r="BB56" s="47" t="n">
        <v>7.4</v>
      </c>
    </row>
    <row r="57">
      <c r="A57" s="48" t="n">
        <v>45347</v>
      </c>
      <c r="B57" s="49" t="n">
        <v>49385</v>
      </c>
      <c r="C57" s="50" t="n">
        <v>10.56</v>
      </c>
      <c r="D57" s="51" t="inlineStr">
        <is>
          <t>Good</t>
        </is>
      </c>
      <c r="E57" s="52" t="n">
        <v>2.8</v>
      </c>
      <c r="F57" s="52" t="n">
        <v>1.8</v>
      </c>
      <c r="G57" s="51" t="inlineStr">
        <is>
          <t>Sun</t>
        </is>
      </c>
      <c r="H57" s="51" t="inlineStr">
        <is>
          <t>Weekend</t>
        </is>
      </c>
      <c r="I57" s="51" t="inlineStr">
        <is>
          <t>Winter</t>
        </is>
      </c>
      <c r="J57" s="51" t="n">
        <v>25</v>
      </c>
      <c r="K57" s="51" t="inlineStr">
        <is>
          <t>OK</t>
        </is>
      </c>
      <c r="L57" s="46" t="n">
        <v>14.56</v>
      </c>
      <c r="M57" t="inlineStr">
        <is>
          <t>Good</t>
        </is>
      </c>
      <c r="N57" s="87" t="n">
        <v>25</v>
      </c>
      <c r="O57" s="87" t="n">
        <v>0</v>
      </c>
      <c r="P57" s="87" t="n">
        <v>0</v>
      </c>
      <c r="Q57" s="87" t="n">
        <v>0</v>
      </c>
      <c r="R57" s="87" t="n">
        <v>0</v>
      </c>
      <c r="S57" s="47" t="n">
        <v>2</v>
      </c>
      <c r="T57" s="47" t="n">
        <v>80.8</v>
      </c>
      <c r="U57" s="47" t="n">
        <v>0.2</v>
      </c>
      <c r="V57" s="87" t="n">
        <v>1</v>
      </c>
      <c r="W57" s="87" t="n">
        <v>0</v>
      </c>
      <c r="Y57" t="inlineStr">
        <is>
          <t>Feb</t>
        </is>
      </c>
      <c r="Z57" s="87" t="n">
        <v>2024</v>
      </c>
      <c r="AA57" s="47">
        <f>IF(F57="",0,F57)</f>
        <v/>
      </c>
      <c r="AB57" s="87">
        <f>IF(AA57&gt;=0.1,1,0)</f>
        <v/>
      </c>
      <c r="AC57" s="87" t="n">
        <v>0</v>
      </c>
      <c r="AD57" s="47">
        <f>IF(U57="",0,U57)</f>
        <v/>
      </c>
      <c r="AE57" s="87">
        <f>IF(OR(V57=1,W57=1),1,0)</f>
        <v/>
      </c>
      <c r="AF57" s="87" t="n">
        <v>0</v>
      </c>
      <c r="AG57" t="n">
        <v>3351</v>
      </c>
      <c r="AH57" t="n">
        <v>46034</v>
      </c>
      <c r="AI57" t="n">
        <v>0</v>
      </c>
      <c r="AJ57" s="88">
        <f>IF(OR(AG57&lt;=0,AH57&lt;=0),"",LN(AG57)-LN(AH57))</f>
        <v/>
      </c>
      <c r="AK57" t="n">
        <v>7779</v>
      </c>
      <c r="AL57" t="n">
        <v>41606</v>
      </c>
      <c r="AM57" s="88">
        <f>IF(OR(AK57&lt;=0,AL57&lt;=0),"",LN(AK57)-LN(AL57))</f>
        <v/>
      </c>
      <c r="AN57" t="n">
        <v>3173</v>
      </c>
      <c r="AO57" t="n">
        <v>44553</v>
      </c>
      <c r="AP57" s="88">
        <f>IF(OR(AN57&lt;=0,AO57&lt;=0),"",LN(AN57)-LN(AO57))</f>
        <v/>
      </c>
      <c r="AQ57" t="n">
        <v>3264</v>
      </c>
      <c r="AR57" t="n">
        <v>46034</v>
      </c>
      <c r="AS57" s="88">
        <f>IF(OR(AQ57&lt;=0,AR57&lt;=0),"",LN(AQ57)-LN(AR57))</f>
        <v/>
      </c>
      <c r="AT57" t="n">
        <v>4255</v>
      </c>
      <c r="AU57" t="n">
        <v>44872</v>
      </c>
      <c r="AV57" t="n">
        <v>258</v>
      </c>
      <c r="AW57" t="n">
        <v>474</v>
      </c>
      <c r="AX57" t="n">
        <v>2852</v>
      </c>
      <c r="AY57" s="88">
        <f>IF(OR(AT57&lt;=0,AU57&lt;=0),"",LN(AT57)-LN(AU57))</f>
        <v/>
      </c>
      <c r="AZ57" s="46" t="n">
        <v>0.9</v>
      </c>
      <c r="BA57" s="46" t="n">
        <v>7.55</v>
      </c>
      <c r="BB57" s="47" t="n">
        <v>6.4</v>
      </c>
    </row>
    <row r="58">
      <c r="A58" s="48" t="n">
        <v>45348</v>
      </c>
      <c r="B58" s="49" t="n">
        <v>98018</v>
      </c>
      <c r="C58" s="50" t="n">
        <v>18.48</v>
      </c>
      <c r="D58" s="51" t="inlineStr">
        <is>
          <t>Moderate</t>
        </is>
      </c>
      <c r="E58" s="52" t="n">
        <v>3.8</v>
      </c>
      <c r="F58" s="52" t="n"/>
      <c r="G58" s="51" t="inlineStr">
        <is>
          <t>Mon</t>
        </is>
      </c>
      <c r="H58" s="51" t="inlineStr">
        <is>
          <t>Weekday</t>
        </is>
      </c>
      <c r="I58" s="51" t="inlineStr">
        <is>
          <t>Winter</t>
        </is>
      </c>
      <c r="J58" s="51" t="n">
        <v>25</v>
      </c>
      <c r="K58" s="51" t="inlineStr">
        <is>
          <t>강수량 공란</t>
        </is>
      </c>
      <c r="L58" s="46" t="n">
        <v>28.76</v>
      </c>
      <c r="M58" t="inlineStr">
        <is>
          <t>Good</t>
        </is>
      </c>
      <c r="N58" s="87" t="n">
        <v>25</v>
      </c>
      <c r="O58" s="87" t="n">
        <v>0</v>
      </c>
      <c r="P58" s="87" t="n">
        <v>0</v>
      </c>
      <c r="Q58" s="87" t="n">
        <v>0</v>
      </c>
      <c r="R58" s="87" t="n">
        <v>0</v>
      </c>
      <c r="S58" s="47" t="n">
        <v>1.9</v>
      </c>
      <c r="T58" s="47" t="n">
        <v>65.3</v>
      </c>
      <c r="U58" s="47" t="n"/>
      <c r="V58" s="87" t="n">
        <v>0</v>
      </c>
      <c r="W58" s="87" t="n">
        <v>0</v>
      </c>
      <c r="Y58" t="inlineStr">
        <is>
          <t>Feb</t>
        </is>
      </c>
      <c r="Z58" s="87" t="n">
        <v>2024</v>
      </c>
      <c r="AA58" s="47">
        <f>IF(F58="",0,F58)</f>
        <v/>
      </c>
      <c r="AB58" s="87">
        <f>IF(AA58&gt;=0.1,1,0)</f>
        <v/>
      </c>
      <c r="AC58" s="87" t="n">
        <v>0</v>
      </c>
      <c r="AD58" s="47">
        <f>IF(U58="",0,U58)</f>
        <v/>
      </c>
      <c r="AE58" s="87">
        <f>IF(OR(V58=1,W58=1),1,0)</f>
        <v/>
      </c>
      <c r="AF58" s="87" t="n">
        <v>0</v>
      </c>
      <c r="AG58" t="n">
        <v>5281</v>
      </c>
      <c r="AH58" t="n">
        <v>92737</v>
      </c>
      <c r="AI58" t="n">
        <v>0</v>
      </c>
      <c r="AJ58" s="88">
        <f>IF(OR(AG58&lt;=0,AH58&lt;=0),"",LN(AG58)-LN(AH58))</f>
        <v/>
      </c>
      <c r="AK58" t="n">
        <v>14628</v>
      </c>
      <c r="AL58" t="n">
        <v>83390</v>
      </c>
      <c r="AM58" s="88">
        <f>IF(OR(AK58&lt;=0,AL58&lt;=0),"",LN(AK58)-LN(AL58))</f>
        <v/>
      </c>
      <c r="AN58" t="n">
        <v>5029</v>
      </c>
      <c r="AO58" t="n">
        <v>89712</v>
      </c>
      <c r="AP58" s="88">
        <f>IF(OR(AN58&lt;=0,AO58&lt;=0),"",LN(AN58)-LN(AO58))</f>
        <v/>
      </c>
      <c r="AQ58" t="n">
        <v>5157</v>
      </c>
      <c r="AR58" t="n">
        <v>92737</v>
      </c>
      <c r="AS58" s="88">
        <f>IF(OR(AQ58&lt;=0,AR58&lt;=0),"",LN(AQ58)-LN(AR58))</f>
        <v/>
      </c>
      <c r="AT58" t="n">
        <v>5798</v>
      </c>
      <c r="AU58" t="n">
        <v>91661</v>
      </c>
      <c r="AV58" t="n">
        <v>568</v>
      </c>
      <c r="AW58" t="n">
        <v>542</v>
      </c>
      <c r="AX58" t="n">
        <v>4712</v>
      </c>
      <c r="AY58" s="88">
        <f>IF(OR(AT58&lt;=0,AU58&lt;=0),"",LN(AT58)-LN(AU58))</f>
        <v/>
      </c>
      <c r="AZ58" s="46" t="n">
        <v>6.8</v>
      </c>
      <c r="BA58" s="46" t="n">
        <v>14.98</v>
      </c>
      <c r="BB58" s="47" t="n">
        <v>2.1</v>
      </c>
    </row>
    <row r="59">
      <c r="A59" s="48" t="n">
        <v>45349</v>
      </c>
      <c r="B59" s="49" t="n">
        <v>104188</v>
      </c>
      <c r="C59" s="50" t="n">
        <v>8.960000000000001</v>
      </c>
      <c r="D59" s="51" t="inlineStr">
        <is>
          <t>Good</t>
        </is>
      </c>
      <c r="E59" s="52" t="n">
        <v>5.3</v>
      </c>
      <c r="F59" s="52" t="n"/>
      <c r="G59" s="51" t="inlineStr">
        <is>
          <t>Tue</t>
        </is>
      </c>
      <c r="H59" s="51" t="inlineStr">
        <is>
          <t>Weekday</t>
        </is>
      </c>
      <c r="I59" s="51" t="inlineStr">
        <is>
          <t>Winter</t>
        </is>
      </c>
      <c r="J59" s="51" t="n">
        <v>25</v>
      </c>
      <c r="K59" s="51" t="inlineStr">
        <is>
          <t>강수량 공란</t>
        </is>
      </c>
      <c r="L59" s="46" t="n">
        <v>17.52</v>
      </c>
      <c r="M59" t="inlineStr">
        <is>
          <t>Good</t>
        </is>
      </c>
      <c r="N59" s="87" t="n">
        <v>25</v>
      </c>
      <c r="O59" s="87" t="n">
        <v>0</v>
      </c>
      <c r="P59" s="87" t="n">
        <v>0</v>
      </c>
      <c r="Q59" s="87" t="n">
        <v>0</v>
      </c>
      <c r="R59" s="87" t="n">
        <v>0</v>
      </c>
      <c r="S59" s="47" t="n">
        <v>3</v>
      </c>
      <c r="T59" s="47" t="n">
        <v>52</v>
      </c>
      <c r="U59" s="47" t="n"/>
      <c r="V59" s="87" t="n">
        <v>0</v>
      </c>
      <c r="W59" s="87" t="n">
        <v>0</v>
      </c>
      <c r="Y59" t="inlineStr">
        <is>
          <t>Feb</t>
        </is>
      </c>
      <c r="Z59" s="87" t="n">
        <v>2024</v>
      </c>
      <c r="AA59" s="47">
        <f>IF(F59="",0,F59)</f>
        <v/>
      </c>
      <c r="AB59" s="87">
        <f>IF(AA59&gt;=0.1,1,0)</f>
        <v/>
      </c>
      <c r="AC59" s="87" t="n">
        <v>0</v>
      </c>
      <c r="AD59" s="47">
        <f>IF(U59="",0,U59)</f>
        <v/>
      </c>
      <c r="AE59" s="87">
        <f>IF(OR(V59=1,W59=1),1,0)</f>
        <v/>
      </c>
      <c r="AF59" s="87" t="n">
        <v>0</v>
      </c>
      <c r="AG59" t="n">
        <v>5503</v>
      </c>
      <c r="AH59" t="n">
        <v>98685</v>
      </c>
      <c r="AI59" t="n">
        <v>0</v>
      </c>
      <c r="AJ59" s="88">
        <f>IF(OR(AG59&lt;=0,AH59&lt;=0),"",LN(AG59)-LN(AH59))</f>
        <v/>
      </c>
      <c r="AK59" t="n">
        <v>15267</v>
      </c>
      <c r="AL59" t="n">
        <v>88921</v>
      </c>
      <c r="AM59" s="88">
        <f>IF(OR(AK59&lt;=0,AL59&lt;=0),"",LN(AK59)-LN(AL59))</f>
        <v/>
      </c>
      <c r="AN59" t="n">
        <v>5267</v>
      </c>
      <c r="AO59" t="n">
        <v>95510</v>
      </c>
      <c r="AP59" s="88">
        <f>IF(OR(AN59&lt;=0,AO59&lt;=0),"",LN(AN59)-LN(AO59))</f>
        <v/>
      </c>
      <c r="AQ59" t="n">
        <v>5343</v>
      </c>
      <c r="AR59" t="n">
        <v>98685</v>
      </c>
      <c r="AS59" s="88">
        <f>IF(OR(AQ59&lt;=0,AR59&lt;=0),"",LN(AQ59)-LN(AR59))</f>
        <v/>
      </c>
      <c r="AT59" t="n">
        <v>5848</v>
      </c>
      <c r="AU59" t="n">
        <v>97777</v>
      </c>
      <c r="AV59" t="n">
        <v>565</v>
      </c>
      <c r="AW59" t="n">
        <v>521</v>
      </c>
      <c r="AX59" t="n">
        <v>4947</v>
      </c>
      <c r="AY59" s="88">
        <f>IF(OR(AT59&lt;=0,AU59&lt;=0),"",LN(AT59)-LN(AU59))</f>
        <v/>
      </c>
      <c r="AZ59" s="46" t="n">
        <v>5.5</v>
      </c>
      <c r="BA59" s="46" t="n">
        <v>13.06</v>
      </c>
      <c r="BB59" s="47" t="n">
        <v>7.5</v>
      </c>
    </row>
    <row r="60">
      <c r="A60" s="48" t="n">
        <v>45350</v>
      </c>
      <c r="B60" s="49" t="n">
        <v>108932</v>
      </c>
      <c r="C60" s="50" t="n">
        <v>16.72</v>
      </c>
      <c r="D60" s="51" t="inlineStr">
        <is>
          <t>Moderate</t>
        </is>
      </c>
      <c r="E60" s="52" t="n">
        <v>6.4</v>
      </c>
      <c r="F60" s="52" t="n"/>
      <c r="G60" s="51" t="inlineStr">
        <is>
          <t>Wed</t>
        </is>
      </c>
      <c r="H60" s="51" t="inlineStr">
        <is>
          <t>Weekday</t>
        </is>
      </c>
      <c r="I60" s="51" t="inlineStr">
        <is>
          <t>Winter</t>
        </is>
      </c>
      <c r="J60" s="51" t="n">
        <v>25</v>
      </c>
      <c r="K60" s="51" t="inlineStr">
        <is>
          <t>강수량 공란</t>
        </is>
      </c>
      <c r="L60" s="46" t="n">
        <v>32</v>
      </c>
      <c r="M60" t="inlineStr">
        <is>
          <t>Moderate</t>
        </is>
      </c>
      <c r="N60" s="87" t="n">
        <v>25</v>
      </c>
      <c r="O60" s="87" t="n">
        <v>0</v>
      </c>
      <c r="P60" s="87" t="n">
        <v>0</v>
      </c>
      <c r="Q60" s="87" t="n">
        <v>0</v>
      </c>
      <c r="R60" s="87" t="n">
        <v>0</v>
      </c>
      <c r="S60" s="47" t="n">
        <v>2.1</v>
      </c>
      <c r="T60" s="47" t="n">
        <v>59.5</v>
      </c>
      <c r="U60" s="47" t="n"/>
      <c r="V60" s="87" t="n">
        <v>0</v>
      </c>
      <c r="W60" s="87" t="n">
        <v>0</v>
      </c>
      <c r="Y60" t="inlineStr">
        <is>
          <t>Feb</t>
        </is>
      </c>
      <c r="Z60" s="87" t="n">
        <v>2024</v>
      </c>
      <c r="AA60" s="47">
        <f>IF(F60="",0,F60)</f>
        <v/>
      </c>
      <c r="AB60" s="87">
        <f>IF(AA60&gt;=0.1,1,0)</f>
        <v/>
      </c>
      <c r="AC60" s="87" t="n">
        <v>0</v>
      </c>
      <c r="AD60" s="47">
        <f>IF(U60="",0,U60)</f>
        <v/>
      </c>
      <c r="AE60" s="87">
        <f>IF(OR(V60=1,W60=1),1,0)</f>
        <v/>
      </c>
      <c r="AF60" s="87" t="n">
        <v>0</v>
      </c>
      <c r="AG60" t="n">
        <v>5662</v>
      </c>
      <c r="AH60" t="n">
        <v>103269</v>
      </c>
      <c r="AI60" t="n">
        <v>1</v>
      </c>
      <c r="AJ60" s="88">
        <f>IF(OR(AG60&lt;=0,AH60&lt;=0),"",LN(AG60)-LN(AH60))</f>
        <v/>
      </c>
      <c r="AK60" t="n">
        <v>15591</v>
      </c>
      <c r="AL60" t="n">
        <v>93340</v>
      </c>
      <c r="AM60" s="88">
        <f>IF(OR(AK60&lt;=0,AL60&lt;=0),"",LN(AK60)-LN(AL60))</f>
        <v/>
      </c>
      <c r="AN60" t="n">
        <v>5427</v>
      </c>
      <c r="AO60" t="n">
        <v>99918</v>
      </c>
      <c r="AP60" s="88">
        <f>IF(OR(AN60&lt;=0,AO60&lt;=0),"",LN(AN60)-LN(AO60))</f>
        <v/>
      </c>
      <c r="AQ60" t="n">
        <v>5516</v>
      </c>
      <c r="AR60" t="n">
        <v>103269</v>
      </c>
      <c r="AS60" s="88">
        <f>IF(OR(AQ60&lt;=0,AR60&lt;=0),"",LN(AQ60)-LN(AR60))</f>
        <v/>
      </c>
      <c r="AT60" t="n">
        <v>6150</v>
      </c>
      <c r="AU60" t="n">
        <v>102212</v>
      </c>
      <c r="AV60" t="n">
        <v>575</v>
      </c>
      <c r="AW60" t="n">
        <v>564</v>
      </c>
      <c r="AX60" t="n">
        <v>5064</v>
      </c>
      <c r="AY60" s="88">
        <f>IF(OR(AT60&lt;=0,AU60&lt;=0),"",LN(AT60)-LN(AU60))</f>
        <v/>
      </c>
      <c r="AZ60" s="46" t="n">
        <v>1.7</v>
      </c>
      <c r="BA60" s="46" t="n">
        <v>10.2</v>
      </c>
      <c r="BB60" s="47" t="n">
        <v>8.5</v>
      </c>
    </row>
    <row r="61">
      <c r="A61" s="48" t="n">
        <v>45351</v>
      </c>
      <c r="B61" s="49" t="n">
        <v>102009</v>
      </c>
      <c r="C61" s="50" t="n">
        <v>35.12</v>
      </c>
      <c r="D61" s="51" t="inlineStr">
        <is>
          <t>Bad</t>
        </is>
      </c>
      <c r="E61" s="52" t="n">
        <v>4.8</v>
      </c>
      <c r="F61" s="52" t="n"/>
      <c r="G61" s="51" t="inlineStr">
        <is>
          <t>Thu</t>
        </is>
      </c>
      <c r="H61" s="51" t="inlineStr">
        <is>
          <t>Weekday</t>
        </is>
      </c>
      <c r="I61" s="51" t="inlineStr">
        <is>
          <t>Winter</t>
        </is>
      </c>
      <c r="J61" s="51" t="n">
        <v>25</v>
      </c>
      <c r="K61" s="51" t="inlineStr">
        <is>
          <t>강수량 공란</t>
        </is>
      </c>
      <c r="L61" s="46" t="n">
        <v>55.28</v>
      </c>
      <c r="M61" t="inlineStr">
        <is>
          <t>Moderate</t>
        </is>
      </c>
      <c r="N61" s="87" t="n">
        <v>25</v>
      </c>
      <c r="O61" s="87" t="n">
        <v>0</v>
      </c>
      <c r="P61" s="87" t="n">
        <v>0</v>
      </c>
      <c r="Q61" s="87" t="n">
        <v>0</v>
      </c>
      <c r="R61" s="87" t="n">
        <v>0</v>
      </c>
      <c r="S61" s="47" t="n">
        <v>2.2</v>
      </c>
      <c r="T61" s="47" t="n">
        <v>63.6</v>
      </c>
      <c r="U61" s="47" t="n"/>
      <c r="V61" s="87" t="n">
        <v>0</v>
      </c>
      <c r="W61" s="87" t="n">
        <v>0</v>
      </c>
      <c r="Y61" t="inlineStr">
        <is>
          <t>Feb</t>
        </is>
      </c>
      <c r="Z61" s="87" t="n">
        <v>2024</v>
      </c>
      <c r="AA61" s="47">
        <f>IF(F61="",0,F61)</f>
        <v/>
      </c>
      <c r="AB61" s="87">
        <f>IF(AA61&gt;=0.1,1,0)</f>
        <v/>
      </c>
      <c r="AC61" s="87" t="n">
        <v>0</v>
      </c>
      <c r="AD61" s="47">
        <f>IF(U61="",0,U61)</f>
        <v/>
      </c>
      <c r="AE61" s="87">
        <f>IF(OR(V61=1,W61=1),1,0)</f>
        <v/>
      </c>
      <c r="AF61" s="87" t="n">
        <v>0</v>
      </c>
      <c r="AG61" t="n">
        <v>5048</v>
      </c>
      <c r="AH61" t="n">
        <v>96961</v>
      </c>
      <c r="AI61" t="n">
        <v>0</v>
      </c>
      <c r="AJ61" s="88">
        <f>IF(OR(AG61&lt;=0,AH61&lt;=0),"",LN(AG61)-LN(AH61))</f>
        <v/>
      </c>
      <c r="AK61" t="n">
        <v>14450</v>
      </c>
      <c r="AL61" t="n">
        <v>87559</v>
      </c>
      <c r="AM61" s="88">
        <f>IF(OR(AK61&lt;=0,AL61&lt;=0),"",LN(AK61)-LN(AL61))</f>
        <v/>
      </c>
      <c r="AN61" t="n">
        <v>4854</v>
      </c>
      <c r="AO61" t="n">
        <v>93723</v>
      </c>
      <c r="AP61" s="88">
        <f>IF(OR(AN61&lt;=0,AO61&lt;=0),"",LN(AN61)-LN(AO61))</f>
        <v/>
      </c>
      <c r="AQ61" t="n">
        <v>4911</v>
      </c>
      <c r="AR61" t="n">
        <v>96961</v>
      </c>
      <c r="AS61" s="88">
        <f>IF(OR(AQ61&lt;=0,AR61&lt;=0),"",LN(AQ61)-LN(AR61))</f>
        <v/>
      </c>
      <c r="AT61" t="n">
        <v>6078</v>
      </c>
      <c r="AU61" t="n">
        <v>95388</v>
      </c>
      <c r="AV61" t="n">
        <v>547</v>
      </c>
      <c r="AW61" t="n">
        <v>442</v>
      </c>
      <c r="AX61" t="n">
        <v>4565</v>
      </c>
      <c r="AY61" s="88">
        <f>IF(OR(AT61&lt;=0,AU61&lt;=0),"",LN(AT61)-LN(AU61))</f>
        <v/>
      </c>
      <c r="AZ61" s="46" t="n">
        <v>1.2</v>
      </c>
      <c r="BA61" s="46" t="n">
        <v>7.01</v>
      </c>
      <c r="BB61" s="47" t="n">
        <v>6.8</v>
      </c>
    </row>
    <row r="62">
      <c r="A62" s="48" t="n">
        <v>45352</v>
      </c>
      <c r="B62" s="49" t="n">
        <v>45201</v>
      </c>
      <c r="C62" s="50" t="n">
        <v>11.12</v>
      </c>
      <c r="D62" s="51" t="inlineStr">
        <is>
          <t>Good</t>
        </is>
      </c>
      <c r="E62" s="52" t="n">
        <v>-4.1</v>
      </c>
      <c r="F62" s="52" t="n"/>
      <c r="G62" s="51" t="inlineStr">
        <is>
          <t>Fri</t>
        </is>
      </c>
      <c r="H62" s="51" t="inlineStr">
        <is>
          <t>Weekday</t>
        </is>
      </c>
      <c r="I62" s="51" t="inlineStr">
        <is>
          <t>Spring</t>
        </is>
      </c>
      <c r="J62" s="51" t="n">
        <v>25</v>
      </c>
      <c r="K62" s="51" t="inlineStr">
        <is>
          <t>강수량 공란</t>
        </is>
      </c>
      <c r="L62" s="46" t="n">
        <v>36.24</v>
      </c>
      <c r="M62" t="inlineStr">
        <is>
          <t>Moderate</t>
        </is>
      </c>
      <c r="N62" s="87" t="n">
        <v>25</v>
      </c>
      <c r="O62" s="87" t="n">
        <v>0</v>
      </c>
      <c r="P62" s="87" t="n">
        <v>0</v>
      </c>
      <c r="Q62" s="87" t="n">
        <v>0</v>
      </c>
      <c r="R62" s="87" t="n">
        <v>0</v>
      </c>
      <c r="S62" s="47" t="n">
        <v>4.4</v>
      </c>
      <c r="T62" s="47" t="n">
        <v>38.9</v>
      </c>
      <c r="U62" s="47" t="n"/>
      <c r="V62" s="87" t="n">
        <v>0</v>
      </c>
      <c r="W62" s="87" t="n">
        <v>1</v>
      </c>
      <c r="X62" t="inlineStr">
        <is>
          <t>삼일절</t>
        </is>
      </c>
      <c r="Y62" t="inlineStr">
        <is>
          <t>Mar</t>
        </is>
      </c>
      <c r="Z62" s="87" t="n">
        <v>2024</v>
      </c>
      <c r="AA62" s="47">
        <f>IF(F62="",0,F62)</f>
        <v/>
      </c>
      <c r="AB62" s="87">
        <f>IF(AA62&gt;=0.1,1,0)</f>
        <v/>
      </c>
      <c r="AC62" s="87" t="n">
        <v>0</v>
      </c>
      <c r="AD62" s="47">
        <f>IF(U62="",0,U62)</f>
        <v/>
      </c>
      <c r="AE62" s="87">
        <f>IF(OR(V62=1,W62=1),1,0)</f>
        <v/>
      </c>
      <c r="AF62" s="87" t="n">
        <v>0</v>
      </c>
      <c r="AG62" t="n">
        <v>2317</v>
      </c>
      <c r="AH62" t="n">
        <v>42884</v>
      </c>
      <c r="AI62" t="n">
        <v>0</v>
      </c>
      <c r="AJ62" s="88">
        <f>IF(OR(AG62&lt;=0,AH62&lt;=0),"",LN(AG62)-LN(AH62))</f>
        <v/>
      </c>
      <c r="AK62" t="n">
        <v>6066</v>
      </c>
      <c r="AL62" t="n">
        <v>39135</v>
      </c>
      <c r="AM62" s="88">
        <f>IF(OR(AK62&lt;=0,AL62&lt;=0),"",LN(AK62)-LN(AL62))</f>
        <v/>
      </c>
      <c r="AN62" t="n">
        <v>2221</v>
      </c>
      <c r="AO62" t="n">
        <v>41377</v>
      </c>
      <c r="AP62" s="88">
        <f>IF(OR(AN62&lt;=0,AO62&lt;=0),"",LN(AN62)-LN(AO62))</f>
        <v/>
      </c>
      <c r="AQ62" t="n">
        <v>2259</v>
      </c>
      <c r="AR62" t="n">
        <v>42884</v>
      </c>
      <c r="AS62" s="88">
        <f>IF(OR(AQ62&lt;=0,AR62&lt;=0),"",LN(AQ62)-LN(AR62))</f>
        <v/>
      </c>
      <c r="AT62" t="n">
        <v>3318</v>
      </c>
      <c r="AU62" t="n">
        <v>41605</v>
      </c>
      <c r="AV62" t="n">
        <v>281</v>
      </c>
      <c r="AW62" t="n">
        <v>282</v>
      </c>
      <c r="AX62" t="n">
        <v>2019</v>
      </c>
      <c r="AY62" s="88">
        <f>IF(OR(AT62&lt;=0,AU62&lt;=0),"",LN(AT62)-LN(AU62))</f>
        <v/>
      </c>
      <c r="AZ62" s="46" t="n">
        <v>10.6</v>
      </c>
      <c r="BA62" s="46" t="n">
        <v>20.33</v>
      </c>
      <c r="BB62" s="47" t="n">
        <v>0</v>
      </c>
    </row>
    <row r="63">
      <c r="A63" s="48" t="n">
        <v>45353</v>
      </c>
      <c r="B63" s="49" t="n">
        <v>54612</v>
      </c>
      <c r="C63" s="50" t="n">
        <v>13.76</v>
      </c>
      <c r="D63" s="51" t="inlineStr">
        <is>
          <t>Good</t>
        </is>
      </c>
      <c r="E63" s="52" t="n">
        <v>-0.5</v>
      </c>
      <c r="F63" s="52" t="n">
        <v>0</v>
      </c>
      <c r="G63" s="51" t="inlineStr">
        <is>
          <t>Sat</t>
        </is>
      </c>
      <c r="H63" s="51" t="inlineStr">
        <is>
          <t>Weekend</t>
        </is>
      </c>
      <c r="I63" s="51" t="inlineStr">
        <is>
          <t>Spring</t>
        </is>
      </c>
      <c r="J63" s="51" t="n">
        <v>25</v>
      </c>
      <c r="K63" s="51" t="inlineStr">
        <is>
          <t>OK</t>
        </is>
      </c>
      <c r="L63" s="46" t="n">
        <v>34.28</v>
      </c>
      <c r="M63" t="inlineStr">
        <is>
          <t>Moderate</t>
        </is>
      </c>
      <c r="N63" s="87" t="n">
        <v>25</v>
      </c>
      <c r="O63" s="87" t="n">
        <v>0</v>
      </c>
      <c r="P63" s="87" t="n">
        <v>0</v>
      </c>
      <c r="Q63" s="87" t="n">
        <v>0</v>
      </c>
      <c r="R63" s="87" t="n">
        <v>0</v>
      </c>
      <c r="S63" s="47" t="n">
        <v>3.2</v>
      </c>
      <c r="T63" s="47" t="n">
        <v>60.4</v>
      </c>
      <c r="U63" s="47" t="n"/>
      <c r="V63" s="87" t="n">
        <v>1</v>
      </c>
      <c r="W63" s="87" t="n">
        <v>0</v>
      </c>
      <c r="Y63" t="inlineStr">
        <is>
          <t>Mar</t>
        </is>
      </c>
      <c r="Z63" s="87" t="n">
        <v>2024</v>
      </c>
      <c r="AA63" s="47">
        <f>IF(F63="",0,F63)</f>
        <v/>
      </c>
      <c r="AB63" s="87">
        <f>IF(AA63&gt;=0.1,1,0)</f>
        <v/>
      </c>
      <c r="AC63" s="87" t="n">
        <v>1</v>
      </c>
      <c r="AD63" s="47">
        <f>IF(U63="",0,U63)</f>
        <v/>
      </c>
      <c r="AE63" s="87">
        <f>IF(OR(V63=1,W63=1),1,0)</f>
        <v/>
      </c>
      <c r="AF63" s="87" t="n">
        <v>0</v>
      </c>
      <c r="AG63" t="n">
        <v>2727</v>
      </c>
      <c r="AH63" t="n">
        <v>51885</v>
      </c>
      <c r="AI63" t="n">
        <v>0</v>
      </c>
      <c r="AJ63" s="88">
        <f>IF(OR(AG63&lt;=0,AH63&lt;=0),"",LN(AG63)-LN(AH63))</f>
        <v/>
      </c>
      <c r="AK63" t="n">
        <v>7558</v>
      </c>
      <c r="AL63" t="n">
        <v>47054</v>
      </c>
      <c r="AM63" s="88">
        <f>IF(OR(AK63&lt;=0,AL63&lt;=0),"",LN(AK63)-LN(AL63))</f>
        <v/>
      </c>
      <c r="AN63" t="n">
        <v>2586</v>
      </c>
      <c r="AO63" t="n">
        <v>50148</v>
      </c>
      <c r="AP63" s="88">
        <f>IF(OR(AN63&lt;=0,AO63&lt;=0),"",LN(AN63)-LN(AO63))</f>
        <v/>
      </c>
      <c r="AQ63" t="n">
        <v>2650</v>
      </c>
      <c r="AR63" t="n">
        <v>51885</v>
      </c>
      <c r="AS63" s="88">
        <f>IF(OR(AQ63&lt;=0,AR63&lt;=0),"",LN(AQ63)-LN(AR63))</f>
        <v/>
      </c>
      <c r="AT63" t="n">
        <v>3931</v>
      </c>
      <c r="AU63" t="n">
        <v>50396</v>
      </c>
      <c r="AV63" t="n">
        <v>288</v>
      </c>
      <c r="AW63" t="n">
        <v>284</v>
      </c>
      <c r="AX63" t="n">
        <v>2426</v>
      </c>
      <c r="AY63" s="88">
        <f>IF(OR(AT63&lt;=0,AU63&lt;=0),"",LN(AT63)-LN(AU63))</f>
        <v/>
      </c>
      <c r="AZ63" s="46" t="n">
        <v>5.8</v>
      </c>
      <c r="BA63" s="46" t="n">
        <v>13.21</v>
      </c>
      <c r="BB63" s="47" t="n">
        <v>4.5</v>
      </c>
    </row>
    <row r="64">
      <c r="A64" s="48" t="n">
        <v>45354</v>
      </c>
      <c r="B64" s="49" t="n">
        <v>65370</v>
      </c>
      <c r="C64" s="50" t="n">
        <v>64</v>
      </c>
      <c r="D64" s="51" t="inlineStr">
        <is>
          <t>Bad</t>
        </is>
      </c>
      <c r="E64" s="52" t="n">
        <v>4</v>
      </c>
      <c r="F64" s="52" t="n"/>
      <c r="G64" s="51" t="inlineStr">
        <is>
          <t>Sun</t>
        </is>
      </c>
      <c r="H64" s="51" t="inlineStr">
        <is>
          <t>Weekend</t>
        </is>
      </c>
      <c r="I64" s="51" t="inlineStr">
        <is>
          <t>Spring</t>
        </is>
      </c>
      <c r="J64" s="51" t="n">
        <v>25</v>
      </c>
      <c r="K64" s="51" t="inlineStr">
        <is>
          <t>강수량 공란</t>
        </is>
      </c>
      <c r="L64" s="46" t="n">
        <v>112.48</v>
      </c>
      <c r="M64" t="inlineStr">
        <is>
          <t>Bad</t>
        </is>
      </c>
      <c r="N64" s="87" t="n">
        <v>25</v>
      </c>
      <c r="O64" s="87" t="n">
        <v>0</v>
      </c>
      <c r="P64" s="87" t="n">
        <v>0</v>
      </c>
      <c r="Q64" s="87" t="n">
        <v>0</v>
      </c>
      <c r="R64" s="87" t="n">
        <v>0</v>
      </c>
      <c r="S64" s="47" t="n">
        <v>2.9</v>
      </c>
      <c r="T64" s="47" t="n">
        <v>71.5</v>
      </c>
      <c r="U64" s="47" t="n"/>
      <c r="V64" s="87" t="n">
        <v>1</v>
      </c>
      <c r="W64" s="87" t="n">
        <v>0</v>
      </c>
      <c r="Y64" t="inlineStr">
        <is>
          <t>Mar</t>
        </is>
      </c>
      <c r="Z64" s="87" t="n">
        <v>2024</v>
      </c>
      <c r="AA64" s="47">
        <f>IF(F64="",0,F64)</f>
        <v/>
      </c>
      <c r="AB64" s="87">
        <f>IF(AA64&gt;=0.1,1,0)</f>
        <v/>
      </c>
      <c r="AC64" s="87" t="n">
        <v>0</v>
      </c>
      <c r="AD64" s="47">
        <f>IF(U64="",0,U64)</f>
        <v/>
      </c>
      <c r="AE64" s="87">
        <f>IF(OR(V64=1,W64=1),1,0)</f>
        <v/>
      </c>
      <c r="AF64" s="87" t="n">
        <v>0</v>
      </c>
      <c r="AG64" t="n">
        <v>4200</v>
      </c>
      <c r="AH64" t="n">
        <v>61170</v>
      </c>
      <c r="AI64" t="n">
        <v>0</v>
      </c>
      <c r="AJ64" s="88">
        <f>IF(OR(AG64&lt;=0,AH64&lt;=0),"",LN(AG64)-LN(AH64))</f>
        <v/>
      </c>
      <c r="AK64" t="n">
        <v>10057</v>
      </c>
      <c r="AL64" t="n">
        <v>55313</v>
      </c>
      <c r="AM64" s="88">
        <f>IF(OR(AK64&lt;=0,AL64&lt;=0),"",LN(AK64)-LN(AL64))</f>
        <v/>
      </c>
      <c r="AN64" t="n">
        <v>3961</v>
      </c>
      <c r="AO64" t="n">
        <v>59337</v>
      </c>
      <c r="AP64" s="88">
        <f>IF(OR(AN64&lt;=0,AO64&lt;=0),"",LN(AN64)-LN(AO64))</f>
        <v/>
      </c>
      <c r="AQ64" t="n">
        <v>4079</v>
      </c>
      <c r="AR64" t="n">
        <v>61170</v>
      </c>
      <c r="AS64" s="88">
        <f>IF(OR(AQ64&lt;=0,AR64&lt;=0),"",LN(AQ64)-LN(AR64))</f>
        <v/>
      </c>
      <c r="AT64" t="n">
        <v>5379</v>
      </c>
      <c r="AU64" t="n">
        <v>59662</v>
      </c>
      <c r="AV64" t="n">
        <v>332</v>
      </c>
      <c r="AW64" t="n">
        <v>601</v>
      </c>
      <c r="AX64" t="n">
        <v>3572</v>
      </c>
      <c r="AY64" s="88">
        <f>IF(OR(AT64&lt;=0,AU64&lt;=0),"",LN(AT64)-LN(AU64))</f>
        <v/>
      </c>
      <c r="AZ64" s="46" t="n">
        <v>6.6</v>
      </c>
      <c r="BA64" s="46" t="n">
        <v>13.52</v>
      </c>
      <c r="BB64" s="47" t="n">
        <v>2.3</v>
      </c>
    </row>
    <row r="65">
      <c r="A65" s="48" t="n">
        <v>45355</v>
      </c>
      <c r="B65" s="49" t="n">
        <v>108117</v>
      </c>
      <c r="C65" s="50" t="n">
        <v>37.04</v>
      </c>
      <c r="D65" s="51" t="inlineStr">
        <is>
          <t>Bad</t>
        </is>
      </c>
      <c r="E65" s="52" t="n">
        <v>5.4</v>
      </c>
      <c r="F65" s="52" t="n"/>
      <c r="G65" s="51" t="inlineStr">
        <is>
          <t>Mon</t>
        </is>
      </c>
      <c r="H65" s="51" t="inlineStr">
        <is>
          <t>Weekday</t>
        </is>
      </c>
      <c r="I65" s="51" t="inlineStr">
        <is>
          <t>Spring</t>
        </is>
      </c>
      <c r="J65" s="51" t="n">
        <v>25</v>
      </c>
      <c r="K65" s="51" t="inlineStr">
        <is>
          <t>강수량 공란</t>
        </is>
      </c>
      <c r="L65" s="46" t="n">
        <v>70.2</v>
      </c>
      <c r="M65" t="inlineStr">
        <is>
          <t>Moderate</t>
        </is>
      </c>
      <c r="N65" s="87" t="n">
        <v>25</v>
      </c>
      <c r="O65" s="87" t="n">
        <v>0</v>
      </c>
      <c r="P65" s="87" t="n">
        <v>0</v>
      </c>
      <c r="Q65" s="87" t="n">
        <v>0</v>
      </c>
      <c r="R65" s="87" t="n">
        <v>0</v>
      </c>
      <c r="S65" s="47" t="n">
        <v>1.6</v>
      </c>
      <c r="T65" s="47" t="n">
        <v>45.5</v>
      </c>
      <c r="U65" s="47" t="n"/>
      <c r="V65" s="87" t="n">
        <v>0</v>
      </c>
      <c r="W65" s="87" t="n">
        <v>0</v>
      </c>
      <c r="Y65" t="inlineStr">
        <is>
          <t>Mar</t>
        </is>
      </c>
      <c r="Z65" s="87" t="n">
        <v>2024</v>
      </c>
      <c r="AA65" s="47">
        <f>IF(F65="",0,F65)</f>
        <v/>
      </c>
      <c r="AB65" s="87">
        <f>IF(AA65&gt;=0.1,1,0)</f>
        <v/>
      </c>
      <c r="AC65" s="87" t="n">
        <v>0</v>
      </c>
      <c r="AD65" s="47">
        <f>IF(U65="",0,U65)</f>
        <v/>
      </c>
      <c r="AE65" s="87">
        <f>IF(OR(V65=1,W65=1),1,0)</f>
        <v/>
      </c>
      <c r="AF65" s="87" t="n">
        <v>0</v>
      </c>
      <c r="AG65" t="n">
        <v>5538</v>
      </c>
      <c r="AH65" t="n">
        <v>102579</v>
      </c>
      <c r="AI65" t="n">
        <v>0</v>
      </c>
      <c r="AJ65" s="88">
        <f>IF(OR(AG65&lt;=0,AH65&lt;=0),"",LN(AG65)-LN(AH65))</f>
        <v/>
      </c>
      <c r="AK65" t="n">
        <v>15602</v>
      </c>
      <c r="AL65" t="n">
        <v>92515</v>
      </c>
      <c r="AM65" s="88">
        <f>IF(OR(AK65&lt;=0,AL65&lt;=0),"",LN(AK65)-LN(AL65))</f>
        <v/>
      </c>
      <c r="AN65" t="n">
        <v>5294</v>
      </c>
      <c r="AO65" t="n">
        <v>99212</v>
      </c>
      <c r="AP65" s="88">
        <f>IF(OR(AN65&lt;=0,AO65&lt;=0),"",LN(AN65)-LN(AO65))</f>
        <v/>
      </c>
      <c r="AQ65" t="n">
        <v>5405</v>
      </c>
      <c r="AR65" t="n">
        <v>102579</v>
      </c>
      <c r="AS65" s="88">
        <f>IF(OR(AQ65&lt;=0,AR65&lt;=0),"",LN(AQ65)-LN(AR65))</f>
        <v/>
      </c>
      <c r="AT65" t="n">
        <v>6117</v>
      </c>
      <c r="AU65" t="n">
        <v>101448</v>
      </c>
      <c r="AV65" t="n">
        <v>555</v>
      </c>
      <c r="AW65" t="n">
        <v>510</v>
      </c>
      <c r="AX65" t="n">
        <v>4992</v>
      </c>
      <c r="AY65" s="88">
        <f>IF(OR(AT65&lt;=0,AU65&lt;=0),"",LN(AT65)-LN(AU65))</f>
        <v/>
      </c>
      <c r="AZ65" s="46" t="n">
        <v>9.5</v>
      </c>
      <c r="BA65" s="46" t="n">
        <v>17.79</v>
      </c>
      <c r="BB65" s="47" t="n">
        <v>4.5</v>
      </c>
    </row>
    <row r="66">
      <c r="A66" s="48" t="n">
        <v>45356</v>
      </c>
      <c r="B66" s="49" t="n">
        <v>110776</v>
      </c>
      <c r="C66" s="50" t="n">
        <v>22.24</v>
      </c>
      <c r="D66" s="51" t="inlineStr">
        <is>
          <t>Moderate</t>
        </is>
      </c>
      <c r="E66" s="52" t="n">
        <v>8</v>
      </c>
      <c r="F66" s="52" t="n"/>
      <c r="G66" s="51" t="inlineStr">
        <is>
          <t>Tue</t>
        </is>
      </c>
      <c r="H66" s="51" t="inlineStr">
        <is>
          <t>Weekday</t>
        </is>
      </c>
      <c r="I66" s="51" t="inlineStr">
        <is>
          <t>Spring</t>
        </is>
      </c>
      <c r="J66" s="51" t="n">
        <v>25</v>
      </c>
      <c r="K66" s="51" t="inlineStr">
        <is>
          <t>강수량 공란</t>
        </is>
      </c>
      <c r="L66" s="46" t="n">
        <v>43.92</v>
      </c>
      <c r="M66" t="inlineStr">
        <is>
          <t>Moderate</t>
        </is>
      </c>
      <c r="N66" s="87" t="n">
        <v>25</v>
      </c>
      <c r="O66" s="87" t="n">
        <v>0</v>
      </c>
      <c r="P66" s="87" t="n">
        <v>0</v>
      </c>
      <c r="Q66" s="87" t="n">
        <v>0</v>
      </c>
      <c r="R66" s="87" t="n">
        <v>0</v>
      </c>
      <c r="S66" s="47" t="n">
        <v>2.9</v>
      </c>
      <c r="T66" s="47" t="n">
        <v>45.1</v>
      </c>
      <c r="U66" s="47" t="n"/>
      <c r="V66" s="87" t="n">
        <v>0</v>
      </c>
      <c r="W66" s="87" t="n">
        <v>0</v>
      </c>
      <c r="Y66" t="inlineStr">
        <is>
          <t>Mar</t>
        </is>
      </c>
      <c r="Z66" s="87" t="n">
        <v>2024</v>
      </c>
      <c r="AA66" s="47">
        <f>IF(F66="",0,F66)</f>
        <v/>
      </c>
      <c r="AB66" s="87">
        <f>IF(AA66&gt;=0.1,1,0)</f>
        <v/>
      </c>
      <c r="AC66" s="87" t="n">
        <v>0</v>
      </c>
      <c r="AD66" s="47">
        <f>IF(U66="",0,U66)</f>
        <v/>
      </c>
      <c r="AE66" s="87">
        <f>IF(OR(V66=1,W66=1),1,0)</f>
        <v/>
      </c>
      <c r="AF66" s="87" t="n">
        <v>0</v>
      </c>
      <c r="AG66" t="n">
        <v>5327</v>
      </c>
      <c r="AH66" t="n">
        <v>105449</v>
      </c>
      <c r="AI66" t="n">
        <v>0</v>
      </c>
      <c r="AJ66" s="88">
        <f>IF(OR(AG66&lt;=0,AH66&lt;=0),"",LN(AG66)-LN(AH66))</f>
        <v/>
      </c>
      <c r="AK66" t="n">
        <v>15483</v>
      </c>
      <c r="AL66" t="n">
        <v>95293</v>
      </c>
      <c r="AM66" s="88">
        <f>IF(OR(AK66&lt;=0,AL66&lt;=0),"",LN(AK66)-LN(AL66))</f>
        <v/>
      </c>
      <c r="AN66" t="n">
        <v>5174</v>
      </c>
      <c r="AO66" t="n">
        <v>101990</v>
      </c>
      <c r="AP66" s="88">
        <f>IF(OR(AN66&lt;=0,AO66&lt;=0),"",LN(AN66)-LN(AO66))</f>
        <v/>
      </c>
      <c r="AQ66" t="n">
        <v>5219</v>
      </c>
      <c r="AR66" t="n">
        <v>105449</v>
      </c>
      <c r="AS66" s="88">
        <f>IF(OR(AQ66&lt;=0,AR66&lt;=0),"",LN(AQ66)-LN(AR66))</f>
        <v/>
      </c>
      <c r="AT66" t="n">
        <v>5792</v>
      </c>
      <c r="AU66" t="n">
        <v>104316</v>
      </c>
      <c r="AV66" t="n">
        <v>673</v>
      </c>
      <c r="AW66" t="n">
        <v>417</v>
      </c>
      <c r="AX66" t="n">
        <v>4873</v>
      </c>
      <c r="AY66" s="88">
        <f>IF(OR(AT66&lt;=0,AU66&lt;=0),"",LN(AT66)-LN(AU66))</f>
        <v/>
      </c>
      <c r="AZ66" s="46" t="n">
        <v>0.1</v>
      </c>
      <c r="BA66" s="46" t="n">
        <v>6.29</v>
      </c>
      <c r="BB66" s="47" t="n">
        <v>8.800000000000001</v>
      </c>
    </row>
    <row r="67">
      <c r="A67" s="48" t="n">
        <v>45357</v>
      </c>
      <c r="B67" s="49" t="n">
        <v>116835</v>
      </c>
      <c r="C67" s="50" t="n">
        <v>7.2</v>
      </c>
      <c r="D67" s="51" t="inlineStr">
        <is>
          <t>Good</t>
        </is>
      </c>
      <c r="E67" s="52" t="n">
        <v>6.2</v>
      </c>
      <c r="F67" s="52" t="n"/>
      <c r="G67" s="51" t="inlineStr">
        <is>
          <t>Wed</t>
        </is>
      </c>
      <c r="H67" s="51" t="inlineStr">
        <is>
          <t>Weekday</t>
        </is>
      </c>
      <c r="I67" s="51" t="inlineStr">
        <is>
          <t>Spring</t>
        </is>
      </c>
      <c r="J67" s="51" t="n">
        <v>25</v>
      </c>
      <c r="K67" s="51" t="inlineStr">
        <is>
          <t>강수량 공란</t>
        </is>
      </c>
      <c r="L67" s="46" t="n">
        <v>14.2</v>
      </c>
      <c r="M67" t="inlineStr">
        <is>
          <t>Good</t>
        </is>
      </c>
      <c r="N67" s="87" t="n">
        <v>25</v>
      </c>
      <c r="O67" s="87" t="n">
        <v>0</v>
      </c>
      <c r="P67" s="87" t="n">
        <v>0</v>
      </c>
      <c r="Q67" s="87" t="n">
        <v>0</v>
      </c>
      <c r="R67" s="87" t="n">
        <v>0</v>
      </c>
      <c r="S67" s="47" t="n">
        <v>2.8</v>
      </c>
      <c r="T67" s="47" t="n">
        <v>58.8</v>
      </c>
      <c r="U67" s="47" t="n"/>
      <c r="V67" s="87" t="n">
        <v>0</v>
      </c>
      <c r="W67" s="87" t="n">
        <v>0</v>
      </c>
      <c r="Y67" t="inlineStr">
        <is>
          <t>Mar</t>
        </is>
      </c>
      <c r="Z67" s="87" t="n">
        <v>2024</v>
      </c>
      <c r="AA67" s="47">
        <f>IF(F67="",0,F67)</f>
        <v/>
      </c>
      <c r="AB67" s="87">
        <f>IF(AA67&gt;=0.1,1,0)</f>
        <v/>
      </c>
      <c r="AC67" s="87" t="n">
        <v>0</v>
      </c>
      <c r="AD67" s="47">
        <f>IF(U67="",0,U67)</f>
        <v/>
      </c>
      <c r="AE67" s="87">
        <f>IF(OR(V67=1,W67=1),1,0)</f>
        <v/>
      </c>
      <c r="AF67" s="87" t="n">
        <v>0</v>
      </c>
      <c r="AG67" t="n">
        <v>5812</v>
      </c>
      <c r="AH67" t="n">
        <v>111018</v>
      </c>
      <c r="AI67" t="n">
        <v>5</v>
      </c>
      <c r="AJ67" s="88">
        <f>IF(OR(AG67&lt;=0,AH67&lt;=0),"",LN(AG67)-LN(AH67))</f>
        <v/>
      </c>
      <c r="AK67" t="n">
        <v>16395</v>
      </c>
      <c r="AL67" t="n">
        <v>100435</v>
      </c>
      <c r="AM67" s="88">
        <f>IF(OR(AK67&lt;=0,AL67&lt;=0),"",LN(AK67)-LN(AL67))</f>
        <v/>
      </c>
      <c r="AN67" t="n">
        <v>5623</v>
      </c>
      <c r="AO67" t="n">
        <v>107382</v>
      </c>
      <c r="AP67" s="88">
        <f>IF(OR(AN67&lt;=0,AO67&lt;=0),"",LN(AN67)-LN(AO67))</f>
        <v/>
      </c>
      <c r="AQ67" t="n">
        <v>5664</v>
      </c>
      <c r="AR67" t="n">
        <v>111018</v>
      </c>
      <c r="AS67" s="88">
        <f>IF(OR(AQ67&lt;=0,AR67&lt;=0),"",LN(AQ67)-LN(AR67))</f>
        <v/>
      </c>
      <c r="AT67" t="n">
        <v>5968</v>
      </c>
      <c r="AU67" t="n">
        <v>110213</v>
      </c>
      <c r="AV67" t="n">
        <v>658</v>
      </c>
      <c r="AW67" t="n">
        <v>454</v>
      </c>
      <c r="AX67" t="n">
        <v>5323</v>
      </c>
      <c r="AY67" s="88">
        <f>IF(OR(AT67&lt;=0,AU67&lt;=0),"",LN(AT67)-LN(AU67))</f>
        <v/>
      </c>
      <c r="AZ67" s="46" t="n">
        <v>2.3</v>
      </c>
      <c r="BA67" s="46" t="n">
        <v>10.31</v>
      </c>
      <c r="BB67" s="47" t="n">
        <v>5.9</v>
      </c>
    </row>
    <row r="68">
      <c r="A68" s="48" t="n">
        <v>45358</v>
      </c>
      <c r="B68" s="49" t="n">
        <v>98080</v>
      </c>
      <c r="C68" s="50" t="n">
        <v>17.68</v>
      </c>
      <c r="D68" s="51" t="inlineStr">
        <is>
          <t>Moderate</t>
        </is>
      </c>
      <c r="E68" s="52" t="n">
        <v>3.9</v>
      </c>
      <c r="F68" s="52" t="n">
        <v>2.1</v>
      </c>
      <c r="G68" s="51" t="inlineStr">
        <is>
          <t>Thu</t>
        </is>
      </c>
      <c r="H68" s="51" t="inlineStr">
        <is>
          <t>Weekday</t>
        </is>
      </c>
      <c r="I68" s="51" t="inlineStr">
        <is>
          <t>Spring</t>
        </is>
      </c>
      <c r="J68" s="51" t="n">
        <v>25</v>
      </c>
      <c r="K68" s="51" t="inlineStr">
        <is>
          <t>OK</t>
        </is>
      </c>
      <c r="L68" s="46" t="n">
        <v>29.68</v>
      </c>
      <c r="M68" t="inlineStr">
        <is>
          <t>Good</t>
        </is>
      </c>
      <c r="N68" s="87" t="n">
        <v>25</v>
      </c>
      <c r="O68" s="87" t="n">
        <v>0</v>
      </c>
      <c r="P68" s="87" t="n">
        <v>0</v>
      </c>
      <c r="Q68" s="87" t="n">
        <v>0</v>
      </c>
      <c r="R68" s="87" t="n">
        <v>0</v>
      </c>
      <c r="S68" s="47" t="n">
        <v>3</v>
      </c>
      <c r="T68" s="47" t="n">
        <v>62.4</v>
      </c>
      <c r="U68" s="47" t="n"/>
      <c r="V68" s="87" t="n">
        <v>0</v>
      </c>
      <c r="W68" s="87" t="n">
        <v>0</v>
      </c>
      <c r="Y68" t="inlineStr">
        <is>
          <t>Mar</t>
        </is>
      </c>
      <c r="Z68" s="87" t="n">
        <v>2024</v>
      </c>
      <c r="AA68" s="47">
        <f>IF(F68="",0,F68)</f>
        <v/>
      </c>
      <c r="AB68" s="87">
        <f>IF(AA68&gt;=0.1,1,0)</f>
        <v/>
      </c>
      <c r="AC68" s="87" t="n">
        <v>0</v>
      </c>
      <c r="AD68" s="47">
        <f>IF(U68="",0,U68)</f>
        <v/>
      </c>
      <c r="AE68" s="87">
        <f>IF(OR(V68=1,W68=1),1,0)</f>
        <v/>
      </c>
      <c r="AF68" s="87" t="n">
        <v>0</v>
      </c>
      <c r="AG68" t="n">
        <v>4409</v>
      </c>
      <c r="AH68" t="n">
        <v>93670</v>
      </c>
      <c r="AI68" t="n">
        <v>1</v>
      </c>
      <c r="AJ68" s="88">
        <f>IF(OR(AG68&lt;=0,AH68&lt;=0),"",LN(AG68)-LN(AH68))</f>
        <v/>
      </c>
      <c r="AK68" t="n">
        <v>13461</v>
      </c>
      <c r="AL68" t="n">
        <v>84618</v>
      </c>
      <c r="AM68" s="88">
        <f>IF(OR(AK68&lt;=0,AL68&lt;=0),"",LN(AK68)-LN(AL68))</f>
        <v/>
      </c>
      <c r="AN68" t="n">
        <v>4268</v>
      </c>
      <c r="AO68" t="n">
        <v>90548</v>
      </c>
      <c r="AP68" s="88">
        <f>IF(OR(AN68&lt;=0,AO68&lt;=0),"",LN(AN68)-LN(AO68))</f>
        <v/>
      </c>
      <c r="AQ68" t="n">
        <v>4307</v>
      </c>
      <c r="AR68" t="n">
        <v>93670</v>
      </c>
      <c r="AS68" s="88">
        <f>IF(OR(AQ68&lt;=0,AR68&lt;=0),"",LN(AQ68)-LN(AR68))</f>
        <v/>
      </c>
      <c r="AT68" t="n">
        <v>4769</v>
      </c>
      <c r="AU68" t="n">
        <v>92727</v>
      </c>
      <c r="AV68" t="n">
        <v>592</v>
      </c>
      <c r="AW68" t="n">
        <v>287</v>
      </c>
      <c r="AX68" t="n">
        <v>4094</v>
      </c>
      <c r="AY68" s="88">
        <f>IF(OR(AT68&lt;=0,AU68&lt;=0),"",LN(AT68)-LN(AU68))</f>
        <v/>
      </c>
      <c r="AZ68" s="46" t="n">
        <v>2.5</v>
      </c>
      <c r="BA68" s="46" t="n">
        <v>8.77</v>
      </c>
      <c r="BB68" s="47" t="n">
        <v>5</v>
      </c>
    </row>
    <row r="69">
      <c r="A69" s="48" t="n">
        <v>45359</v>
      </c>
      <c r="B69" s="49" t="n">
        <v>99704</v>
      </c>
      <c r="C69" s="50" t="n">
        <v>22.36</v>
      </c>
      <c r="D69" s="51" t="inlineStr">
        <is>
          <t>Moderate</t>
        </is>
      </c>
      <c r="E69" s="52" t="n">
        <v>2.1</v>
      </c>
      <c r="F69" s="52" t="n"/>
      <c r="G69" s="51" t="inlineStr">
        <is>
          <t>Fri</t>
        </is>
      </c>
      <c r="H69" s="51" t="inlineStr">
        <is>
          <t>Weekday</t>
        </is>
      </c>
      <c r="I69" s="51" t="inlineStr">
        <is>
          <t>Spring</t>
        </is>
      </c>
      <c r="J69" s="51" t="n">
        <v>25</v>
      </c>
      <c r="K69" s="51" t="inlineStr">
        <is>
          <t>강수량 공란</t>
        </is>
      </c>
      <c r="L69" s="46" t="n">
        <v>43.12</v>
      </c>
      <c r="M69" t="inlineStr">
        <is>
          <t>Moderate</t>
        </is>
      </c>
      <c r="N69" s="87" t="n">
        <v>25</v>
      </c>
      <c r="O69" s="87" t="n">
        <v>0</v>
      </c>
      <c r="P69" s="87" t="n">
        <v>0</v>
      </c>
      <c r="Q69" s="87" t="n">
        <v>0</v>
      </c>
      <c r="R69" s="87" t="n">
        <v>0</v>
      </c>
      <c r="S69" s="47" t="n">
        <v>3.4</v>
      </c>
      <c r="T69" s="47" t="n">
        <v>50.6</v>
      </c>
      <c r="U69" s="47" t="n"/>
      <c r="V69" s="87" t="n">
        <v>0</v>
      </c>
      <c r="W69" s="87" t="n">
        <v>0</v>
      </c>
      <c r="Y69" t="inlineStr">
        <is>
          <t>Mar</t>
        </is>
      </c>
      <c r="Z69" s="87" t="n">
        <v>2024</v>
      </c>
      <c r="AA69" s="47">
        <f>IF(F69="",0,F69)</f>
        <v/>
      </c>
      <c r="AB69" s="87">
        <f>IF(AA69&gt;=0.1,1,0)</f>
        <v/>
      </c>
      <c r="AC69" s="87" t="n">
        <v>0</v>
      </c>
      <c r="AD69" s="47">
        <f>IF(U69="",0,U69)</f>
        <v/>
      </c>
      <c r="AE69" s="87">
        <f>IF(OR(V69=1,W69=1),1,0)</f>
        <v/>
      </c>
      <c r="AF69" s="87" t="n">
        <v>0</v>
      </c>
      <c r="AG69" t="n">
        <v>4546</v>
      </c>
      <c r="AH69" t="n">
        <v>95158</v>
      </c>
      <c r="AI69" t="n">
        <v>0</v>
      </c>
      <c r="AJ69" s="88">
        <f>IF(OR(AG69&lt;=0,AH69&lt;=0),"",LN(AG69)-LN(AH69))</f>
        <v/>
      </c>
      <c r="AK69" t="n">
        <v>13326</v>
      </c>
      <c r="AL69" t="n">
        <v>86378</v>
      </c>
      <c r="AM69" s="88">
        <f>IF(OR(AK69&lt;=0,AL69&lt;=0),"",LN(AK69)-LN(AL69))</f>
        <v/>
      </c>
      <c r="AN69" t="n">
        <v>4397</v>
      </c>
      <c r="AO69" t="n">
        <v>92040</v>
      </c>
      <c r="AP69" s="88">
        <f>IF(OR(AN69&lt;=0,AO69&lt;=0),"",LN(AN69)-LN(AO69))</f>
        <v/>
      </c>
      <c r="AQ69" t="n">
        <v>4428</v>
      </c>
      <c r="AR69" t="n">
        <v>95158</v>
      </c>
      <c r="AS69" s="88">
        <f>IF(OR(AQ69&lt;=0,AR69&lt;=0),"",LN(AQ69)-LN(AR69))</f>
        <v/>
      </c>
      <c r="AT69" t="n">
        <v>5178</v>
      </c>
      <c r="AU69" t="n">
        <v>93965</v>
      </c>
      <c r="AV69" t="n">
        <v>565</v>
      </c>
      <c r="AW69" t="n">
        <v>342</v>
      </c>
      <c r="AX69" t="n">
        <v>4189</v>
      </c>
      <c r="AY69" s="88">
        <f>IF(OR(AT69&lt;=0,AU69&lt;=0),"",LN(AT69)-LN(AU69))</f>
        <v/>
      </c>
      <c r="AZ69" s="46" t="n">
        <v>10.4</v>
      </c>
      <c r="BA69" s="46" t="n">
        <v>19.91</v>
      </c>
      <c r="BB69" s="47" t="n">
        <v>0.4</v>
      </c>
    </row>
    <row r="70">
      <c r="A70" s="48" t="n">
        <v>45360</v>
      </c>
      <c r="B70" s="49" t="n">
        <v>78185</v>
      </c>
      <c r="C70" s="50" t="n">
        <v>17.68</v>
      </c>
      <c r="D70" s="51" t="inlineStr">
        <is>
          <t>Moderate</t>
        </is>
      </c>
      <c r="E70" s="52" t="n">
        <v>2</v>
      </c>
      <c r="F70" s="52" t="n"/>
      <c r="G70" s="51" t="inlineStr">
        <is>
          <t>Sat</t>
        </is>
      </c>
      <c r="H70" s="51" t="inlineStr">
        <is>
          <t>Weekend</t>
        </is>
      </c>
      <c r="I70" s="51" t="inlineStr">
        <is>
          <t>Spring</t>
        </is>
      </c>
      <c r="J70" s="51" t="n">
        <v>25</v>
      </c>
      <c r="K70" s="51" t="inlineStr">
        <is>
          <t>강수량 공란</t>
        </is>
      </c>
      <c r="L70" s="46" t="n">
        <v>32.72</v>
      </c>
      <c r="M70" t="inlineStr">
        <is>
          <t>Moderate</t>
        </is>
      </c>
      <c r="N70" s="87" t="n">
        <v>25</v>
      </c>
      <c r="O70" s="87" t="n">
        <v>0</v>
      </c>
      <c r="P70" s="87" t="n">
        <v>0</v>
      </c>
      <c r="Q70" s="87" t="n">
        <v>0</v>
      </c>
      <c r="R70" s="87" t="n">
        <v>0</v>
      </c>
      <c r="S70" s="47" t="n">
        <v>2.7</v>
      </c>
      <c r="T70" s="47" t="n">
        <v>50.8</v>
      </c>
      <c r="U70" s="47" t="n"/>
      <c r="V70" s="87" t="n">
        <v>1</v>
      </c>
      <c r="W70" s="87" t="n">
        <v>0</v>
      </c>
      <c r="Y70" t="inlineStr">
        <is>
          <t>Mar</t>
        </is>
      </c>
      <c r="Z70" s="87" t="n">
        <v>2024</v>
      </c>
      <c r="AA70" s="47">
        <f>IF(F70="",0,F70)</f>
        <v/>
      </c>
      <c r="AB70" s="87">
        <f>IF(AA70&gt;=0.1,1,0)</f>
        <v/>
      </c>
      <c r="AC70" s="87" t="n">
        <v>0</v>
      </c>
      <c r="AD70" s="47">
        <f>IF(U70="",0,U70)</f>
        <v/>
      </c>
      <c r="AE70" s="87">
        <f>IF(OR(V70=1,W70=1),1,0)</f>
        <v/>
      </c>
      <c r="AF70" s="87" t="n">
        <v>0</v>
      </c>
      <c r="AG70" t="n">
        <v>4682</v>
      </c>
      <c r="AH70" t="n">
        <v>73503</v>
      </c>
      <c r="AI70" t="n">
        <v>0</v>
      </c>
      <c r="AJ70" s="88">
        <f>IF(OR(AG70&lt;=0,AH70&lt;=0),"",LN(AG70)-LN(AH70))</f>
        <v/>
      </c>
      <c r="AK70" t="n">
        <v>11615</v>
      </c>
      <c r="AL70" t="n">
        <v>66570</v>
      </c>
      <c r="AM70" s="88">
        <f>IF(OR(AK70&lt;=0,AL70&lt;=0),"",LN(AK70)-LN(AL70))</f>
        <v/>
      </c>
      <c r="AN70" t="n">
        <v>4489</v>
      </c>
      <c r="AO70" t="n">
        <v>71169</v>
      </c>
      <c r="AP70" s="88">
        <f>IF(OR(AN70&lt;=0,AO70&lt;=0),"",LN(AN70)-LN(AO70))</f>
        <v/>
      </c>
      <c r="AQ70" t="n">
        <v>4565</v>
      </c>
      <c r="AR70" t="n">
        <v>73503</v>
      </c>
      <c r="AS70" s="88">
        <f>IF(OR(AQ70&lt;=0,AR70&lt;=0),"",LN(AQ70)-LN(AR70))</f>
        <v/>
      </c>
      <c r="AT70" t="n">
        <v>6010</v>
      </c>
      <c r="AU70" t="n">
        <v>71737</v>
      </c>
      <c r="AV70" t="n">
        <v>439</v>
      </c>
      <c r="AW70" t="n">
        <v>633</v>
      </c>
      <c r="AX70" t="n">
        <v>4018</v>
      </c>
      <c r="AY70" s="88">
        <f>IF(OR(AT70&lt;=0,AU70&lt;=0),"",LN(AT70)-LN(AU70))</f>
        <v/>
      </c>
      <c r="AZ70" s="46" t="n">
        <v>10.9</v>
      </c>
      <c r="BA70" s="46" t="n">
        <v>21.15</v>
      </c>
      <c r="BB70" s="47" t="n">
        <v>0</v>
      </c>
    </row>
    <row r="71">
      <c r="A71" s="48" t="n">
        <v>45361</v>
      </c>
      <c r="B71" s="49" t="n">
        <v>81204</v>
      </c>
      <c r="C71" s="50" t="n">
        <v>17.04</v>
      </c>
      <c r="D71" s="51" t="inlineStr">
        <is>
          <t>Moderate</t>
        </is>
      </c>
      <c r="E71" s="52" t="n">
        <v>4.2</v>
      </c>
      <c r="F71" s="52" t="n"/>
      <c r="G71" s="51" t="inlineStr">
        <is>
          <t>Sun</t>
        </is>
      </c>
      <c r="H71" s="51" t="inlineStr">
        <is>
          <t>Weekend</t>
        </is>
      </c>
      <c r="I71" s="51" t="inlineStr">
        <is>
          <t>Spring</t>
        </is>
      </c>
      <c r="J71" s="51" t="n">
        <v>25</v>
      </c>
      <c r="K71" s="51" t="inlineStr">
        <is>
          <t>강수량 공란</t>
        </is>
      </c>
      <c r="L71" s="46" t="n">
        <v>29.33333333333333</v>
      </c>
      <c r="M71" t="inlineStr">
        <is>
          <t>Good</t>
        </is>
      </c>
      <c r="N71" s="87" t="n">
        <v>24</v>
      </c>
      <c r="O71" s="87" t="n">
        <v>0</v>
      </c>
      <c r="P71" s="87" t="n">
        <v>0</v>
      </c>
      <c r="Q71" s="87" t="n">
        <v>0</v>
      </c>
      <c r="R71" s="87" t="n">
        <v>0</v>
      </c>
      <c r="S71" s="47" t="n">
        <v>2.1</v>
      </c>
      <c r="T71" s="47" t="n">
        <v>54</v>
      </c>
      <c r="U71" s="47" t="n"/>
      <c r="V71" s="87" t="n">
        <v>1</v>
      </c>
      <c r="W71" s="87" t="n">
        <v>0</v>
      </c>
      <c r="Y71" t="inlineStr">
        <is>
          <t>Mar</t>
        </is>
      </c>
      <c r="Z71" s="87" t="n">
        <v>2024</v>
      </c>
      <c r="AA71" s="47">
        <f>IF(F71="",0,F71)</f>
        <v/>
      </c>
      <c r="AB71" s="87">
        <f>IF(AA71&gt;=0.1,1,0)</f>
        <v/>
      </c>
      <c r="AC71" s="87" t="n">
        <v>0</v>
      </c>
      <c r="AD71" s="47">
        <f>IF(U71="",0,U71)</f>
        <v/>
      </c>
      <c r="AE71" s="87">
        <f>IF(OR(V71=1,W71=1),1,0)</f>
        <v/>
      </c>
      <c r="AF71" s="87" t="n">
        <v>0</v>
      </c>
      <c r="AG71" t="n">
        <v>6324</v>
      </c>
      <c r="AH71" t="n">
        <v>74880</v>
      </c>
      <c r="AI71" t="n">
        <v>0</v>
      </c>
      <c r="AJ71" s="88">
        <f>IF(OR(AG71&lt;=0,AH71&lt;=0),"",LN(AG71)-LN(AH71))</f>
        <v/>
      </c>
      <c r="AK71" t="n">
        <v>14192</v>
      </c>
      <c r="AL71" t="n">
        <v>67012</v>
      </c>
      <c r="AM71" s="88">
        <f>IF(OR(AK71&lt;=0,AL71&lt;=0),"",LN(AK71)-LN(AL71))</f>
        <v/>
      </c>
      <c r="AN71" t="n">
        <v>6102</v>
      </c>
      <c r="AO71" t="n">
        <v>72641</v>
      </c>
      <c r="AP71" s="88">
        <f>IF(OR(AN71&lt;=0,AO71&lt;=0),"",LN(AN71)-LN(AO71))</f>
        <v/>
      </c>
      <c r="AQ71" t="n">
        <v>6149</v>
      </c>
      <c r="AR71" t="n">
        <v>74880</v>
      </c>
      <c r="AS71" s="88">
        <f>IF(OR(AQ71&lt;=0,AR71&lt;=0),"",LN(AQ71)-LN(AR71))</f>
        <v/>
      </c>
      <c r="AT71" t="n">
        <v>7419</v>
      </c>
      <c r="AU71" t="n">
        <v>73280</v>
      </c>
      <c r="AV71" t="n">
        <v>505</v>
      </c>
      <c r="AW71" t="n">
        <v>1045</v>
      </c>
      <c r="AX71" t="n">
        <v>5223</v>
      </c>
      <c r="AY71" s="88">
        <f>IF(OR(AT71&lt;=0,AU71&lt;=0),"",LN(AT71)-LN(AU71))</f>
        <v/>
      </c>
      <c r="AZ71" s="46" t="n">
        <v>10.9</v>
      </c>
      <c r="BA71" s="46" t="n">
        <v>20.38</v>
      </c>
      <c r="BB71" s="47" t="n">
        <v>1</v>
      </c>
    </row>
    <row r="72">
      <c r="A72" s="48" t="n">
        <v>45362</v>
      </c>
      <c r="B72" s="49" t="n">
        <v>114631</v>
      </c>
      <c r="C72" s="50" t="n">
        <v>18.52</v>
      </c>
      <c r="D72" s="51" t="inlineStr">
        <is>
          <t>Moderate</t>
        </is>
      </c>
      <c r="E72" s="52" t="n">
        <v>6.2</v>
      </c>
      <c r="F72" s="52" t="n"/>
      <c r="G72" s="51" t="inlineStr">
        <is>
          <t>Mon</t>
        </is>
      </c>
      <c r="H72" s="51" t="inlineStr">
        <is>
          <t>Weekday</t>
        </is>
      </c>
      <c r="I72" s="51" t="inlineStr">
        <is>
          <t>Spring</t>
        </is>
      </c>
      <c r="J72" s="51" t="n">
        <v>25</v>
      </c>
      <c r="K72" s="51" t="inlineStr">
        <is>
          <t>강수량 공란</t>
        </is>
      </c>
      <c r="L72" s="46" t="n">
        <v>33.6</v>
      </c>
      <c r="M72" t="inlineStr">
        <is>
          <t>Moderate</t>
        </is>
      </c>
      <c r="N72" s="87" t="n">
        <v>25</v>
      </c>
      <c r="O72" s="87" t="n">
        <v>0</v>
      </c>
      <c r="P72" s="87" t="n">
        <v>0</v>
      </c>
      <c r="Q72" s="87" t="n">
        <v>0</v>
      </c>
      <c r="R72" s="87" t="n">
        <v>0</v>
      </c>
      <c r="S72" s="47" t="n"/>
      <c r="T72" s="47" t="n">
        <v>62.3</v>
      </c>
      <c r="U72" s="47" t="n"/>
      <c r="V72" s="87" t="n">
        <v>0</v>
      </c>
      <c r="W72" s="87" t="n">
        <v>0</v>
      </c>
      <c r="Y72" t="inlineStr">
        <is>
          <t>Mar</t>
        </is>
      </c>
      <c r="Z72" s="87" t="n">
        <v>2024</v>
      </c>
      <c r="AA72" s="47">
        <f>IF(F72="",0,F72)</f>
        <v/>
      </c>
      <c r="AB72" s="87">
        <f>IF(AA72&gt;=0.1,1,0)</f>
        <v/>
      </c>
      <c r="AC72" s="87" t="n">
        <v>0</v>
      </c>
      <c r="AD72" s="47">
        <f>IF(U72="",0,U72)</f>
        <v/>
      </c>
      <c r="AE72" s="87">
        <f>IF(OR(V72=1,W72=1),1,0)</f>
        <v/>
      </c>
      <c r="AF72" s="87" t="n">
        <v>0</v>
      </c>
      <c r="AG72" t="n">
        <v>5711</v>
      </c>
      <c r="AH72" t="n">
        <v>108920</v>
      </c>
      <c r="AI72" t="n">
        <v>0</v>
      </c>
      <c r="AJ72" s="88">
        <f>IF(OR(AG72&lt;=0,AH72&lt;=0),"",LN(AG72)-LN(AH72))</f>
        <v/>
      </c>
      <c r="AK72" t="n">
        <v>16432</v>
      </c>
      <c r="AL72" t="n">
        <v>98199</v>
      </c>
      <c r="AM72" s="88">
        <f>IF(OR(AK72&lt;=0,AL72&lt;=0),"",LN(AK72)-LN(AL72))</f>
        <v/>
      </c>
      <c r="AN72" t="n">
        <v>5514</v>
      </c>
      <c r="AO72" t="n">
        <v>105416</v>
      </c>
      <c r="AP72" s="88">
        <f>IF(OR(AN72&lt;=0,AO72&lt;=0),"",LN(AN72)-LN(AO72))</f>
        <v/>
      </c>
      <c r="AQ72" t="n">
        <v>5552</v>
      </c>
      <c r="AR72" t="n">
        <v>108920</v>
      </c>
      <c r="AS72" s="88">
        <f>IF(OR(AQ72&lt;=0,AR72&lt;=0),"",LN(AQ72)-LN(AR72))</f>
        <v/>
      </c>
      <c r="AT72" t="n">
        <v>6123</v>
      </c>
      <c r="AU72" t="n">
        <v>107861</v>
      </c>
      <c r="AV72" t="n">
        <v>656</v>
      </c>
      <c r="AW72" t="n">
        <v>466</v>
      </c>
      <c r="AX72" t="n">
        <v>5206</v>
      </c>
      <c r="AY72" s="88">
        <f>IF(OR(AT72&lt;=0,AU72&lt;=0),"",LN(AT72)-LN(AU72))</f>
        <v/>
      </c>
      <c r="AZ72" s="46" t="n"/>
      <c r="BA72" s="46" t="n"/>
      <c r="BB72" s="47" t="n">
        <v>7</v>
      </c>
    </row>
    <row r="73">
      <c r="A73" s="48" t="n">
        <v>45363</v>
      </c>
      <c r="B73" s="49" t="n">
        <v>79695</v>
      </c>
      <c r="C73" s="50" t="n">
        <v>20.88</v>
      </c>
      <c r="D73" s="51" t="inlineStr">
        <is>
          <t>Moderate</t>
        </is>
      </c>
      <c r="E73" s="52" t="n">
        <v>6.6</v>
      </c>
      <c r="F73" s="52" t="n">
        <v>2.1</v>
      </c>
      <c r="G73" s="51" t="inlineStr">
        <is>
          <t>Tue</t>
        </is>
      </c>
      <c r="H73" s="51" t="inlineStr">
        <is>
          <t>Weekday</t>
        </is>
      </c>
      <c r="I73" s="51" t="inlineStr">
        <is>
          <t>Spring</t>
        </is>
      </c>
      <c r="J73" s="51" t="n">
        <v>25</v>
      </c>
      <c r="K73" s="51" t="inlineStr">
        <is>
          <t>OK</t>
        </is>
      </c>
      <c r="L73" s="46" t="n">
        <v>31.92</v>
      </c>
      <c r="M73" t="inlineStr">
        <is>
          <t>Moderate</t>
        </is>
      </c>
      <c r="N73" s="87" t="n">
        <v>25</v>
      </c>
      <c r="O73" s="87" t="n">
        <v>0</v>
      </c>
      <c r="P73" s="87" t="n">
        <v>0</v>
      </c>
      <c r="Q73" s="87" t="n">
        <v>0</v>
      </c>
      <c r="R73" s="87" t="n">
        <v>0</v>
      </c>
      <c r="S73" s="47" t="n"/>
      <c r="T73" s="47" t="n">
        <v>78</v>
      </c>
      <c r="U73" s="47" t="n"/>
      <c r="V73" s="87" t="n">
        <v>0</v>
      </c>
      <c r="W73" s="87" t="n">
        <v>0</v>
      </c>
      <c r="Y73" t="inlineStr">
        <is>
          <t>Mar</t>
        </is>
      </c>
      <c r="Z73" s="87" t="n">
        <v>2024</v>
      </c>
      <c r="AA73" s="47">
        <f>IF(F73="",0,F73)</f>
        <v/>
      </c>
      <c r="AB73" s="87">
        <f>IF(AA73&gt;=0.1,1,0)</f>
        <v/>
      </c>
      <c r="AC73" s="87" t="n">
        <v>0</v>
      </c>
      <c r="AD73" s="47">
        <f>IF(U73="",0,U73)</f>
        <v/>
      </c>
      <c r="AE73" s="87">
        <f>IF(OR(V73=1,W73=1),1,0)</f>
        <v/>
      </c>
      <c r="AF73" s="87" t="n">
        <v>0</v>
      </c>
      <c r="AG73" t="n">
        <v>3452</v>
      </c>
      <c r="AH73" t="n">
        <v>76243</v>
      </c>
      <c r="AI73" t="n">
        <v>0</v>
      </c>
      <c r="AJ73" s="88">
        <f>IF(OR(AG73&lt;=0,AH73&lt;=0),"",LN(AG73)-LN(AH73))</f>
        <v/>
      </c>
      <c r="AK73" t="n">
        <v>10409</v>
      </c>
      <c r="AL73" t="n">
        <v>69286</v>
      </c>
      <c r="AM73" s="88">
        <f>IF(OR(AK73&lt;=0,AL73&lt;=0),"",LN(AK73)-LN(AL73))</f>
        <v/>
      </c>
      <c r="AN73" t="n">
        <v>3344</v>
      </c>
      <c r="AO73" t="n">
        <v>73686</v>
      </c>
      <c r="AP73" s="88">
        <f>IF(OR(AN73&lt;=0,AO73&lt;=0),"",LN(AN73)-LN(AO73))</f>
        <v/>
      </c>
      <c r="AQ73" t="n">
        <v>3371</v>
      </c>
      <c r="AR73" t="n">
        <v>76243</v>
      </c>
      <c r="AS73" s="88">
        <f>IF(OR(AQ73&lt;=0,AR73&lt;=0),"",LN(AQ73)-LN(AR73))</f>
        <v/>
      </c>
      <c r="AT73" t="n">
        <v>4529</v>
      </c>
      <c r="AU73" t="n">
        <v>74676</v>
      </c>
      <c r="AV73" t="n">
        <v>497</v>
      </c>
      <c r="AW73" t="n">
        <v>301</v>
      </c>
      <c r="AX73" t="n">
        <v>3128</v>
      </c>
      <c r="AY73" s="88">
        <f>IF(OR(AT73&lt;=0,AU73&lt;=0),"",LN(AT73)-LN(AU73))</f>
        <v/>
      </c>
      <c r="AZ73" s="46" t="n">
        <v>0</v>
      </c>
      <c r="BA73" s="46" t="n">
        <v>0.3</v>
      </c>
      <c r="BB73" s="47" t="n">
        <v>6</v>
      </c>
    </row>
    <row r="74">
      <c r="A74" s="48" t="n">
        <v>45364</v>
      </c>
      <c r="B74" s="49" t="n">
        <v>120866</v>
      </c>
      <c r="C74" s="50" t="n">
        <v>26.36</v>
      </c>
      <c r="D74" s="51" t="inlineStr">
        <is>
          <t>Moderate</t>
        </is>
      </c>
      <c r="E74" s="52" t="n">
        <v>6.5</v>
      </c>
      <c r="F74" s="52" t="n"/>
      <c r="G74" s="51" t="inlineStr">
        <is>
          <t>Wed</t>
        </is>
      </c>
      <c r="H74" s="51" t="inlineStr">
        <is>
          <t>Weekday</t>
        </is>
      </c>
      <c r="I74" s="51" t="inlineStr">
        <is>
          <t>Spring</t>
        </is>
      </c>
      <c r="J74" s="51" t="n">
        <v>25</v>
      </c>
      <c r="K74" s="51" t="inlineStr">
        <is>
          <t>강수량 공란</t>
        </is>
      </c>
      <c r="L74" s="46" t="n">
        <v>43.76</v>
      </c>
      <c r="M74" t="inlineStr">
        <is>
          <t>Moderate</t>
        </is>
      </c>
      <c r="N74" s="87" t="n">
        <v>25</v>
      </c>
      <c r="O74" s="87" t="n">
        <v>0</v>
      </c>
      <c r="P74" s="87" t="n">
        <v>0</v>
      </c>
      <c r="Q74" s="87" t="n">
        <v>0</v>
      </c>
      <c r="R74" s="87" t="n">
        <v>0</v>
      </c>
      <c r="S74" s="47" t="n">
        <v>2.7</v>
      </c>
      <c r="T74" s="47" t="n">
        <v>57.6</v>
      </c>
      <c r="U74" s="47" t="n"/>
      <c r="V74" s="87" t="n">
        <v>0</v>
      </c>
      <c r="W74" s="87" t="n">
        <v>0</v>
      </c>
      <c r="Y74" t="inlineStr">
        <is>
          <t>Mar</t>
        </is>
      </c>
      <c r="Z74" s="87" t="n">
        <v>2024</v>
      </c>
      <c r="AA74" s="47">
        <f>IF(F74="",0,F74)</f>
        <v/>
      </c>
      <c r="AB74" s="87">
        <f>IF(AA74&gt;=0.1,1,0)</f>
        <v/>
      </c>
      <c r="AC74" s="87" t="n">
        <v>0</v>
      </c>
      <c r="AD74" s="47">
        <f>IF(U74="",0,U74)</f>
        <v/>
      </c>
      <c r="AE74" s="87">
        <f>IF(OR(V74=1,W74=1),1,0)</f>
        <v/>
      </c>
      <c r="AF74" s="87" t="n">
        <v>0</v>
      </c>
      <c r="AG74" t="n">
        <v>6191</v>
      </c>
      <c r="AH74" t="n">
        <v>114674</v>
      </c>
      <c r="AI74" t="n">
        <v>1</v>
      </c>
      <c r="AJ74" s="88">
        <f>IF(OR(AG74&lt;=0,AH74&lt;=0),"",LN(AG74)-LN(AH74))</f>
        <v/>
      </c>
      <c r="AK74" t="n">
        <v>17430</v>
      </c>
      <c r="AL74" t="n">
        <v>103435</v>
      </c>
      <c r="AM74" s="88">
        <f>IF(OR(AK74&lt;=0,AL74&lt;=0),"",LN(AK74)-LN(AL74))</f>
        <v/>
      </c>
      <c r="AN74" t="n">
        <v>6024</v>
      </c>
      <c r="AO74" t="n">
        <v>110848</v>
      </c>
      <c r="AP74" s="88">
        <f>IF(OR(AN74&lt;=0,AO74&lt;=0),"",LN(AN74)-LN(AO74))</f>
        <v/>
      </c>
      <c r="AQ74" t="n">
        <v>6039</v>
      </c>
      <c r="AR74" t="n">
        <v>114674</v>
      </c>
      <c r="AS74" s="88">
        <f>IF(OR(AQ74&lt;=0,AR74&lt;=0),"",LN(AQ74)-LN(AR74))</f>
        <v/>
      </c>
      <c r="AT74" t="n">
        <v>6569</v>
      </c>
      <c r="AU74" t="n">
        <v>113548</v>
      </c>
      <c r="AV74" t="n">
        <v>752</v>
      </c>
      <c r="AW74" t="n">
        <v>514</v>
      </c>
      <c r="AX74" t="n">
        <v>5621</v>
      </c>
      <c r="AY74" s="88">
        <f>IF(OR(AT74&lt;=0,AU74&lt;=0),"",LN(AT74)-LN(AU74))</f>
        <v/>
      </c>
      <c r="AZ74" s="46" t="n">
        <v>10.9</v>
      </c>
      <c r="BA74" s="46" t="n">
        <v>20.78</v>
      </c>
      <c r="BB74" s="47" t="n">
        <v>0.4</v>
      </c>
    </row>
    <row r="75">
      <c r="A75" s="48" t="n">
        <v>45365</v>
      </c>
      <c r="B75" s="49" t="n">
        <v>126955</v>
      </c>
      <c r="C75" s="50" t="n">
        <v>36.28</v>
      </c>
      <c r="D75" s="51" t="inlineStr">
        <is>
          <t>Bad</t>
        </is>
      </c>
      <c r="E75" s="52" t="n">
        <v>8.5</v>
      </c>
      <c r="F75" s="52" t="n"/>
      <c r="G75" s="51" t="inlineStr">
        <is>
          <t>Thu</t>
        </is>
      </c>
      <c r="H75" s="51" t="inlineStr">
        <is>
          <t>Weekday</t>
        </is>
      </c>
      <c r="I75" s="51" t="inlineStr">
        <is>
          <t>Spring</t>
        </is>
      </c>
      <c r="J75" s="51" t="n">
        <v>25</v>
      </c>
      <c r="K75" s="51" t="inlineStr">
        <is>
          <t>강수량 공란</t>
        </is>
      </c>
      <c r="L75" s="46" t="n">
        <v>59.36</v>
      </c>
      <c r="M75" t="inlineStr">
        <is>
          <t>Moderate</t>
        </is>
      </c>
      <c r="N75" s="87" t="n">
        <v>25</v>
      </c>
      <c r="O75" s="87" t="n">
        <v>0</v>
      </c>
      <c r="P75" s="87" t="n">
        <v>0</v>
      </c>
      <c r="Q75" s="87" t="n">
        <v>0</v>
      </c>
      <c r="R75" s="87" t="n">
        <v>0</v>
      </c>
      <c r="S75" s="47" t="n"/>
      <c r="T75" s="47" t="n">
        <v>58.3</v>
      </c>
      <c r="U75" s="47" t="n"/>
      <c r="V75" s="87" t="n">
        <v>0</v>
      </c>
      <c r="W75" s="87" t="n">
        <v>0</v>
      </c>
      <c r="Y75" t="inlineStr">
        <is>
          <t>Mar</t>
        </is>
      </c>
      <c r="Z75" s="87" t="n">
        <v>2024</v>
      </c>
      <c r="AA75" s="47">
        <f>IF(F75="",0,F75)</f>
        <v/>
      </c>
      <c r="AB75" s="87">
        <f>IF(AA75&gt;=0.1,1,0)</f>
        <v/>
      </c>
      <c r="AC75" s="87" t="n">
        <v>0</v>
      </c>
      <c r="AD75" s="47">
        <f>IF(U75="",0,U75)</f>
        <v/>
      </c>
      <c r="AE75" s="87">
        <f>IF(OR(V75=1,W75=1),1,0)</f>
        <v/>
      </c>
      <c r="AF75" s="87" t="n">
        <v>0</v>
      </c>
      <c r="AG75" t="n">
        <v>6832</v>
      </c>
      <c r="AH75" t="n">
        <v>120122</v>
      </c>
      <c r="AI75" t="n">
        <v>1</v>
      </c>
      <c r="AJ75" s="88">
        <f>IF(OR(AG75&lt;=0,AH75&lt;=0),"",LN(AG75)-LN(AH75))</f>
        <v/>
      </c>
      <c r="AK75" t="n">
        <v>18665</v>
      </c>
      <c r="AL75" t="n">
        <v>108289</v>
      </c>
      <c r="AM75" s="88">
        <f>IF(OR(AK75&lt;=0,AL75&lt;=0),"",LN(AK75)-LN(AL75))</f>
        <v/>
      </c>
      <c r="AN75" t="n">
        <v>6613</v>
      </c>
      <c r="AO75" t="n">
        <v>116186</v>
      </c>
      <c r="AP75" s="88">
        <f>IF(OR(AN75&lt;=0,AO75&lt;=0),"",LN(AN75)-LN(AO75))</f>
        <v/>
      </c>
      <c r="AQ75" t="n">
        <v>6662</v>
      </c>
      <c r="AR75" t="n">
        <v>120122</v>
      </c>
      <c r="AS75" s="88">
        <f>IF(OR(AQ75&lt;=0,AR75&lt;=0),"",LN(AQ75)-LN(AR75))</f>
        <v/>
      </c>
      <c r="AT75" t="n">
        <v>6924</v>
      </c>
      <c r="AU75" t="n">
        <v>119268</v>
      </c>
      <c r="AV75" t="n">
        <v>811</v>
      </c>
      <c r="AW75" t="n">
        <v>697</v>
      </c>
      <c r="AX75" t="n">
        <v>6084</v>
      </c>
      <c r="AY75" s="88">
        <f>IF(OR(AT75&lt;=0,AU75&lt;=0),"",LN(AT75)-LN(AU75))</f>
        <v/>
      </c>
      <c r="AZ75" s="46" t="n"/>
      <c r="BA75" s="46" t="n"/>
      <c r="BB75" s="47" t="n">
        <v>1</v>
      </c>
    </row>
    <row r="76">
      <c r="A76" s="48" t="n">
        <v>45366</v>
      </c>
      <c r="B76" s="49" t="n">
        <v>130981</v>
      </c>
      <c r="C76" s="50" t="n">
        <v>31.44</v>
      </c>
      <c r="D76" s="51" t="inlineStr">
        <is>
          <t>Moderate</t>
        </is>
      </c>
      <c r="E76" s="52" t="n">
        <v>8.9</v>
      </c>
      <c r="F76" s="52" t="n"/>
      <c r="G76" s="51" t="inlineStr">
        <is>
          <t>Fri</t>
        </is>
      </c>
      <c r="H76" s="51" t="inlineStr">
        <is>
          <t>Weekday</t>
        </is>
      </c>
      <c r="I76" s="51" t="inlineStr">
        <is>
          <t>Spring</t>
        </is>
      </c>
      <c r="J76" s="51" t="n">
        <v>25</v>
      </c>
      <c r="K76" s="51" t="inlineStr">
        <is>
          <t>강수량 공란</t>
        </is>
      </c>
      <c r="L76" s="46" t="n">
        <v>48.52</v>
      </c>
      <c r="M76" t="inlineStr">
        <is>
          <t>Moderate</t>
        </is>
      </c>
      <c r="N76" s="87" t="n">
        <v>25</v>
      </c>
      <c r="O76" s="87" t="n">
        <v>0</v>
      </c>
      <c r="P76" s="87" t="n">
        <v>0</v>
      </c>
      <c r="Q76" s="87" t="n">
        <v>0</v>
      </c>
      <c r="R76" s="87" t="n">
        <v>0</v>
      </c>
      <c r="S76" s="47" t="n">
        <v>2.3</v>
      </c>
      <c r="T76" s="47" t="n">
        <v>68.5</v>
      </c>
      <c r="U76" s="47" t="n"/>
      <c r="V76" s="87" t="n">
        <v>0</v>
      </c>
      <c r="W76" s="87" t="n">
        <v>0</v>
      </c>
      <c r="Y76" t="inlineStr">
        <is>
          <t>Mar</t>
        </is>
      </c>
      <c r="Z76" s="87" t="n">
        <v>2024</v>
      </c>
      <c r="AA76" s="47">
        <f>IF(F76="",0,F76)</f>
        <v/>
      </c>
      <c r="AB76" s="87">
        <f>IF(AA76&gt;=0.1,1,0)</f>
        <v/>
      </c>
      <c r="AC76" s="87" t="n">
        <v>0</v>
      </c>
      <c r="AD76" s="47">
        <f>IF(U76="",0,U76)</f>
        <v/>
      </c>
      <c r="AE76" s="87">
        <f>IF(OR(V76=1,W76=1),1,0)</f>
        <v/>
      </c>
      <c r="AF76" s="87" t="n">
        <v>0</v>
      </c>
      <c r="AG76" t="n">
        <v>7562</v>
      </c>
      <c r="AH76" t="n">
        <v>123418</v>
      </c>
      <c r="AI76" t="n">
        <v>1</v>
      </c>
      <c r="AJ76" s="88">
        <f>IF(OR(AG76&lt;=0,AH76&lt;=0),"",LN(AG76)-LN(AH76))</f>
        <v/>
      </c>
      <c r="AK76" t="n">
        <v>20037</v>
      </c>
      <c r="AL76" t="n">
        <v>110943</v>
      </c>
      <c r="AM76" s="88">
        <f>IF(OR(AK76&lt;=0,AL76&lt;=0),"",LN(AK76)-LN(AL76))</f>
        <v/>
      </c>
      <c r="AN76" t="n">
        <v>7330</v>
      </c>
      <c r="AO76" t="n">
        <v>119332</v>
      </c>
      <c r="AP76" s="88">
        <f>IF(OR(AN76&lt;=0,AO76&lt;=0),"",LN(AN76)-LN(AO76))</f>
        <v/>
      </c>
      <c r="AQ76" t="n">
        <v>7352</v>
      </c>
      <c r="AR76" t="n">
        <v>123418</v>
      </c>
      <c r="AS76" s="88">
        <f>IF(OR(AQ76&lt;=0,AR76&lt;=0),"",LN(AQ76)-LN(AR76))</f>
        <v/>
      </c>
      <c r="AT76" t="n">
        <v>7400</v>
      </c>
      <c r="AU76" t="n">
        <v>122730</v>
      </c>
      <c r="AV76" t="n">
        <v>903</v>
      </c>
      <c r="AW76" t="n">
        <v>768</v>
      </c>
      <c r="AX76" t="n">
        <v>6726</v>
      </c>
      <c r="AY76" s="88">
        <f>IF(OR(AT76&lt;=0,AU76&lt;=0),"",LN(AT76)-LN(AU76))</f>
        <v/>
      </c>
      <c r="AZ76" s="46" t="n">
        <v>10.6</v>
      </c>
      <c r="BA76" s="46" t="n">
        <v>20.18</v>
      </c>
      <c r="BB76" s="47" t="n">
        <v>0</v>
      </c>
    </row>
    <row r="77">
      <c r="A77" s="48" t="n">
        <v>45367</v>
      </c>
      <c r="B77" s="49" t="n">
        <v>118333</v>
      </c>
      <c r="C77" s="50" t="n">
        <v>31.32</v>
      </c>
      <c r="D77" s="51" t="inlineStr">
        <is>
          <t>Moderate</t>
        </is>
      </c>
      <c r="E77" s="52" t="n">
        <v>10.9</v>
      </c>
      <c r="F77" s="52" t="n"/>
      <c r="G77" s="51" t="inlineStr">
        <is>
          <t>Sat</t>
        </is>
      </c>
      <c r="H77" s="51" t="inlineStr">
        <is>
          <t>Weekend</t>
        </is>
      </c>
      <c r="I77" s="51" t="inlineStr">
        <is>
          <t>Spring</t>
        </is>
      </c>
      <c r="J77" s="51" t="n">
        <v>25</v>
      </c>
      <c r="K77" s="51" t="inlineStr">
        <is>
          <t>강수량 공란</t>
        </is>
      </c>
      <c r="L77" s="46" t="n">
        <v>49.6</v>
      </c>
      <c r="M77" t="inlineStr">
        <is>
          <t>Moderate</t>
        </is>
      </c>
      <c r="N77" s="87" t="n">
        <v>25</v>
      </c>
      <c r="O77" s="87" t="n">
        <v>0</v>
      </c>
      <c r="P77" s="87" t="n">
        <v>0</v>
      </c>
      <c r="Q77" s="87" t="n">
        <v>0</v>
      </c>
      <c r="R77" s="87" t="n">
        <v>0</v>
      </c>
      <c r="S77" s="47" t="n">
        <v>2.1</v>
      </c>
      <c r="T77" s="47" t="n">
        <v>54.5</v>
      </c>
      <c r="U77" s="47" t="n"/>
      <c r="V77" s="87" t="n">
        <v>1</v>
      </c>
      <c r="W77" s="87" t="n">
        <v>0</v>
      </c>
      <c r="Y77" t="inlineStr">
        <is>
          <t>Mar</t>
        </is>
      </c>
      <c r="Z77" s="87" t="n">
        <v>2024</v>
      </c>
      <c r="AA77" s="47">
        <f>IF(F77="",0,F77)</f>
        <v/>
      </c>
      <c r="AB77" s="87">
        <f>IF(AA77&gt;=0.1,1,0)</f>
        <v/>
      </c>
      <c r="AC77" s="87" t="n">
        <v>0</v>
      </c>
      <c r="AD77" s="47">
        <f>IF(U77="",0,U77)</f>
        <v/>
      </c>
      <c r="AE77" s="87">
        <f>IF(OR(V77=1,W77=1),1,0)</f>
        <v/>
      </c>
      <c r="AF77" s="87" t="n">
        <v>0</v>
      </c>
      <c r="AG77" t="n">
        <v>10853</v>
      </c>
      <c r="AH77" t="n">
        <v>107480</v>
      </c>
      <c r="AI77" t="n">
        <v>0</v>
      </c>
      <c r="AJ77" s="88">
        <f>IF(OR(AG77&lt;=0,AH77&lt;=0),"",LN(AG77)-LN(AH77))</f>
        <v/>
      </c>
      <c r="AK77" t="n">
        <v>22902</v>
      </c>
      <c r="AL77" t="n">
        <v>95431</v>
      </c>
      <c r="AM77" s="88">
        <f>IF(OR(AK77&lt;=0,AL77&lt;=0),"",LN(AK77)-LN(AL77))</f>
        <v/>
      </c>
      <c r="AN77" t="n">
        <v>10500</v>
      </c>
      <c r="AO77" t="n">
        <v>104249</v>
      </c>
      <c r="AP77" s="88">
        <f>IF(OR(AN77&lt;=0,AO77&lt;=0),"",LN(AN77)-LN(AO77))</f>
        <v/>
      </c>
      <c r="AQ77" t="n">
        <v>10555</v>
      </c>
      <c r="AR77" t="n">
        <v>107480</v>
      </c>
      <c r="AS77" s="88">
        <f>IF(OR(AQ77&lt;=0,AR77&lt;=0),"",LN(AQ77)-LN(AR77))</f>
        <v/>
      </c>
      <c r="AT77" t="n">
        <v>10041</v>
      </c>
      <c r="AU77" t="n">
        <v>107437</v>
      </c>
      <c r="AV77" t="n">
        <v>899</v>
      </c>
      <c r="AW77" t="n">
        <v>1792</v>
      </c>
      <c r="AX77" t="n">
        <v>8947</v>
      </c>
      <c r="AY77" s="88">
        <f>IF(OR(AT77&lt;=0,AU77&lt;=0),"",LN(AT77)-LN(AU77))</f>
        <v/>
      </c>
      <c r="AZ77" s="46" t="n">
        <v>8.300000000000001</v>
      </c>
      <c r="BA77" s="46" t="n">
        <v>18.28</v>
      </c>
      <c r="BB77" s="47" t="n">
        <v>3.9</v>
      </c>
    </row>
    <row r="78">
      <c r="A78" s="48" t="n">
        <v>45368</v>
      </c>
      <c r="B78" s="49" t="n">
        <v>87951</v>
      </c>
      <c r="C78" s="50" t="n">
        <v>19.208333</v>
      </c>
      <c r="D78" s="51" t="inlineStr">
        <is>
          <t>Moderate</t>
        </is>
      </c>
      <c r="E78" s="52" t="n">
        <v>8.800000000000001</v>
      </c>
      <c r="F78" s="52" t="n">
        <v>0.1</v>
      </c>
      <c r="G78" s="51" t="inlineStr">
        <is>
          <t>Sun</t>
        </is>
      </c>
      <c r="H78" s="51" t="inlineStr">
        <is>
          <t>Weekend</t>
        </is>
      </c>
      <c r="I78" s="51" t="inlineStr">
        <is>
          <t>Spring</t>
        </is>
      </c>
      <c r="J78" s="51" t="n">
        <v>24</v>
      </c>
      <c r="K78" s="51" t="inlineStr">
        <is>
          <t>OK</t>
        </is>
      </c>
      <c r="L78" s="46" t="n">
        <v>93.68000000000001</v>
      </c>
      <c r="M78" t="inlineStr">
        <is>
          <t>Bad</t>
        </is>
      </c>
      <c r="N78" s="87" t="n">
        <v>25</v>
      </c>
      <c r="O78" s="87" t="n">
        <v>1</v>
      </c>
      <c r="P78" s="87" t="n">
        <v>0</v>
      </c>
      <c r="Q78" s="87" t="n">
        <v>1</v>
      </c>
      <c r="R78" s="87" t="n">
        <v>0</v>
      </c>
      <c r="S78" s="47" t="n">
        <v>3.7</v>
      </c>
      <c r="T78" s="47" t="n">
        <v>48</v>
      </c>
      <c r="U78" s="47" t="n"/>
      <c r="V78" s="87" t="n">
        <v>1</v>
      </c>
      <c r="W78" s="87" t="n">
        <v>0</v>
      </c>
      <c r="Y78" t="inlineStr">
        <is>
          <t>Mar</t>
        </is>
      </c>
      <c r="Z78" s="87" t="n">
        <v>2024</v>
      </c>
      <c r="AA78" s="47">
        <f>IF(F78="",0,F78)</f>
        <v/>
      </c>
      <c r="AB78" s="87">
        <f>IF(AA78&gt;=0.1,1,0)</f>
        <v/>
      </c>
      <c r="AC78" s="87" t="n">
        <v>0</v>
      </c>
      <c r="AD78" s="47">
        <f>IF(U78="",0,U78)</f>
        <v/>
      </c>
      <c r="AE78" s="87">
        <f>IF(OR(V78=1,W78=1),1,0)</f>
        <v/>
      </c>
      <c r="AF78" s="87" t="n">
        <v>0</v>
      </c>
      <c r="AG78" t="n">
        <v>6624</v>
      </c>
      <c r="AH78" t="n">
        <v>81327</v>
      </c>
      <c r="AI78" t="n">
        <v>0</v>
      </c>
      <c r="AJ78" s="88">
        <f>IF(OR(AG78&lt;=0,AH78&lt;=0),"",LN(AG78)-LN(AH78))</f>
        <v/>
      </c>
      <c r="AK78" t="n">
        <v>15111</v>
      </c>
      <c r="AL78" t="n">
        <v>72840</v>
      </c>
      <c r="AM78" s="88">
        <f>IF(OR(AK78&lt;=0,AL78&lt;=0),"",LN(AK78)-LN(AL78))</f>
        <v/>
      </c>
      <c r="AN78" t="n">
        <v>6434</v>
      </c>
      <c r="AO78" t="n">
        <v>78912</v>
      </c>
      <c r="AP78" s="88">
        <f>IF(OR(AN78&lt;=0,AO78&lt;=0),"",LN(AN78)-LN(AO78))</f>
        <v/>
      </c>
      <c r="AQ78" t="n">
        <v>6465</v>
      </c>
      <c r="AR78" t="n">
        <v>81327</v>
      </c>
      <c r="AS78" s="88">
        <f>IF(OR(AQ78&lt;=0,AR78&lt;=0),"",LN(AQ78)-LN(AR78))</f>
        <v/>
      </c>
      <c r="AT78" t="n">
        <v>7765</v>
      </c>
      <c r="AU78" t="n">
        <v>79632</v>
      </c>
      <c r="AV78" t="n">
        <v>594</v>
      </c>
      <c r="AW78" t="n">
        <v>1070</v>
      </c>
      <c r="AX78" t="n">
        <v>5494</v>
      </c>
      <c r="AY78" s="88">
        <f>IF(OR(AT78&lt;=0,AU78&lt;=0),"",LN(AT78)-LN(AU78))</f>
        <v/>
      </c>
      <c r="AZ78" s="46" t="n">
        <v>8.699999999999999</v>
      </c>
      <c r="BA78" s="46" t="n">
        <v>18.59</v>
      </c>
      <c r="BB78" s="47" t="n">
        <v>5.6</v>
      </c>
    </row>
    <row r="79">
      <c r="A79" s="48" t="n">
        <v>45369</v>
      </c>
      <c r="B79" s="49" t="n">
        <v>123579</v>
      </c>
      <c r="C79" s="50" t="n">
        <v>7.4</v>
      </c>
      <c r="D79" s="51" t="inlineStr">
        <is>
          <t>Good</t>
        </is>
      </c>
      <c r="E79" s="52" t="n">
        <v>7.1</v>
      </c>
      <c r="F79" s="52" t="n"/>
      <c r="G79" s="51" t="inlineStr">
        <is>
          <t>Mon</t>
        </is>
      </c>
      <c r="H79" s="51" t="inlineStr">
        <is>
          <t>Weekday</t>
        </is>
      </c>
      <c r="I79" s="51" t="inlineStr">
        <is>
          <t>Spring</t>
        </is>
      </c>
      <c r="J79" s="51" t="n">
        <v>25</v>
      </c>
      <c r="K79" s="51" t="inlineStr">
        <is>
          <t>강수량 공란</t>
        </is>
      </c>
      <c r="L79" s="46" t="n">
        <v>21</v>
      </c>
      <c r="M79" t="inlineStr">
        <is>
          <t>Good</t>
        </is>
      </c>
      <c r="N79" s="87" t="n">
        <v>25</v>
      </c>
      <c r="O79" s="87" t="n">
        <v>0</v>
      </c>
      <c r="P79" s="87" t="n">
        <v>0</v>
      </c>
      <c r="Q79" s="87" t="n">
        <v>0</v>
      </c>
      <c r="R79" s="87" t="n">
        <v>0</v>
      </c>
      <c r="S79" s="47" t="n">
        <v>2.4</v>
      </c>
      <c r="T79" s="47" t="n">
        <v>28.6</v>
      </c>
      <c r="U79" s="47" t="n"/>
      <c r="V79" s="87" t="n">
        <v>0</v>
      </c>
      <c r="W79" s="87" t="n">
        <v>0</v>
      </c>
      <c r="Y79" t="inlineStr">
        <is>
          <t>Mar</t>
        </is>
      </c>
      <c r="Z79" s="87" t="n">
        <v>2024</v>
      </c>
      <c r="AA79" s="47">
        <f>IF(F79="",0,F79)</f>
        <v/>
      </c>
      <c r="AB79" s="87">
        <f>IF(AA79&gt;=0.1,1,0)</f>
        <v/>
      </c>
      <c r="AC79" s="87" t="n">
        <v>0</v>
      </c>
      <c r="AD79" s="47">
        <f>IF(U79="",0,U79)</f>
        <v/>
      </c>
      <c r="AE79" s="87">
        <f>IF(OR(V79=1,W79=1),1,0)</f>
        <v/>
      </c>
      <c r="AF79" s="87" t="n">
        <v>0</v>
      </c>
      <c r="AG79" t="n">
        <v>6887</v>
      </c>
      <c r="AH79" t="n">
        <v>116692</v>
      </c>
      <c r="AI79" t="n">
        <v>0</v>
      </c>
      <c r="AJ79" s="88">
        <f>IF(OR(AG79&lt;=0,AH79&lt;=0),"",LN(AG79)-LN(AH79))</f>
        <v/>
      </c>
      <c r="AK79" t="n">
        <v>18409</v>
      </c>
      <c r="AL79" t="n">
        <v>105170</v>
      </c>
      <c r="AM79" s="88">
        <f>IF(OR(AK79&lt;=0,AL79&lt;=0),"",LN(AK79)-LN(AL79))</f>
        <v/>
      </c>
      <c r="AN79" t="n">
        <v>6662</v>
      </c>
      <c r="AO79" t="n">
        <v>112836</v>
      </c>
      <c r="AP79" s="88">
        <f>IF(OR(AN79&lt;=0,AO79&lt;=0),"",LN(AN79)-LN(AO79))</f>
        <v/>
      </c>
      <c r="AQ79" t="n">
        <v>6703</v>
      </c>
      <c r="AR79" t="n">
        <v>116692</v>
      </c>
      <c r="AS79" s="88">
        <f>IF(OR(AQ79&lt;=0,AR79&lt;=0),"",LN(AQ79)-LN(AR79))</f>
        <v/>
      </c>
      <c r="AT79" t="n">
        <v>7012</v>
      </c>
      <c r="AU79" t="n">
        <v>115845</v>
      </c>
      <c r="AV79" t="n">
        <v>756</v>
      </c>
      <c r="AW79" t="n">
        <v>670</v>
      </c>
      <c r="AX79" t="n">
        <v>6156</v>
      </c>
      <c r="AY79" s="88">
        <f>IF(OR(AT79&lt;=0,AU79&lt;=0),"",LN(AT79)-LN(AU79))</f>
        <v/>
      </c>
      <c r="AZ79" s="46" t="n">
        <v>10.6</v>
      </c>
      <c r="BA79" s="46" t="n">
        <v>21.33</v>
      </c>
      <c r="BB79" s="47" t="n">
        <v>2</v>
      </c>
    </row>
    <row r="80">
      <c r="A80" s="48" t="n">
        <v>45370</v>
      </c>
      <c r="B80" s="49" t="n">
        <v>102640</v>
      </c>
      <c r="C80" s="50" t="n">
        <v>26.24</v>
      </c>
      <c r="D80" s="51" t="inlineStr">
        <is>
          <t>Moderate</t>
        </is>
      </c>
      <c r="E80" s="52" t="n">
        <v>6.7</v>
      </c>
      <c r="F80" s="52" t="n">
        <v>0.2</v>
      </c>
      <c r="G80" s="51" t="inlineStr">
        <is>
          <t>Tue</t>
        </is>
      </c>
      <c r="H80" s="51" t="inlineStr">
        <is>
          <t>Weekday</t>
        </is>
      </c>
      <c r="I80" s="51" t="inlineStr">
        <is>
          <t>Spring</t>
        </is>
      </c>
      <c r="J80" s="51" t="n">
        <v>25</v>
      </c>
      <c r="K80" s="51" t="inlineStr">
        <is>
          <t>OK</t>
        </is>
      </c>
      <c r="L80" s="46" t="n">
        <v>49.48</v>
      </c>
      <c r="M80" t="inlineStr">
        <is>
          <t>Moderate</t>
        </is>
      </c>
      <c r="N80" s="87" t="n">
        <v>25</v>
      </c>
      <c r="O80" s="87" t="n">
        <v>0</v>
      </c>
      <c r="P80" s="87" t="n">
        <v>0</v>
      </c>
      <c r="Q80" s="87" t="n">
        <v>0</v>
      </c>
      <c r="R80" s="87" t="n">
        <v>0</v>
      </c>
      <c r="S80" s="47" t="n">
        <v>3.7</v>
      </c>
      <c r="T80" s="47" t="n">
        <v>60.8</v>
      </c>
      <c r="U80" s="47" t="n"/>
      <c r="V80" s="87" t="n">
        <v>0</v>
      </c>
      <c r="W80" s="87" t="n">
        <v>0</v>
      </c>
      <c r="Y80" t="inlineStr">
        <is>
          <t>Mar</t>
        </is>
      </c>
      <c r="Z80" s="87" t="n">
        <v>2024</v>
      </c>
      <c r="AA80" s="47">
        <f>IF(F80="",0,F80)</f>
        <v/>
      </c>
      <c r="AB80" s="87">
        <f>IF(AA80&gt;=0.1,1,0)</f>
        <v/>
      </c>
      <c r="AC80" s="87" t="n">
        <v>0</v>
      </c>
      <c r="AD80" s="47">
        <f>IF(U80="",0,U80)</f>
        <v/>
      </c>
      <c r="AE80" s="87">
        <f>IF(OR(V80=1,W80=1),1,0)</f>
        <v/>
      </c>
      <c r="AF80" s="87" t="n">
        <v>0</v>
      </c>
      <c r="AG80" t="n">
        <v>4771</v>
      </c>
      <c r="AH80" t="n">
        <v>97869</v>
      </c>
      <c r="AI80" t="n">
        <v>0</v>
      </c>
      <c r="AJ80" s="88">
        <f>IF(OR(AG80&lt;=0,AH80&lt;=0),"",LN(AG80)-LN(AH80))</f>
        <v/>
      </c>
      <c r="AK80" t="n">
        <v>13909</v>
      </c>
      <c r="AL80" t="n">
        <v>88731</v>
      </c>
      <c r="AM80" s="88">
        <f>IF(OR(AK80&lt;=0,AL80&lt;=0),"",LN(AK80)-LN(AL80))</f>
        <v/>
      </c>
      <c r="AN80" t="n">
        <v>4641</v>
      </c>
      <c r="AO80" t="n">
        <v>94651</v>
      </c>
      <c r="AP80" s="88">
        <f>IF(OR(AN80&lt;=0,AO80&lt;=0),"",LN(AN80)-LN(AO80))</f>
        <v/>
      </c>
      <c r="AQ80" t="n">
        <v>4651</v>
      </c>
      <c r="AR80" t="n">
        <v>97869</v>
      </c>
      <c r="AS80" s="88">
        <f>IF(OR(AQ80&lt;=0,AR80&lt;=0),"",LN(AQ80)-LN(AR80))</f>
        <v/>
      </c>
      <c r="AT80" t="n">
        <v>4942</v>
      </c>
      <c r="AU80" t="n">
        <v>97094</v>
      </c>
      <c r="AV80" t="n">
        <v>634</v>
      </c>
      <c r="AW80" t="n">
        <v>346</v>
      </c>
      <c r="AX80" t="n">
        <v>4385</v>
      </c>
      <c r="AY80" s="88">
        <f>IF(OR(AT80&lt;=0,AU80&lt;=0),"",LN(AT80)-LN(AU80))</f>
        <v/>
      </c>
      <c r="AZ80" s="46" t="n">
        <v>2.7</v>
      </c>
      <c r="BA80" s="46" t="n">
        <v>9.630000000000001</v>
      </c>
      <c r="BB80" s="47" t="n">
        <v>6.1</v>
      </c>
    </row>
    <row r="81">
      <c r="A81" s="48" t="n">
        <v>45371</v>
      </c>
      <c r="B81" s="49" t="n">
        <v>112266</v>
      </c>
      <c r="C81" s="50" t="n">
        <v>23.16</v>
      </c>
      <c r="D81" s="51" t="inlineStr">
        <is>
          <t>Moderate</t>
        </is>
      </c>
      <c r="E81" s="52" t="n">
        <v>4.4</v>
      </c>
      <c r="F81" s="52" t="n"/>
      <c r="G81" s="51" t="inlineStr">
        <is>
          <t>Wed</t>
        </is>
      </c>
      <c r="H81" s="51" t="inlineStr">
        <is>
          <t>Weekday</t>
        </is>
      </c>
      <c r="I81" s="51" t="inlineStr">
        <is>
          <t>Spring</t>
        </is>
      </c>
      <c r="J81" s="51" t="n">
        <v>25</v>
      </c>
      <c r="K81" s="51" t="inlineStr">
        <is>
          <t>강수량 공란</t>
        </is>
      </c>
      <c r="L81" s="46" t="n">
        <v>38.28</v>
      </c>
      <c r="M81" t="inlineStr">
        <is>
          <t>Moderate</t>
        </is>
      </c>
      <c r="N81" s="87" t="n">
        <v>25</v>
      </c>
      <c r="O81" s="87" t="n">
        <v>0</v>
      </c>
      <c r="P81" s="87" t="n">
        <v>0</v>
      </c>
      <c r="Q81" s="87" t="n">
        <v>0</v>
      </c>
      <c r="R81" s="87" t="n">
        <v>0</v>
      </c>
      <c r="S81" s="47" t="n">
        <v>3.4</v>
      </c>
      <c r="T81" s="47" t="n">
        <v>46.5</v>
      </c>
      <c r="U81" s="47" t="n"/>
      <c r="V81" s="87" t="n">
        <v>0</v>
      </c>
      <c r="W81" s="87" t="n">
        <v>0</v>
      </c>
      <c r="Y81" t="inlineStr">
        <is>
          <t>Mar</t>
        </is>
      </c>
      <c r="Z81" s="87" t="n">
        <v>2024</v>
      </c>
      <c r="AA81" s="47">
        <f>IF(F81="",0,F81)</f>
        <v/>
      </c>
      <c r="AB81" s="87">
        <f>IF(AA81&gt;=0.1,1,0)</f>
        <v/>
      </c>
      <c r="AC81" s="87" t="n">
        <v>0</v>
      </c>
      <c r="AD81" s="47">
        <f>IF(U81="",0,U81)</f>
        <v/>
      </c>
      <c r="AE81" s="87">
        <f>IF(OR(V81=1,W81=1),1,0)</f>
        <v/>
      </c>
      <c r="AF81" s="87" t="n">
        <v>0</v>
      </c>
      <c r="AG81" t="n">
        <v>5502</v>
      </c>
      <c r="AH81" t="n">
        <v>106764</v>
      </c>
      <c r="AI81" t="n">
        <v>0</v>
      </c>
      <c r="AJ81" s="88">
        <f>IF(OR(AG81&lt;=0,AH81&lt;=0),"",LN(AG81)-LN(AH81))</f>
        <v/>
      </c>
      <c r="AK81" t="n">
        <v>15504</v>
      </c>
      <c r="AL81" t="n">
        <v>96762</v>
      </c>
      <c r="AM81" s="88">
        <f>IF(OR(AK81&lt;=0,AL81&lt;=0),"",LN(AK81)-LN(AL81))</f>
        <v/>
      </c>
      <c r="AN81" t="n">
        <v>5346</v>
      </c>
      <c r="AO81" t="n">
        <v>103131</v>
      </c>
      <c r="AP81" s="88">
        <f>IF(OR(AN81&lt;=0,AO81&lt;=0),"",LN(AN81)-LN(AO81))</f>
        <v/>
      </c>
      <c r="AQ81" t="n">
        <v>5354</v>
      </c>
      <c r="AR81" t="n">
        <v>106764</v>
      </c>
      <c r="AS81" s="88">
        <f>IF(OR(AQ81&lt;=0,AR81&lt;=0),"",LN(AQ81)-LN(AR81))</f>
        <v/>
      </c>
      <c r="AT81" t="n">
        <v>5822</v>
      </c>
      <c r="AU81" t="n">
        <v>105763</v>
      </c>
      <c r="AV81" t="n">
        <v>716</v>
      </c>
      <c r="AW81" t="n">
        <v>413</v>
      </c>
      <c r="AX81" t="n">
        <v>5049</v>
      </c>
      <c r="AY81" s="88">
        <f>IF(OR(AT81&lt;=0,AU81&lt;=0),"",LN(AT81)-LN(AU81))</f>
        <v/>
      </c>
      <c r="AZ81" s="46" t="n">
        <v>9</v>
      </c>
      <c r="BA81" s="46" t="n">
        <v>19.09</v>
      </c>
      <c r="BB81" s="47" t="n">
        <v>1.8</v>
      </c>
    </row>
    <row r="82">
      <c r="A82" s="48" t="n">
        <v>45372</v>
      </c>
      <c r="B82" s="49" t="n">
        <v>122101</v>
      </c>
      <c r="C82" s="50" t="n">
        <v>20.44</v>
      </c>
      <c r="D82" s="51" t="inlineStr">
        <is>
          <t>Moderate</t>
        </is>
      </c>
      <c r="E82" s="52" t="n">
        <v>5</v>
      </c>
      <c r="F82" s="52" t="n"/>
      <c r="G82" s="51" t="inlineStr">
        <is>
          <t>Thu</t>
        </is>
      </c>
      <c r="H82" s="51" t="inlineStr">
        <is>
          <t>Weekday</t>
        </is>
      </c>
      <c r="I82" s="51" t="inlineStr">
        <is>
          <t>Spring</t>
        </is>
      </c>
      <c r="J82" s="51" t="n">
        <v>25</v>
      </c>
      <c r="K82" s="51" t="inlineStr">
        <is>
          <t>강수량 공란</t>
        </is>
      </c>
      <c r="L82" s="46" t="n">
        <v>34.6</v>
      </c>
      <c r="M82" t="inlineStr">
        <is>
          <t>Moderate</t>
        </is>
      </c>
      <c r="N82" s="87" t="n">
        <v>25</v>
      </c>
      <c r="O82" s="87" t="n">
        <v>0</v>
      </c>
      <c r="P82" s="87" t="n">
        <v>0</v>
      </c>
      <c r="Q82" s="87" t="n">
        <v>0</v>
      </c>
      <c r="R82" s="87" t="n">
        <v>0</v>
      </c>
      <c r="S82" s="47" t="n">
        <v>2</v>
      </c>
      <c r="T82" s="47" t="n">
        <v>46.5</v>
      </c>
      <c r="U82" s="47" t="n"/>
      <c r="V82" s="87" t="n">
        <v>0</v>
      </c>
      <c r="W82" s="87" t="n">
        <v>0</v>
      </c>
      <c r="Y82" t="inlineStr">
        <is>
          <t>Mar</t>
        </is>
      </c>
      <c r="Z82" s="87" t="n">
        <v>2024</v>
      </c>
      <c r="AA82" s="47">
        <f>IF(F82="",0,F82)</f>
        <v/>
      </c>
      <c r="AB82" s="87">
        <f>IF(AA82&gt;=0.1,1,0)</f>
        <v/>
      </c>
      <c r="AC82" s="87" t="n">
        <v>0</v>
      </c>
      <c r="AD82" s="47">
        <f>IF(U82="",0,U82)</f>
        <v/>
      </c>
      <c r="AE82" s="87">
        <f>IF(OR(V82=1,W82=1),1,0)</f>
        <v/>
      </c>
      <c r="AF82" s="87" t="n">
        <v>0</v>
      </c>
      <c r="AG82" t="n">
        <v>6318</v>
      </c>
      <c r="AH82" t="n">
        <v>115783</v>
      </c>
      <c r="AI82" t="n">
        <v>0</v>
      </c>
      <c r="AJ82" s="88">
        <f>IF(OR(AG82&lt;=0,AH82&lt;=0),"",LN(AG82)-LN(AH82))</f>
        <v/>
      </c>
      <c r="AK82" t="n">
        <v>17721</v>
      </c>
      <c r="AL82" t="n">
        <v>104380</v>
      </c>
      <c r="AM82" s="88">
        <f>IF(OR(AK82&lt;=0,AL82&lt;=0),"",LN(AK82)-LN(AL82))</f>
        <v/>
      </c>
      <c r="AN82" t="n">
        <v>6142</v>
      </c>
      <c r="AO82" t="n">
        <v>111983</v>
      </c>
      <c r="AP82" s="88">
        <f>IF(OR(AN82&lt;=0,AO82&lt;=0),"",LN(AN82)-LN(AO82))</f>
        <v/>
      </c>
      <c r="AQ82" t="n">
        <v>6164</v>
      </c>
      <c r="AR82" t="n">
        <v>115783</v>
      </c>
      <c r="AS82" s="88">
        <f>IF(OR(AQ82&lt;=0,AR82&lt;=0),"",LN(AQ82)-LN(AR82))</f>
        <v/>
      </c>
      <c r="AT82" t="n">
        <v>6498</v>
      </c>
      <c r="AU82" t="n">
        <v>114754</v>
      </c>
      <c r="AV82" t="n">
        <v>896</v>
      </c>
      <c r="AW82" t="n">
        <v>575</v>
      </c>
      <c r="AX82" t="n">
        <v>5686</v>
      </c>
      <c r="AY82" s="88">
        <f>IF(OR(AT82&lt;=0,AU82&lt;=0),"",LN(AT82)-LN(AU82))</f>
        <v/>
      </c>
      <c r="AZ82" s="46" t="n">
        <v>11.3</v>
      </c>
      <c r="BA82" s="46" t="n">
        <v>22.43</v>
      </c>
      <c r="BB82" s="47" t="n">
        <v>2</v>
      </c>
    </row>
    <row r="83">
      <c r="A83" s="48" t="n">
        <v>45373</v>
      </c>
      <c r="B83" s="49" t="n">
        <v>81651</v>
      </c>
      <c r="C83" s="50" t="n">
        <v>18.16</v>
      </c>
      <c r="D83" s="51" t="inlineStr">
        <is>
          <t>Moderate</t>
        </is>
      </c>
      <c r="E83" s="52" t="n">
        <v>10.4</v>
      </c>
      <c r="F83" s="52" t="n">
        <v>5.4</v>
      </c>
      <c r="G83" s="51" t="inlineStr">
        <is>
          <t>Fri</t>
        </is>
      </c>
      <c r="H83" s="51" t="inlineStr">
        <is>
          <t>Weekday</t>
        </is>
      </c>
      <c r="I83" s="51" t="inlineStr">
        <is>
          <t>Spring</t>
        </is>
      </c>
      <c r="J83" s="51" t="n">
        <v>25</v>
      </c>
      <c r="K83" s="51" t="inlineStr">
        <is>
          <t>OK</t>
        </is>
      </c>
      <c r="L83" s="46" t="n">
        <v>41.32</v>
      </c>
      <c r="M83" t="inlineStr">
        <is>
          <t>Moderate</t>
        </is>
      </c>
      <c r="N83" s="87" t="n">
        <v>25</v>
      </c>
      <c r="O83" s="87" t="n">
        <v>0</v>
      </c>
      <c r="P83" s="87" t="n">
        <v>0</v>
      </c>
      <c r="Q83" s="87" t="n">
        <v>0</v>
      </c>
      <c r="R83" s="87" t="n">
        <v>0</v>
      </c>
      <c r="S83" s="47" t="n">
        <v>3.4</v>
      </c>
      <c r="T83" s="47" t="n">
        <v>57</v>
      </c>
      <c r="U83" s="47" t="n"/>
      <c r="V83" s="87" t="n">
        <v>0</v>
      </c>
      <c r="W83" s="87" t="n">
        <v>0</v>
      </c>
      <c r="Y83" t="inlineStr">
        <is>
          <t>Mar</t>
        </is>
      </c>
      <c r="Z83" s="87" t="n">
        <v>2024</v>
      </c>
      <c r="AA83" s="47">
        <f>IF(F83="",0,F83)</f>
        <v/>
      </c>
      <c r="AB83" s="87">
        <f>IF(AA83&gt;=0.1,1,0)</f>
        <v/>
      </c>
      <c r="AC83" s="87" t="n">
        <v>0</v>
      </c>
      <c r="AD83" s="47">
        <f>IF(U83="",0,U83)</f>
        <v/>
      </c>
      <c r="AE83" s="87">
        <f>IF(OR(V83=1,W83=1),1,0)</f>
        <v/>
      </c>
      <c r="AF83" s="87" t="n">
        <v>0</v>
      </c>
      <c r="AG83" t="n">
        <v>4015</v>
      </c>
      <c r="AH83" t="n">
        <v>77636</v>
      </c>
      <c r="AI83" t="n">
        <v>0</v>
      </c>
      <c r="AJ83" s="88">
        <f>IF(OR(AG83&lt;=0,AH83&lt;=0),"",LN(AG83)-LN(AH83))</f>
        <v/>
      </c>
      <c r="AK83" t="n">
        <v>11193</v>
      </c>
      <c r="AL83" t="n">
        <v>70458</v>
      </c>
      <c r="AM83" s="88">
        <f>IF(OR(AK83&lt;=0,AL83&lt;=0),"",LN(AK83)-LN(AL83))</f>
        <v/>
      </c>
      <c r="AN83" t="n">
        <v>3917</v>
      </c>
      <c r="AO83" t="n">
        <v>75174</v>
      </c>
      <c r="AP83" s="88">
        <f>IF(OR(AN83&lt;=0,AO83&lt;=0),"",LN(AN83)-LN(AO83))</f>
        <v/>
      </c>
      <c r="AQ83" t="n">
        <v>3888</v>
      </c>
      <c r="AR83" t="n">
        <v>77636</v>
      </c>
      <c r="AS83" s="88">
        <f>IF(OR(AQ83&lt;=0,AR83&lt;=0),"",LN(AQ83)-LN(AR83))</f>
        <v/>
      </c>
      <c r="AT83" t="n">
        <v>4597</v>
      </c>
      <c r="AU83" t="n">
        <v>76576</v>
      </c>
      <c r="AV83" t="n">
        <v>500</v>
      </c>
      <c r="AW83" t="n">
        <v>310</v>
      </c>
      <c r="AX83" t="n">
        <v>3677</v>
      </c>
      <c r="AY83" s="88">
        <f>IF(OR(AT83&lt;=0,AU83&lt;=0),"",LN(AT83)-LN(AU83))</f>
        <v/>
      </c>
      <c r="AZ83" s="46" t="n">
        <v>3.5</v>
      </c>
      <c r="BA83" s="46" t="n">
        <v>10.25</v>
      </c>
      <c r="BB83" s="47" t="n">
        <v>7.6</v>
      </c>
    </row>
    <row r="84">
      <c r="A84" s="48" t="n">
        <v>45374</v>
      </c>
      <c r="B84" s="49" t="n">
        <v>123500</v>
      </c>
      <c r="C84" s="50" t="n">
        <v>24.52</v>
      </c>
      <c r="D84" s="51" t="inlineStr">
        <is>
          <t>Moderate</t>
        </is>
      </c>
      <c r="E84" s="52" t="n">
        <v>13</v>
      </c>
      <c r="F84" s="52" t="n">
        <v>0.1</v>
      </c>
      <c r="G84" s="51" t="inlineStr">
        <is>
          <t>Sat</t>
        </is>
      </c>
      <c r="H84" s="51" t="inlineStr">
        <is>
          <t>Weekend</t>
        </is>
      </c>
      <c r="I84" s="51" t="inlineStr">
        <is>
          <t>Spring</t>
        </is>
      </c>
      <c r="J84" s="51" t="n">
        <v>25</v>
      </c>
      <c r="K84" s="51" t="inlineStr">
        <is>
          <t>OK</t>
        </is>
      </c>
      <c r="L84" s="46" t="n">
        <v>55.52</v>
      </c>
      <c r="M84" t="inlineStr">
        <is>
          <t>Moderate</t>
        </is>
      </c>
      <c r="N84" s="87" t="n">
        <v>25</v>
      </c>
      <c r="O84" s="87" t="n">
        <v>0</v>
      </c>
      <c r="P84" s="87" t="n">
        <v>0</v>
      </c>
      <c r="Q84" s="87" t="n">
        <v>0</v>
      </c>
      <c r="R84" s="87" t="n">
        <v>0</v>
      </c>
      <c r="S84" s="47" t="n">
        <v>2.3</v>
      </c>
      <c r="T84" s="47" t="n">
        <v>66</v>
      </c>
      <c r="U84" s="47" t="n"/>
      <c r="V84" s="87" t="n">
        <v>1</v>
      </c>
      <c r="W84" s="87" t="n">
        <v>0</v>
      </c>
      <c r="Y84" t="inlineStr">
        <is>
          <t>Mar</t>
        </is>
      </c>
      <c r="Z84" s="87" t="n">
        <v>2024</v>
      </c>
      <c r="AA84" s="47">
        <f>IF(F84="",0,F84)</f>
        <v/>
      </c>
      <c r="AB84" s="87">
        <f>IF(AA84&gt;=0.1,1,0)</f>
        <v/>
      </c>
      <c r="AC84" s="87" t="n">
        <v>0</v>
      </c>
      <c r="AD84" s="47">
        <f>IF(U84="",0,U84)</f>
        <v/>
      </c>
      <c r="AE84" s="87">
        <f>IF(OR(V84=1,W84=1),1,0)</f>
        <v/>
      </c>
      <c r="AF84" s="87" t="n">
        <v>0</v>
      </c>
      <c r="AG84" t="n">
        <v>12376</v>
      </c>
      <c r="AH84" t="n">
        <v>111124</v>
      </c>
      <c r="AI84" t="n">
        <v>0</v>
      </c>
      <c r="AJ84" s="88">
        <f>IF(OR(AG84&lt;=0,AH84&lt;=0),"",LN(AG84)-LN(AH84))</f>
        <v/>
      </c>
      <c r="AK84" t="n">
        <v>25676</v>
      </c>
      <c r="AL84" t="n">
        <v>97824</v>
      </c>
      <c r="AM84" s="88">
        <f>IF(OR(AK84&lt;=0,AL84&lt;=0),"",LN(AK84)-LN(AL84))</f>
        <v/>
      </c>
      <c r="AN84" t="n">
        <v>11977</v>
      </c>
      <c r="AO84" t="n">
        <v>107743</v>
      </c>
      <c r="AP84" s="88">
        <f>IF(OR(AN84&lt;=0,AO84&lt;=0),"",LN(AN84)-LN(AO84))</f>
        <v/>
      </c>
      <c r="AQ84" t="n">
        <v>12065</v>
      </c>
      <c r="AR84" t="n">
        <v>111124</v>
      </c>
      <c r="AS84" s="88">
        <f>IF(OR(AQ84&lt;=0,AR84&lt;=0),"",LN(AQ84)-LN(AR84))</f>
        <v/>
      </c>
      <c r="AT84" t="n">
        <v>11019</v>
      </c>
      <c r="AU84" t="n">
        <v>111520</v>
      </c>
      <c r="AV84" t="n">
        <v>1013</v>
      </c>
      <c r="AW84" t="n">
        <v>2068</v>
      </c>
      <c r="AX84" t="n">
        <v>10136</v>
      </c>
      <c r="AY84" s="88">
        <f>IF(OR(AT84&lt;=0,AU84&lt;=0),"",LN(AT84)-LN(AU84))</f>
        <v/>
      </c>
      <c r="AZ84" s="46" t="n">
        <v>8.199999999999999</v>
      </c>
      <c r="BA84" s="46" t="n">
        <v>19.2</v>
      </c>
      <c r="BB84" s="47" t="n">
        <v>6.4</v>
      </c>
    </row>
    <row r="85">
      <c r="A85" s="48" t="n">
        <v>45375</v>
      </c>
      <c r="B85" s="49" t="n">
        <v>142055</v>
      </c>
      <c r="C85" s="50" t="n">
        <v>15.84</v>
      </c>
      <c r="D85" s="51" t="inlineStr">
        <is>
          <t>Moderate</t>
        </is>
      </c>
      <c r="E85" s="52" t="n">
        <v>16.2</v>
      </c>
      <c r="F85" s="52" t="n"/>
      <c r="G85" s="51" t="inlineStr">
        <is>
          <t>Sun</t>
        </is>
      </c>
      <c r="H85" s="51" t="inlineStr">
        <is>
          <t>Weekend</t>
        </is>
      </c>
      <c r="I85" s="51" t="inlineStr">
        <is>
          <t>Spring</t>
        </is>
      </c>
      <c r="J85" s="51" t="n">
        <v>25</v>
      </c>
      <c r="K85" s="51" t="inlineStr">
        <is>
          <t>강수량 공란</t>
        </is>
      </c>
      <c r="L85" s="46" t="n">
        <v>33.4</v>
      </c>
      <c r="M85" t="inlineStr">
        <is>
          <t>Moderate</t>
        </is>
      </c>
      <c r="N85" s="87" t="n">
        <v>25</v>
      </c>
      <c r="O85" s="87" t="n">
        <v>0</v>
      </c>
      <c r="P85" s="87" t="n">
        <v>0</v>
      </c>
      <c r="Q85" s="87" t="n">
        <v>0</v>
      </c>
      <c r="R85" s="87" t="n">
        <v>0</v>
      </c>
      <c r="S85" s="47" t="n">
        <v>2.4</v>
      </c>
      <c r="T85" s="47" t="n">
        <v>42.5</v>
      </c>
      <c r="U85" s="47" t="n"/>
      <c r="V85" s="87" t="n">
        <v>1</v>
      </c>
      <c r="W85" s="87" t="n">
        <v>0</v>
      </c>
      <c r="Y85" t="inlineStr">
        <is>
          <t>Mar</t>
        </is>
      </c>
      <c r="Z85" s="87" t="n">
        <v>2024</v>
      </c>
      <c r="AA85" s="47">
        <f>IF(F85="",0,F85)</f>
        <v/>
      </c>
      <c r="AB85" s="87">
        <f>IF(AA85&gt;=0.1,1,0)</f>
        <v/>
      </c>
      <c r="AC85" s="87" t="n">
        <v>0</v>
      </c>
      <c r="AD85" s="47">
        <f>IF(U85="",0,U85)</f>
        <v/>
      </c>
      <c r="AE85" s="87">
        <f>IF(OR(V85=1,W85=1),1,0)</f>
        <v/>
      </c>
      <c r="AF85" s="87" t="n">
        <v>0</v>
      </c>
      <c r="AG85" t="n">
        <v>18018</v>
      </c>
      <c r="AH85" t="n">
        <v>124037</v>
      </c>
      <c r="AI85" t="n">
        <v>0</v>
      </c>
      <c r="AJ85" s="88">
        <f>IF(OR(AG85&lt;=0,AH85&lt;=0),"",LN(AG85)-LN(AH85))</f>
        <v/>
      </c>
      <c r="AK85" t="n">
        <v>34125</v>
      </c>
      <c r="AL85" t="n">
        <v>107930</v>
      </c>
      <c r="AM85" s="88">
        <f>IF(OR(AK85&lt;=0,AL85&lt;=0),"",LN(AK85)-LN(AL85))</f>
        <v/>
      </c>
      <c r="AN85" t="n">
        <v>17386</v>
      </c>
      <c r="AO85" t="n">
        <v>120499</v>
      </c>
      <c r="AP85" s="88">
        <f>IF(OR(AN85&lt;=0,AO85&lt;=0),"",LN(AN85)-LN(AO85))</f>
        <v/>
      </c>
      <c r="AQ85" t="n">
        <v>17434</v>
      </c>
      <c r="AR85" t="n">
        <v>124037</v>
      </c>
      <c r="AS85" s="88">
        <f>IF(OR(AQ85&lt;=0,AR85&lt;=0),"",LN(AQ85)-LN(AR85))</f>
        <v/>
      </c>
      <c r="AT85" t="n">
        <v>15224</v>
      </c>
      <c r="AU85" t="n">
        <v>125618</v>
      </c>
      <c r="AV85" t="n">
        <v>1303</v>
      </c>
      <c r="AW85" t="n">
        <v>3133</v>
      </c>
      <c r="AX85" t="n">
        <v>14614</v>
      </c>
      <c r="AY85" s="88">
        <f>IF(OR(AT85&lt;=0,AU85&lt;=0),"",LN(AT85)-LN(AU85))</f>
        <v/>
      </c>
      <c r="AZ85" s="46" t="n">
        <v>8.1</v>
      </c>
      <c r="BA85" s="46" t="n">
        <v>19.89</v>
      </c>
      <c r="BB85" s="47" t="n">
        <v>4.9</v>
      </c>
    </row>
    <row r="86">
      <c r="A86" s="48" t="n">
        <v>45376</v>
      </c>
      <c r="B86" s="49" t="n">
        <v>58723</v>
      </c>
      <c r="C86" s="50" t="n">
        <v>7.24</v>
      </c>
      <c r="D86" s="51" t="inlineStr">
        <is>
          <t>Good</t>
        </is>
      </c>
      <c r="E86" s="52" t="n">
        <v>10.6</v>
      </c>
      <c r="F86" s="52" t="n">
        <v>5.1</v>
      </c>
      <c r="G86" s="51" t="inlineStr">
        <is>
          <t>Mon</t>
        </is>
      </c>
      <c r="H86" s="51" t="inlineStr">
        <is>
          <t>Weekday</t>
        </is>
      </c>
      <c r="I86" s="51" t="inlineStr">
        <is>
          <t>Spring</t>
        </is>
      </c>
      <c r="J86" s="51" t="n">
        <v>25</v>
      </c>
      <c r="K86" s="51" t="inlineStr">
        <is>
          <t>OK</t>
        </is>
      </c>
      <c r="L86" s="46" t="n">
        <v>17.44</v>
      </c>
      <c r="M86" t="inlineStr">
        <is>
          <t>Good</t>
        </is>
      </c>
      <c r="N86" s="87" t="n">
        <v>25</v>
      </c>
      <c r="O86" s="87" t="n">
        <v>0</v>
      </c>
      <c r="P86" s="87" t="n">
        <v>0</v>
      </c>
      <c r="Q86" s="87" t="n">
        <v>0</v>
      </c>
      <c r="R86" s="87" t="n">
        <v>0</v>
      </c>
      <c r="S86" s="47" t="n">
        <v>4</v>
      </c>
      <c r="T86" s="47" t="n">
        <v>63</v>
      </c>
      <c r="U86" s="47" t="n"/>
      <c r="V86" s="87" t="n">
        <v>0</v>
      </c>
      <c r="W86" s="87" t="n">
        <v>0</v>
      </c>
      <c r="Y86" t="inlineStr">
        <is>
          <t>Mar</t>
        </is>
      </c>
      <c r="Z86" s="87" t="n">
        <v>2024</v>
      </c>
      <c r="AA86" s="47">
        <f>IF(F86="",0,F86)</f>
        <v/>
      </c>
      <c r="AB86" s="87">
        <f>IF(AA86&gt;=0.1,1,0)</f>
        <v/>
      </c>
      <c r="AC86" s="87" t="n">
        <v>0</v>
      </c>
      <c r="AD86" s="47">
        <f>IF(U86="",0,U86)</f>
        <v/>
      </c>
      <c r="AE86" s="87">
        <f>IF(OR(V86=1,W86=1),1,0)</f>
        <v/>
      </c>
      <c r="AF86" s="87" t="n">
        <v>0</v>
      </c>
      <c r="AG86" t="n">
        <v>3253</v>
      </c>
      <c r="AH86" t="n">
        <v>55470</v>
      </c>
      <c r="AI86" t="n">
        <v>0</v>
      </c>
      <c r="AJ86" s="88">
        <f>IF(OR(AG86&lt;=0,AH86&lt;=0),"",LN(AG86)-LN(AH86))</f>
        <v/>
      </c>
      <c r="AK86" t="n">
        <v>8428</v>
      </c>
      <c r="AL86" t="n">
        <v>50295</v>
      </c>
      <c r="AM86" s="88">
        <f>IF(OR(AK86&lt;=0,AL86&lt;=0),"",LN(AK86)-LN(AL86))</f>
        <v/>
      </c>
      <c r="AN86" t="n">
        <v>3174</v>
      </c>
      <c r="AO86" t="n">
        <v>53637</v>
      </c>
      <c r="AP86" s="88">
        <f>IF(OR(AN86&lt;=0,AO86&lt;=0),"",LN(AN86)-LN(AO86))</f>
        <v/>
      </c>
      <c r="AQ86" t="n">
        <v>3159</v>
      </c>
      <c r="AR86" t="n">
        <v>55470</v>
      </c>
      <c r="AS86" s="88">
        <f>IF(OR(AQ86&lt;=0,AR86&lt;=0),"",LN(AQ86)-LN(AR86))</f>
        <v/>
      </c>
      <c r="AT86" t="n">
        <v>2876</v>
      </c>
      <c r="AU86" t="n">
        <v>55446</v>
      </c>
      <c r="AV86" t="n">
        <v>426</v>
      </c>
      <c r="AW86" t="n">
        <v>209</v>
      </c>
      <c r="AX86" t="n">
        <v>3009</v>
      </c>
      <c r="AY86" s="88">
        <f>IF(OR(AT86&lt;=0,AU86&lt;=0),"",LN(AT86)-LN(AU86))</f>
        <v/>
      </c>
      <c r="AZ86" s="46" t="n">
        <v>0</v>
      </c>
      <c r="BA86" s="46" t="n">
        <v>4.68</v>
      </c>
      <c r="BB86" s="47" t="n">
        <v>9.6</v>
      </c>
    </row>
    <row r="87">
      <c r="A87" s="48" t="n">
        <v>45377</v>
      </c>
      <c r="B87" s="49" t="n">
        <v>87487</v>
      </c>
      <c r="C87" s="50" t="n">
        <v>3.04</v>
      </c>
      <c r="D87" s="51" t="inlineStr">
        <is>
          <t>Good</t>
        </is>
      </c>
      <c r="E87" s="52" t="n">
        <v>7.4</v>
      </c>
      <c r="F87" s="52" t="n">
        <v>11.5</v>
      </c>
      <c r="G87" s="51" t="inlineStr">
        <is>
          <t>Tue</t>
        </is>
      </c>
      <c r="H87" s="51" t="inlineStr">
        <is>
          <t>Weekday</t>
        </is>
      </c>
      <c r="I87" s="51" t="inlineStr">
        <is>
          <t>Spring</t>
        </is>
      </c>
      <c r="J87" s="51" t="n">
        <v>25</v>
      </c>
      <c r="K87" s="51" t="inlineStr">
        <is>
          <t>OK</t>
        </is>
      </c>
      <c r="L87" s="46" t="n">
        <v>7.04</v>
      </c>
      <c r="M87" t="inlineStr">
        <is>
          <t>Good</t>
        </is>
      </c>
      <c r="N87" s="87" t="n">
        <v>25</v>
      </c>
      <c r="O87" s="87" t="n">
        <v>0</v>
      </c>
      <c r="P87" s="87" t="n">
        <v>0</v>
      </c>
      <c r="Q87" s="87" t="n">
        <v>0</v>
      </c>
      <c r="R87" s="87" t="n">
        <v>0</v>
      </c>
      <c r="S87" s="47" t="n">
        <v>2.6</v>
      </c>
      <c r="T87" s="47" t="n">
        <v>77.3</v>
      </c>
      <c r="U87" s="47" t="n"/>
      <c r="V87" s="87" t="n">
        <v>0</v>
      </c>
      <c r="W87" s="87" t="n">
        <v>0</v>
      </c>
      <c r="Y87" t="inlineStr">
        <is>
          <t>Mar</t>
        </is>
      </c>
      <c r="Z87" s="87" t="n">
        <v>2024</v>
      </c>
      <c r="AA87" s="47">
        <f>IF(F87="",0,F87)</f>
        <v/>
      </c>
      <c r="AB87" s="87">
        <f>IF(AA87&gt;=0.1,1,0)</f>
        <v/>
      </c>
      <c r="AC87" s="87" t="n">
        <v>0</v>
      </c>
      <c r="AD87" s="47">
        <f>IF(U87="",0,U87)</f>
        <v/>
      </c>
      <c r="AE87" s="87">
        <f>IF(OR(V87=1,W87=1),1,0)</f>
        <v/>
      </c>
      <c r="AF87" s="87" t="n">
        <v>0</v>
      </c>
      <c r="AG87" t="n">
        <v>4846</v>
      </c>
      <c r="AH87" t="n">
        <v>82641</v>
      </c>
      <c r="AI87" t="n">
        <v>0</v>
      </c>
      <c r="AJ87" s="88">
        <f>IF(OR(AG87&lt;=0,AH87&lt;=0),"",LN(AG87)-LN(AH87))</f>
        <v/>
      </c>
      <c r="AK87" t="n">
        <v>13430</v>
      </c>
      <c r="AL87" t="n">
        <v>74057</v>
      </c>
      <c r="AM87" s="88">
        <f>IF(OR(AK87&lt;=0,AL87&lt;=0),"",LN(AK87)-LN(AL87))</f>
        <v/>
      </c>
      <c r="AN87" t="n">
        <v>4687</v>
      </c>
      <c r="AO87" t="n">
        <v>80134</v>
      </c>
      <c r="AP87" s="88">
        <f>IF(OR(AN87&lt;=0,AO87&lt;=0),"",LN(AN87)-LN(AO87))</f>
        <v/>
      </c>
      <c r="AQ87" t="n">
        <v>4755</v>
      </c>
      <c r="AR87" t="n">
        <v>82641</v>
      </c>
      <c r="AS87" s="88">
        <f>IF(OR(AQ87&lt;=0,AR87&lt;=0),"",LN(AQ87)-LN(AR87))</f>
        <v/>
      </c>
      <c r="AT87" t="n">
        <v>5800</v>
      </c>
      <c r="AU87" t="n">
        <v>81077</v>
      </c>
      <c r="AV87" t="n">
        <v>641</v>
      </c>
      <c r="AW87" t="n">
        <v>505</v>
      </c>
      <c r="AX87" t="n">
        <v>4290</v>
      </c>
      <c r="AY87" s="88">
        <f>IF(OR(AT87&lt;=0,AU87&lt;=0),"",LN(AT87)-LN(AU87))</f>
        <v/>
      </c>
      <c r="AZ87" s="46" t="n">
        <v>2.3</v>
      </c>
      <c r="BA87" s="46" t="n">
        <v>13.76</v>
      </c>
      <c r="BB87" s="47" t="n">
        <v>6.1</v>
      </c>
    </row>
    <row r="88">
      <c r="A88" s="48" t="n">
        <v>45378</v>
      </c>
      <c r="B88" s="49" t="n">
        <v>141391</v>
      </c>
      <c r="C88" s="50" t="n">
        <v>15.2</v>
      </c>
      <c r="D88" s="51" t="inlineStr">
        <is>
          <t>Moderate</t>
        </is>
      </c>
      <c r="E88" s="52" t="n">
        <v>10.4</v>
      </c>
      <c r="F88" s="52" t="n"/>
      <c r="G88" s="51" t="inlineStr">
        <is>
          <t>Wed</t>
        </is>
      </c>
      <c r="H88" s="51" t="inlineStr">
        <is>
          <t>Weekday</t>
        </is>
      </c>
      <c r="I88" s="51" t="inlineStr">
        <is>
          <t>Spring</t>
        </is>
      </c>
      <c r="J88" s="51" t="n">
        <v>25</v>
      </c>
      <c r="K88" s="51" t="inlineStr">
        <is>
          <t>강수량 공란</t>
        </is>
      </c>
      <c r="L88" s="46" t="n">
        <v>24.52</v>
      </c>
      <c r="M88" t="inlineStr">
        <is>
          <t>Good</t>
        </is>
      </c>
      <c r="N88" s="87" t="n">
        <v>25</v>
      </c>
      <c r="O88" s="87" t="n">
        <v>0</v>
      </c>
      <c r="P88" s="87" t="n">
        <v>0</v>
      </c>
      <c r="Q88" s="87" t="n">
        <v>0</v>
      </c>
      <c r="R88" s="87" t="n">
        <v>0</v>
      </c>
      <c r="S88" s="47" t="n">
        <v>2</v>
      </c>
      <c r="T88" s="47" t="n">
        <v>68.40000000000001</v>
      </c>
      <c r="U88" s="47" t="n"/>
      <c r="V88" s="87" t="n">
        <v>0</v>
      </c>
      <c r="W88" s="87" t="n">
        <v>0</v>
      </c>
      <c r="Y88" t="inlineStr">
        <is>
          <t>Mar</t>
        </is>
      </c>
      <c r="Z88" s="87" t="n">
        <v>2024</v>
      </c>
      <c r="AA88" s="47">
        <f>IF(F88="",0,F88)</f>
        <v/>
      </c>
      <c r="AB88" s="87">
        <f>IF(AA88&gt;=0.1,1,0)</f>
        <v/>
      </c>
      <c r="AC88" s="87" t="n">
        <v>0</v>
      </c>
      <c r="AD88" s="47">
        <f>IF(U88="",0,U88)</f>
        <v/>
      </c>
      <c r="AE88" s="87">
        <f>IF(OR(V88=1,W88=1),1,0)</f>
        <v/>
      </c>
      <c r="AF88" s="87" t="n">
        <v>0</v>
      </c>
      <c r="AG88" t="n">
        <v>8184</v>
      </c>
      <c r="AH88" t="n">
        <v>133207</v>
      </c>
      <c r="AI88" t="n">
        <v>0</v>
      </c>
      <c r="AJ88" s="88">
        <f>IF(OR(AG88&lt;=0,AH88&lt;=0),"",LN(AG88)-LN(AH88))</f>
        <v/>
      </c>
      <c r="AK88" t="n">
        <v>21597</v>
      </c>
      <c r="AL88" t="n">
        <v>119794</v>
      </c>
      <c r="AM88" s="88">
        <f>IF(OR(AK88&lt;=0,AL88&lt;=0),"",LN(AK88)-LN(AL88))</f>
        <v/>
      </c>
      <c r="AN88" t="n">
        <v>7914</v>
      </c>
      <c r="AO88" t="n">
        <v>129235</v>
      </c>
      <c r="AP88" s="88">
        <f>IF(OR(AN88&lt;=0,AO88&lt;=0),"",LN(AN88)-LN(AO88))</f>
        <v/>
      </c>
      <c r="AQ88" t="n">
        <v>7996</v>
      </c>
      <c r="AR88" t="n">
        <v>133207</v>
      </c>
      <c r="AS88" s="88">
        <f>IF(OR(AQ88&lt;=0,AR88&lt;=0),"",LN(AQ88)-LN(AR88))</f>
        <v/>
      </c>
      <c r="AT88" t="n">
        <v>7866</v>
      </c>
      <c r="AU88" t="n">
        <v>132608</v>
      </c>
      <c r="AV88" t="n">
        <v>969</v>
      </c>
      <c r="AW88" t="n">
        <v>783</v>
      </c>
      <c r="AX88" t="n">
        <v>7338</v>
      </c>
      <c r="AY88" s="88">
        <f>IF(OR(AT88&lt;=0,AU88&lt;=0),"",LN(AT88)-LN(AU88))</f>
        <v/>
      </c>
      <c r="AZ88" s="46" t="n">
        <v>8.800000000000001</v>
      </c>
      <c r="BA88" s="46" t="n">
        <v>18.46</v>
      </c>
      <c r="BB88" s="47" t="n">
        <v>5.3</v>
      </c>
    </row>
    <row r="89">
      <c r="A89" s="48" t="n">
        <v>45379</v>
      </c>
      <c r="B89" s="49" t="n">
        <v>88255</v>
      </c>
      <c r="C89" s="50" t="n">
        <v>15.56</v>
      </c>
      <c r="D89" s="51" t="inlineStr">
        <is>
          <t>Moderate</t>
        </is>
      </c>
      <c r="E89" s="52" t="n">
        <v>10.3</v>
      </c>
      <c r="F89" s="52" t="n">
        <v>1.9</v>
      </c>
      <c r="G89" s="51" t="inlineStr">
        <is>
          <t>Thu</t>
        </is>
      </c>
      <c r="H89" s="51" t="inlineStr">
        <is>
          <t>Weekday</t>
        </is>
      </c>
      <c r="I89" s="51" t="inlineStr">
        <is>
          <t>Spring</t>
        </is>
      </c>
      <c r="J89" s="51" t="n">
        <v>25</v>
      </c>
      <c r="K89" s="51" t="inlineStr">
        <is>
          <t>OK</t>
        </is>
      </c>
      <c r="L89" s="46" t="n">
        <v>30.48</v>
      </c>
      <c r="M89" t="inlineStr">
        <is>
          <t>Moderate</t>
        </is>
      </c>
      <c r="N89" s="87" t="n">
        <v>25</v>
      </c>
      <c r="O89" s="87" t="n">
        <v>0</v>
      </c>
      <c r="P89" s="87" t="n">
        <v>0</v>
      </c>
      <c r="Q89" s="87" t="n">
        <v>0</v>
      </c>
      <c r="R89" s="87" t="n">
        <v>0</v>
      </c>
      <c r="S89" s="47" t="n">
        <v>1.8</v>
      </c>
      <c r="T89" s="47" t="n">
        <v>81.8</v>
      </c>
      <c r="U89" s="47" t="n"/>
      <c r="V89" s="87" t="n">
        <v>0</v>
      </c>
      <c r="W89" s="87" t="n">
        <v>0</v>
      </c>
      <c r="Y89" t="inlineStr">
        <is>
          <t>Mar</t>
        </is>
      </c>
      <c r="Z89" s="87" t="n">
        <v>2024</v>
      </c>
      <c r="AA89" s="47">
        <f>IF(F89="",0,F89)</f>
        <v/>
      </c>
      <c r="AB89" s="87">
        <f>IF(AA89&gt;=0.1,1,0)</f>
        <v/>
      </c>
      <c r="AC89" s="87" t="n">
        <v>0</v>
      </c>
      <c r="AD89" s="47">
        <f>IF(U89="",0,U89)</f>
        <v/>
      </c>
      <c r="AE89" s="87">
        <f>IF(OR(V89=1,W89=1),1,0)</f>
        <v/>
      </c>
      <c r="AF89" s="87" t="n">
        <v>0</v>
      </c>
      <c r="AG89" t="n">
        <v>4080</v>
      </c>
      <c r="AH89" t="n">
        <v>84175</v>
      </c>
      <c r="AI89" t="n">
        <v>0</v>
      </c>
      <c r="AJ89" s="88">
        <f>IF(OR(AG89&lt;=0,AH89&lt;=0),"",LN(AG89)-LN(AH89))</f>
        <v/>
      </c>
      <c r="AK89" t="n">
        <v>11557</v>
      </c>
      <c r="AL89" t="n">
        <v>76698</v>
      </c>
      <c r="AM89" s="88">
        <f>IF(OR(AK89&lt;=0,AL89&lt;=0),"",LN(AK89)-LN(AL89))</f>
        <v/>
      </c>
      <c r="AN89" t="n">
        <v>3961</v>
      </c>
      <c r="AO89" t="n">
        <v>81375</v>
      </c>
      <c r="AP89" s="88">
        <f>IF(OR(AN89&lt;=0,AO89&lt;=0),"",LN(AN89)-LN(AO89))</f>
        <v/>
      </c>
      <c r="AQ89" t="n">
        <v>3975</v>
      </c>
      <c r="AR89" t="n">
        <v>84175</v>
      </c>
      <c r="AS89" s="88">
        <f>IF(OR(AQ89&lt;=0,AR89&lt;=0),"",LN(AQ89)-LN(AR89))</f>
        <v/>
      </c>
      <c r="AT89" t="n">
        <v>4194</v>
      </c>
      <c r="AU89" t="n">
        <v>83403</v>
      </c>
      <c r="AV89" t="n">
        <v>703</v>
      </c>
      <c r="AW89" t="n">
        <v>274</v>
      </c>
      <c r="AX89" t="n">
        <v>3775</v>
      </c>
      <c r="AY89" s="88">
        <f>IF(OR(AT89&lt;=0,AU89&lt;=0),"",LN(AT89)-LN(AU89))</f>
        <v/>
      </c>
      <c r="AZ89" s="46" t="n">
        <v>0</v>
      </c>
      <c r="BA89" s="46" t="n">
        <v>4.13</v>
      </c>
      <c r="BB89" s="47" t="n">
        <v>8.5</v>
      </c>
    </row>
    <row r="90">
      <c r="A90" s="48" t="n">
        <v>45380</v>
      </c>
      <c r="B90" s="49" t="n">
        <v>91980</v>
      </c>
      <c r="C90" s="50" t="n">
        <v>40.72</v>
      </c>
      <c r="D90" s="51" t="inlineStr">
        <is>
          <t>Bad</t>
        </is>
      </c>
      <c r="E90" s="52" t="n">
        <v>7.6</v>
      </c>
      <c r="F90" s="52" t="n">
        <v>1.4</v>
      </c>
      <c r="G90" s="51" t="inlineStr">
        <is>
          <t>Fri</t>
        </is>
      </c>
      <c r="H90" s="51" t="inlineStr">
        <is>
          <t>Weekday</t>
        </is>
      </c>
      <c r="I90" s="51" t="inlineStr">
        <is>
          <t>Spring</t>
        </is>
      </c>
      <c r="J90" s="51" t="n">
        <v>25</v>
      </c>
      <c r="K90" s="51" t="inlineStr">
        <is>
          <t>OK</t>
        </is>
      </c>
      <c r="L90" s="46" t="n">
        <v>230.52</v>
      </c>
      <c r="M90" t="inlineStr">
        <is>
          <t>Very Bad</t>
        </is>
      </c>
      <c r="N90" s="87" t="n">
        <v>25</v>
      </c>
      <c r="O90" s="87" t="n">
        <v>1</v>
      </c>
      <c r="P90" s="87" t="n">
        <v>1</v>
      </c>
      <c r="Q90" s="87" t="n">
        <v>1</v>
      </c>
      <c r="R90" s="87" t="n">
        <v>1</v>
      </c>
      <c r="S90" s="47" t="n">
        <v>2.8</v>
      </c>
      <c r="T90" s="47" t="n">
        <v>73</v>
      </c>
      <c r="U90" s="47" t="n"/>
      <c r="V90" s="87" t="n">
        <v>0</v>
      </c>
      <c r="W90" s="87" t="n">
        <v>0</v>
      </c>
      <c r="Y90" t="inlineStr">
        <is>
          <t>Mar</t>
        </is>
      </c>
      <c r="Z90" s="87" t="n">
        <v>2024</v>
      </c>
      <c r="AA90" s="47">
        <f>IF(F90="",0,F90)</f>
        <v/>
      </c>
      <c r="AB90" s="87">
        <f>IF(AA90&gt;=0.1,1,0)</f>
        <v/>
      </c>
      <c r="AC90" s="87" t="n">
        <v>0</v>
      </c>
      <c r="AD90" s="47">
        <f>IF(U90="",0,U90)</f>
        <v/>
      </c>
      <c r="AE90" s="87">
        <f>IF(OR(V90=1,W90=1),1,0)</f>
        <v/>
      </c>
      <c r="AF90" s="87" t="n">
        <v>0</v>
      </c>
      <c r="AG90" t="n">
        <v>4530</v>
      </c>
      <c r="AH90" t="n">
        <v>87450</v>
      </c>
      <c r="AI90" t="n">
        <v>0</v>
      </c>
      <c r="AJ90" s="88">
        <f>IF(OR(AG90&lt;=0,AH90&lt;=0),"",LN(AG90)-LN(AH90))</f>
        <v/>
      </c>
      <c r="AK90" t="n">
        <v>12662</v>
      </c>
      <c r="AL90" t="n">
        <v>79318</v>
      </c>
      <c r="AM90" s="88">
        <f>IF(OR(AK90&lt;=0,AL90&lt;=0),"",LN(AK90)-LN(AL90))</f>
        <v/>
      </c>
      <c r="AN90" t="n">
        <v>4399</v>
      </c>
      <c r="AO90" t="n">
        <v>84699</v>
      </c>
      <c r="AP90" s="88">
        <f>IF(OR(AN90&lt;=0,AO90&lt;=0),"",LN(AN90)-LN(AO90))</f>
        <v/>
      </c>
      <c r="AQ90" t="n">
        <v>4398</v>
      </c>
      <c r="AR90" t="n">
        <v>87450</v>
      </c>
      <c r="AS90" s="88">
        <f>IF(OR(AQ90&lt;=0,AR90&lt;=0),"",LN(AQ90)-LN(AR90))</f>
        <v/>
      </c>
      <c r="AT90" t="n">
        <v>4519</v>
      </c>
      <c r="AU90" t="n">
        <v>86830</v>
      </c>
      <c r="AV90" t="n">
        <v>666</v>
      </c>
      <c r="AW90" t="n">
        <v>358</v>
      </c>
      <c r="AX90" t="n">
        <v>4139</v>
      </c>
      <c r="AY90" s="88">
        <f>IF(OR(AT90&lt;=0,AU90&lt;=0),"",LN(AT90)-LN(AU90))</f>
        <v/>
      </c>
      <c r="AZ90" s="46" t="n">
        <v>2.5</v>
      </c>
      <c r="BA90" s="46" t="n">
        <v>6.68</v>
      </c>
      <c r="BB90" s="47" t="n">
        <v>4.8</v>
      </c>
    </row>
    <row r="91">
      <c r="A91" s="48" t="n">
        <v>45381</v>
      </c>
      <c r="B91" s="49" t="n">
        <v>111703</v>
      </c>
      <c r="C91" s="50" t="n">
        <v>22.28</v>
      </c>
      <c r="D91" s="51" t="inlineStr">
        <is>
          <t>Moderate</t>
        </is>
      </c>
      <c r="E91" s="52" t="n">
        <v>8.800000000000001</v>
      </c>
      <c r="F91" s="52" t="n"/>
      <c r="G91" s="51" t="inlineStr">
        <is>
          <t>Sat</t>
        </is>
      </c>
      <c r="H91" s="51" t="inlineStr">
        <is>
          <t>Weekend</t>
        </is>
      </c>
      <c r="I91" s="51" t="inlineStr">
        <is>
          <t>Spring</t>
        </is>
      </c>
      <c r="J91" s="51" t="n">
        <v>25</v>
      </c>
      <c r="K91" s="51" t="inlineStr">
        <is>
          <t>강수량 공란</t>
        </is>
      </c>
      <c r="L91" s="46" t="n">
        <v>89</v>
      </c>
      <c r="M91" t="inlineStr">
        <is>
          <t>Bad</t>
        </is>
      </c>
      <c r="N91" s="87" t="n">
        <v>25</v>
      </c>
      <c r="O91" s="87" t="n">
        <v>0</v>
      </c>
      <c r="P91" s="87" t="n">
        <v>0</v>
      </c>
      <c r="Q91" s="87" t="n">
        <v>0</v>
      </c>
      <c r="R91" s="87" t="n">
        <v>0</v>
      </c>
      <c r="S91" s="47" t="n">
        <v>2.4</v>
      </c>
      <c r="T91" s="47" t="n">
        <v>56.5</v>
      </c>
      <c r="U91" s="47" t="n"/>
      <c r="V91" s="87" t="n">
        <v>1</v>
      </c>
      <c r="W91" s="87" t="n">
        <v>0</v>
      </c>
      <c r="Y91" t="inlineStr">
        <is>
          <t>Mar</t>
        </is>
      </c>
      <c r="Z91" s="87" t="n">
        <v>2024</v>
      </c>
      <c r="AA91" s="47">
        <f>IF(F91="",0,F91)</f>
        <v/>
      </c>
      <c r="AB91" s="87">
        <f>IF(AA91&gt;=0.1,1,0)</f>
        <v/>
      </c>
      <c r="AC91" s="87" t="n">
        <v>0</v>
      </c>
      <c r="AD91" s="47">
        <f>IF(U91="",0,U91)</f>
        <v/>
      </c>
      <c r="AE91" s="87">
        <f>IF(OR(V91=1,W91=1),1,0)</f>
        <v/>
      </c>
      <c r="AF91" s="87" t="n">
        <v>0</v>
      </c>
      <c r="AG91" t="n">
        <v>8439</v>
      </c>
      <c r="AH91" t="n">
        <v>103264</v>
      </c>
      <c r="AI91" t="n">
        <v>0</v>
      </c>
      <c r="AJ91" s="88">
        <f>IF(OR(AG91&lt;=0,AH91&lt;=0),"",LN(AG91)-LN(AH91))</f>
        <v/>
      </c>
      <c r="AK91" t="n">
        <v>19268</v>
      </c>
      <c r="AL91" t="n">
        <v>92435</v>
      </c>
      <c r="AM91" s="88">
        <f>IF(OR(AK91&lt;=0,AL91&lt;=0),"",LN(AK91)-LN(AL91))</f>
        <v/>
      </c>
      <c r="AN91" t="n">
        <v>8148</v>
      </c>
      <c r="AO91" t="n">
        <v>100216</v>
      </c>
      <c r="AP91" s="88">
        <f>IF(OR(AN91&lt;=0,AO91&lt;=0),"",LN(AN91)-LN(AO91))</f>
        <v/>
      </c>
      <c r="AQ91" t="n">
        <v>8198</v>
      </c>
      <c r="AR91" t="n">
        <v>103264</v>
      </c>
      <c r="AS91" s="88">
        <f>IF(OR(AQ91&lt;=0,AR91&lt;=0),"",LN(AQ91)-LN(AR91))</f>
        <v/>
      </c>
      <c r="AT91" t="n">
        <v>9189</v>
      </c>
      <c r="AU91" t="n">
        <v>101786</v>
      </c>
      <c r="AV91" t="n">
        <v>760</v>
      </c>
      <c r="AW91" t="n">
        <v>1303</v>
      </c>
      <c r="AX91" t="n">
        <v>7057</v>
      </c>
      <c r="AY91" s="88">
        <f>IF(OR(AT91&lt;=0,AU91&lt;=0),"",LN(AT91)-LN(AU91))</f>
        <v/>
      </c>
      <c r="AZ91" s="46" t="n">
        <v>5.4</v>
      </c>
      <c r="BA91" s="46" t="n">
        <v>16.07</v>
      </c>
      <c r="BB91" s="47" t="n">
        <v>3.9</v>
      </c>
    </row>
    <row r="92">
      <c r="A92" s="48" t="n">
        <v>45382</v>
      </c>
      <c r="B92" s="49" t="n">
        <v>126238</v>
      </c>
      <c r="C92" s="50" t="n">
        <v>11.36</v>
      </c>
      <c r="D92" s="51" t="inlineStr">
        <is>
          <t>Good</t>
        </is>
      </c>
      <c r="E92" s="52" t="n">
        <v>10.6</v>
      </c>
      <c r="F92" s="52" t="n"/>
      <c r="G92" s="51" t="inlineStr">
        <is>
          <t>Sun</t>
        </is>
      </c>
      <c r="H92" s="51" t="inlineStr">
        <is>
          <t>Weekend</t>
        </is>
      </c>
      <c r="I92" s="51" t="inlineStr">
        <is>
          <t>Spring</t>
        </is>
      </c>
      <c r="J92" s="51" t="n">
        <v>25</v>
      </c>
      <c r="K92" s="51" t="inlineStr">
        <is>
          <t>강수량 공란</t>
        </is>
      </c>
      <c r="L92" s="46" t="n">
        <v>41.32</v>
      </c>
      <c r="M92" t="inlineStr">
        <is>
          <t>Moderate</t>
        </is>
      </c>
      <c r="N92" s="87" t="n">
        <v>25</v>
      </c>
      <c r="O92" s="87" t="n">
        <v>0</v>
      </c>
      <c r="P92" s="87" t="n">
        <v>0</v>
      </c>
      <c r="Q92" s="87" t="n">
        <v>0</v>
      </c>
      <c r="R92" s="87" t="n">
        <v>0</v>
      </c>
      <c r="S92" s="47" t="n">
        <v>1.9</v>
      </c>
      <c r="T92" s="47" t="n">
        <v>39.9</v>
      </c>
      <c r="U92" s="47" t="n"/>
      <c r="V92" s="87" t="n">
        <v>1</v>
      </c>
      <c r="W92" s="87" t="n">
        <v>0</v>
      </c>
      <c r="Y92" t="inlineStr">
        <is>
          <t>Mar</t>
        </is>
      </c>
      <c r="Z92" s="87" t="n">
        <v>2024</v>
      </c>
      <c r="AA92" s="47">
        <f>IF(F92="",0,F92)</f>
        <v/>
      </c>
      <c r="AB92" s="87">
        <f>IF(AA92&gt;=0.1,1,0)</f>
        <v/>
      </c>
      <c r="AC92" s="87" t="n">
        <v>0</v>
      </c>
      <c r="AD92" s="47">
        <f>IF(U92="",0,U92)</f>
        <v/>
      </c>
      <c r="AE92" s="87">
        <f>IF(OR(V92=1,W92=1),1,0)</f>
        <v/>
      </c>
      <c r="AF92" s="87" t="n">
        <v>0</v>
      </c>
      <c r="AG92" t="n">
        <v>12960</v>
      </c>
      <c r="AH92" t="n">
        <v>113278</v>
      </c>
      <c r="AI92" t="n">
        <v>0</v>
      </c>
      <c r="AJ92" s="88">
        <f>IF(OR(AG92&lt;=0,AH92&lt;=0),"",LN(AG92)-LN(AH92))</f>
        <v/>
      </c>
      <c r="AK92" t="n">
        <v>26629</v>
      </c>
      <c r="AL92" t="n">
        <v>99609</v>
      </c>
      <c r="AM92" s="88">
        <f>IF(OR(AK92&lt;=0,AL92&lt;=0),"",LN(AK92)-LN(AL92))</f>
        <v/>
      </c>
      <c r="AN92" t="n">
        <v>12459</v>
      </c>
      <c r="AO92" t="n">
        <v>110053</v>
      </c>
      <c r="AP92" s="88">
        <f>IF(OR(AN92&lt;=0,AO92&lt;=0),"",LN(AN92)-LN(AO92))</f>
        <v/>
      </c>
      <c r="AQ92" t="n">
        <v>12514</v>
      </c>
      <c r="AR92" t="n">
        <v>113278</v>
      </c>
      <c r="AS92" s="88">
        <f>IF(OR(AQ92&lt;=0,AR92&lt;=0),"",LN(AQ92)-LN(AR92))</f>
        <v/>
      </c>
      <c r="AT92" t="n">
        <v>12727</v>
      </c>
      <c r="AU92" t="n">
        <v>112619</v>
      </c>
      <c r="AV92" t="n">
        <v>953</v>
      </c>
      <c r="AW92" t="n">
        <v>2134</v>
      </c>
      <c r="AX92" t="n">
        <v>10677</v>
      </c>
      <c r="AY92" s="88">
        <f>IF(OR(AT92&lt;=0,AU92&lt;=0),"",LN(AT92)-LN(AU92))</f>
        <v/>
      </c>
      <c r="AZ92" s="46" t="n">
        <v>10.1</v>
      </c>
      <c r="BA92" s="46" t="n">
        <v>22.79</v>
      </c>
      <c r="BB92" s="47" t="n">
        <v>1.6</v>
      </c>
    </row>
    <row r="93">
      <c r="A93" s="48" t="n">
        <v>45383</v>
      </c>
      <c r="B93" s="49" t="n">
        <v>149994</v>
      </c>
      <c r="C93" s="50" t="n">
        <v>13.96</v>
      </c>
      <c r="D93" s="51" t="inlineStr">
        <is>
          <t>Good</t>
        </is>
      </c>
      <c r="E93" s="52" t="n">
        <v>12.2</v>
      </c>
      <c r="F93" s="52" t="n"/>
      <c r="G93" s="51" t="inlineStr">
        <is>
          <t>Mon</t>
        </is>
      </c>
      <c r="H93" s="51" t="inlineStr">
        <is>
          <t>Weekday</t>
        </is>
      </c>
      <c r="I93" s="51" t="inlineStr">
        <is>
          <t>Spring</t>
        </is>
      </c>
      <c r="J93" s="51" t="n">
        <v>25</v>
      </c>
      <c r="K93" s="51" t="inlineStr">
        <is>
          <t>강수량 공란</t>
        </is>
      </c>
      <c r="L93" s="46" t="n">
        <v>42.84</v>
      </c>
      <c r="M93" t="inlineStr">
        <is>
          <t>Moderate</t>
        </is>
      </c>
      <c r="N93" s="87" t="n">
        <v>25</v>
      </c>
      <c r="O93" s="87" t="n">
        <v>0</v>
      </c>
      <c r="P93" s="87" t="n">
        <v>0</v>
      </c>
      <c r="Q93" s="87" t="n">
        <v>0</v>
      </c>
      <c r="R93" s="87" t="n">
        <v>0</v>
      </c>
      <c r="S93" s="47" t="n">
        <v>1.8</v>
      </c>
      <c r="T93" s="47" t="n">
        <v>32</v>
      </c>
      <c r="U93" s="47" t="n"/>
      <c r="V93" s="87" t="n">
        <v>0</v>
      </c>
      <c r="W93" s="87" t="n">
        <v>0</v>
      </c>
      <c r="Y93" t="inlineStr">
        <is>
          <t>Apr</t>
        </is>
      </c>
      <c r="Z93" s="87" t="n">
        <v>2024</v>
      </c>
      <c r="AA93" s="47">
        <f>IF(F93="",0,F93)</f>
        <v/>
      </c>
      <c r="AB93" s="87">
        <f>IF(AA93&gt;=0.1,1,0)</f>
        <v/>
      </c>
      <c r="AC93" s="87" t="n">
        <v>0</v>
      </c>
      <c r="AD93" s="47">
        <f>IF(U93="",0,U93)</f>
        <v/>
      </c>
      <c r="AE93" s="87">
        <f>IF(OR(V93=1,W93=1),1,0)</f>
        <v/>
      </c>
      <c r="AF93" s="87" t="n">
        <v>0</v>
      </c>
      <c r="AG93" t="n">
        <v>9830</v>
      </c>
      <c r="AH93" t="n">
        <v>140164</v>
      </c>
      <c r="AI93" t="n">
        <v>0</v>
      </c>
      <c r="AJ93" s="88">
        <f>IF(OR(AG93&lt;=0,AH93&lt;=0),"",LN(AG93)-LN(AH93))</f>
        <v/>
      </c>
      <c r="AK93" t="n">
        <v>24508</v>
      </c>
      <c r="AL93" t="n">
        <v>125486</v>
      </c>
      <c r="AM93" s="88">
        <f>IF(OR(AK93&lt;=0,AL93&lt;=0),"",LN(AK93)-LN(AL93))</f>
        <v/>
      </c>
      <c r="AN93" t="n">
        <v>9513</v>
      </c>
      <c r="AO93" t="n">
        <v>135945</v>
      </c>
      <c r="AP93" s="88">
        <f>IF(OR(AN93&lt;=0,AO93&lt;=0),"",LN(AN93)-LN(AO93))</f>
        <v/>
      </c>
      <c r="AQ93" t="n">
        <v>9579</v>
      </c>
      <c r="AR93" t="n">
        <v>140164</v>
      </c>
      <c r="AS93" s="88">
        <f>IF(OR(AQ93&lt;=0,AR93&lt;=0),"",LN(AQ93)-LN(AR93))</f>
        <v/>
      </c>
      <c r="AT93" t="n">
        <v>8960</v>
      </c>
      <c r="AU93" t="n">
        <v>140032</v>
      </c>
      <c r="AV93" t="n">
        <v>1065</v>
      </c>
      <c r="AW93" t="n">
        <v>1078</v>
      </c>
      <c r="AX93" t="n">
        <v>8652</v>
      </c>
      <c r="AY93" s="88">
        <f>IF(OR(AT93&lt;=0,AU93&lt;=0),"",LN(AT93)-LN(AU93))</f>
        <v/>
      </c>
      <c r="AZ93" s="46" t="n">
        <v>11.5</v>
      </c>
      <c r="BA93" s="46" t="n">
        <v>23.72</v>
      </c>
      <c r="BB93" s="47" t="n">
        <v>0.3</v>
      </c>
    </row>
    <row r="94">
      <c r="A94" s="48" t="n">
        <v>45384</v>
      </c>
      <c r="B94" s="49" t="n">
        <v>167897</v>
      </c>
      <c r="C94" s="50" t="n">
        <v>22.32</v>
      </c>
      <c r="D94" s="51" t="inlineStr">
        <is>
          <t>Moderate</t>
        </is>
      </c>
      <c r="E94" s="52" t="n">
        <v>15.4</v>
      </c>
      <c r="F94" s="52" t="n"/>
      <c r="G94" s="51" t="inlineStr">
        <is>
          <t>Tue</t>
        </is>
      </c>
      <c r="H94" s="51" t="inlineStr">
        <is>
          <t>Weekday</t>
        </is>
      </c>
      <c r="I94" s="51" t="inlineStr">
        <is>
          <t>Spring</t>
        </is>
      </c>
      <c r="J94" s="51" t="n">
        <v>25</v>
      </c>
      <c r="K94" s="51" t="inlineStr">
        <is>
          <t>강수량 공란</t>
        </is>
      </c>
      <c r="L94" s="46" t="n">
        <v>50.16</v>
      </c>
      <c r="M94" t="inlineStr">
        <is>
          <t>Moderate</t>
        </is>
      </c>
      <c r="N94" s="87" t="n">
        <v>25</v>
      </c>
      <c r="O94" s="87" t="n">
        <v>0</v>
      </c>
      <c r="P94" s="87" t="n">
        <v>0</v>
      </c>
      <c r="Q94" s="87" t="n">
        <v>0</v>
      </c>
      <c r="R94" s="87" t="n">
        <v>0</v>
      </c>
      <c r="S94" s="47" t="n">
        <v>2</v>
      </c>
      <c r="T94" s="47" t="n">
        <v>37.5</v>
      </c>
      <c r="U94" s="47" t="n"/>
      <c r="V94" s="87" t="n">
        <v>0</v>
      </c>
      <c r="W94" s="87" t="n">
        <v>0</v>
      </c>
      <c r="Y94" t="inlineStr">
        <is>
          <t>Apr</t>
        </is>
      </c>
      <c r="Z94" s="87" t="n">
        <v>2024</v>
      </c>
      <c r="AA94" s="47">
        <f>IF(F94="",0,F94)</f>
        <v/>
      </c>
      <c r="AB94" s="87">
        <f>IF(AA94&gt;=0.1,1,0)</f>
        <v/>
      </c>
      <c r="AC94" s="87" t="n">
        <v>0</v>
      </c>
      <c r="AD94" s="47">
        <f>IF(U94="",0,U94)</f>
        <v/>
      </c>
      <c r="AE94" s="87">
        <f>IF(OR(V94=1,W94=1),1,0)</f>
        <v/>
      </c>
      <c r="AF94" s="87" t="n">
        <v>0</v>
      </c>
      <c r="AG94" t="n">
        <v>11392</v>
      </c>
      <c r="AH94" t="n">
        <v>156505</v>
      </c>
      <c r="AI94" t="n">
        <v>0</v>
      </c>
      <c r="AJ94" s="88">
        <f>IF(OR(AG94&lt;=0,AH94&lt;=0),"",LN(AG94)-LN(AH94))</f>
        <v/>
      </c>
      <c r="AK94" t="n">
        <v>27994</v>
      </c>
      <c r="AL94" t="n">
        <v>139903</v>
      </c>
      <c r="AM94" s="88">
        <f>IF(OR(AK94&lt;=0,AL94&lt;=0),"",LN(AK94)-LN(AL94))</f>
        <v/>
      </c>
      <c r="AN94" t="n">
        <v>11006</v>
      </c>
      <c r="AO94" t="n">
        <v>151954</v>
      </c>
      <c r="AP94" s="88">
        <f>IF(OR(AN94&lt;=0,AO94&lt;=0),"",LN(AN94)-LN(AO94))</f>
        <v/>
      </c>
      <c r="AQ94" t="n">
        <v>11110</v>
      </c>
      <c r="AR94" t="n">
        <v>156505</v>
      </c>
      <c r="AS94" s="88">
        <f>IF(OR(AQ94&lt;=0,AR94&lt;=0),"",LN(AQ94)-LN(AR94))</f>
        <v/>
      </c>
      <c r="AT94" t="n">
        <v>10300</v>
      </c>
      <c r="AU94" t="n">
        <v>156477</v>
      </c>
      <c r="AV94" t="n">
        <v>1174</v>
      </c>
      <c r="AW94" t="n">
        <v>1287</v>
      </c>
      <c r="AX94" t="n">
        <v>10002</v>
      </c>
      <c r="AY94" s="88">
        <f>IF(OR(AT94&lt;=0,AU94&lt;=0),"",LN(AT94)-LN(AU94))</f>
        <v/>
      </c>
      <c r="AZ94" s="46" t="n">
        <v>9.5</v>
      </c>
      <c r="BA94" s="46" t="n">
        <v>21.69</v>
      </c>
      <c r="BB94" s="47" t="n">
        <v>3.1</v>
      </c>
    </row>
    <row r="95">
      <c r="A95" s="48" t="n">
        <v>45385</v>
      </c>
      <c r="B95" s="49" t="n">
        <v>152455</v>
      </c>
      <c r="C95" s="50" t="n">
        <v>21.12</v>
      </c>
      <c r="D95" s="51" t="inlineStr">
        <is>
          <t>Moderate</t>
        </is>
      </c>
      <c r="E95" s="52" t="n">
        <v>16.6</v>
      </c>
      <c r="F95" s="52" t="n">
        <v>0</v>
      </c>
      <c r="G95" s="51" t="inlineStr">
        <is>
          <t>Wed</t>
        </is>
      </c>
      <c r="H95" s="51" t="inlineStr">
        <is>
          <t>Weekday</t>
        </is>
      </c>
      <c r="I95" s="51" t="inlineStr">
        <is>
          <t>Spring</t>
        </is>
      </c>
      <c r="J95" s="51" t="n">
        <v>25</v>
      </c>
      <c r="K95" s="51" t="inlineStr">
        <is>
          <t>OK</t>
        </is>
      </c>
      <c r="L95" s="46" t="n">
        <v>40.76</v>
      </c>
      <c r="M95" t="inlineStr">
        <is>
          <t>Moderate</t>
        </is>
      </c>
      <c r="N95" s="87" t="n">
        <v>25</v>
      </c>
      <c r="O95" s="87" t="n">
        <v>0</v>
      </c>
      <c r="P95" s="87" t="n">
        <v>0</v>
      </c>
      <c r="Q95" s="87" t="n">
        <v>0</v>
      </c>
      <c r="R95" s="87" t="n">
        <v>0</v>
      </c>
      <c r="S95" s="47" t="n">
        <v>1.8</v>
      </c>
      <c r="T95" s="47" t="n">
        <v>55.9</v>
      </c>
      <c r="U95" s="47" t="n"/>
      <c r="V95" s="87" t="n">
        <v>0</v>
      </c>
      <c r="W95" s="87" t="n">
        <v>0</v>
      </c>
      <c r="Y95" t="inlineStr">
        <is>
          <t>Apr</t>
        </is>
      </c>
      <c r="Z95" s="87" t="n">
        <v>2024</v>
      </c>
      <c r="AA95" s="47">
        <f>IF(F95="",0,F95)</f>
        <v/>
      </c>
      <c r="AB95" s="87">
        <f>IF(AA95&gt;=0.1,1,0)</f>
        <v/>
      </c>
      <c r="AC95" s="87" t="n">
        <v>1</v>
      </c>
      <c r="AD95" s="47">
        <f>IF(U95="",0,U95)</f>
        <v/>
      </c>
      <c r="AE95" s="87">
        <f>IF(OR(V95=1,W95=1),1,0)</f>
        <v/>
      </c>
      <c r="AF95" s="87" t="n">
        <v>0</v>
      </c>
      <c r="AG95" t="n">
        <v>9388</v>
      </c>
      <c r="AH95" t="n">
        <v>143067</v>
      </c>
      <c r="AI95" t="n">
        <v>0</v>
      </c>
      <c r="AJ95" s="88">
        <f>IF(OR(AG95&lt;=0,AH95&lt;=0),"",LN(AG95)-LN(AH95))</f>
        <v/>
      </c>
      <c r="AK95" t="n">
        <v>23778</v>
      </c>
      <c r="AL95" t="n">
        <v>128677</v>
      </c>
      <c r="AM95" s="88">
        <f>IF(OR(AK95&lt;=0,AL95&lt;=0),"",LN(AK95)-LN(AL95))</f>
        <v/>
      </c>
      <c r="AN95" t="n">
        <v>9103</v>
      </c>
      <c r="AO95" t="n">
        <v>138747</v>
      </c>
      <c r="AP95" s="88">
        <f>IF(OR(AN95&lt;=0,AO95&lt;=0),"",LN(AN95)-LN(AO95))</f>
        <v/>
      </c>
      <c r="AQ95" t="n">
        <v>9147</v>
      </c>
      <c r="AR95" t="n">
        <v>143067</v>
      </c>
      <c r="AS95" s="88">
        <f>IF(OR(AQ95&lt;=0,AR95&lt;=0),"",LN(AQ95)-LN(AR95))</f>
        <v/>
      </c>
      <c r="AT95" t="n">
        <v>8405</v>
      </c>
      <c r="AU95" t="n">
        <v>143176</v>
      </c>
      <c r="AV95" t="n">
        <v>924</v>
      </c>
      <c r="AW95" t="n">
        <v>896</v>
      </c>
      <c r="AX95" t="n">
        <v>8421</v>
      </c>
      <c r="AY95" s="88">
        <f>IF(OR(AT95&lt;=0,AU95&lt;=0),"",LN(AT95)-LN(AU95))</f>
        <v/>
      </c>
      <c r="AZ95" s="46" t="n">
        <v>0.3</v>
      </c>
      <c r="BA95" s="46" t="n">
        <v>7.18</v>
      </c>
      <c r="BB95" s="47" t="n">
        <v>7.8</v>
      </c>
    </row>
    <row r="96">
      <c r="A96" s="48" t="n">
        <v>45386</v>
      </c>
      <c r="B96" s="49" t="n">
        <v>169109</v>
      </c>
      <c r="C96" s="50" t="n">
        <v>14.76</v>
      </c>
      <c r="D96" s="51" t="inlineStr">
        <is>
          <t>Good</t>
        </is>
      </c>
      <c r="E96" s="52" t="n">
        <v>15.5</v>
      </c>
      <c r="F96" s="52" t="n"/>
      <c r="G96" s="51" t="inlineStr">
        <is>
          <t>Thu</t>
        </is>
      </c>
      <c r="H96" s="51" t="inlineStr">
        <is>
          <t>Weekday</t>
        </is>
      </c>
      <c r="I96" s="51" t="inlineStr">
        <is>
          <t>Spring</t>
        </is>
      </c>
      <c r="J96" s="51" t="n">
        <v>25</v>
      </c>
      <c r="K96" s="51" t="inlineStr">
        <is>
          <t>강수량 공란</t>
        </is>
      </c>
      <c r="L96" s="46" t="n">
        <v>31.44</v>
      </c>
      <c r="M96" t="inlineStr">
        <is>
          <t>Moderate</t>
        </is>
      </c>
      <c r="N96" s="87" t="n">
        <v>25</v>
      </c>
      <c r="O96" s="87" t="n">
        <v>0</v>
      </c>
      <c r="P96" s="87" t="n">
        <v>0</v>
      </c>
      <c r="Q96" s="87" t="n">
        <v>0</v>
      </c>
      <c r="R96" s="87" t="n">
        <v>0</v>
      </c>
      <c r="S96" s="47" t="n">
        <v>2.9</v>
      </c>
      <c r="T96" s="47" t="n">
        <v>52.1</v>
      </c>
      <c r="U96" s="47" t="n"/>
      <c r="V96" s="87" t="n">
        <v>0</v>
      </c>
      <c r="W96" s="87" t="n">
        <v>0</v>
      </c>
      <c r="Y96" t="inlineStr">
        <is>
          <t>Apr</t>
        </is>
      </c>
      <c r="Z96" s="87" t="n">
        <v>2024</v>
      </c>
      <c r="AA96" s="47">
        <f>IF(F96="",0,F96)</f>
        <v/>
      </c>
      <c r="AB96" s="87">
        <f>IF(AA96&gt;=0.1,1,0)</f>
        <v/>
      </c>
      <c r="AC96" s="87" t="n">
        <v>0</v>
      </c>
      <c r="AD96" s="47">
        <f>IF(U96="",0,U96)</f>
        <v/>
      </c>
      <c r="AE96" s="87">
        <f>IF(OR(V96=1,W96=1),1,0)</f>
        <v/>
      </c>
      <c r="AF96" s="87" t="n">
        <v>0</v>
      </c>
      <c r="AG96" t="n">
        <v>10923</v>
      </c>
      <c r="AH96" t="n">
        <v>158186</v>
      </c>
      <c r="AI96" t="n">
        <v>0</v>
      </c>
      <c r="AJ96" s="88">
        <f>IF(OR(AG96&lt;=0,AH96&lt;=0),"",LN(AG96)-LN(AH96))</f>
        <v/>
      </c>
      <c r="AK96" t="n">
        <v>27209</v>
      </c>
      <c r="AL96" t="n">
        <v>141900</v>
      </c>
      <c r="AM96" s="88">
        <f>IF(OR(AK96&lt;=0,AL96&lt;=0),"",LN(AK96)-LN(AL96))</f>
        <v/>
      </c>
      <c r="AN96" t="n">
        <v>10618</v>
      </c>
      <c r="AO96" t="n">
        <v>153500</v>
      </c>
      <c r="AP96" s="88">
        <f>IF(OR(AN96&lt;=0,AO96&lt;=0),"",LN(AN96)-LN(AO96))</f>
        <v/>
      </c>
      <c r="AQ96" t="n">
        <v>10620</v>
      </c>
      <c r="AR96" t="n">
        <v>158186</v>
      </c>
      <c r="AS96" s="88">
        <f>IF(OR(AQ96&lt;=0,AR96&lt;=0),"",LN(AQ96)-LN(AR96))</f>
        <v/>
      </c>
      <c r="AT96" t="n">
        <v>10139</v>
      </c>
      <c r="AU96" t="n">
        <v>157865</v>
      </c>
      <c r="AV96" t="n">
        <v>1164</v>
      </c>
      <c r="AW96" t="n">
        <v>1123</v>
      </c>
      <c r="AX96" t="n">
        <v>9710</v>
      </c>
      <c r="AY96" s="88">
        <f>IF(OR(AT96&lt;=0,AU96&lt;=0),"",LN(AT96)-LN(AU96))</f>
        <v/>
      </c>
      <c r="AZ96" s="46" t="n">
        <v>3.6</v>
      </c>
      <c r="BA96" s="46" t="n">
        <v>15.47</v>
      </c>
      <c r="BB96" s="47" t="n">
        <v>6.5</v>
      </c>
    </row>
    <row r="97">
      <c r="A97" s="48" t="n">
        <v>45387</v>
      </c>
      <c r="B97" s="49" t="n">
        <v>175766</v>
      </c>
      <c r="C97" s="50" t="n">
        <v>20.52</v>
      </c>
      <c r="D97" s="51" t="inlineStr">
        <is>
          <t>Moderate</t>
        </is>
      </c>
      <c r="E97" s="52" t="n">
        <v>14</v>
      </c>
      <c r="F97" s="52" t="n"/>
      <c r="G97" s="51" t="inlineStr">
        <is>
          <t>Fri</t>
        </is>
      </c>
      <c r="H97" s="51" t="inlineStr">
        <is>
          <t>Weekday</t>
        </is>
      </c>
      <c r="I97" s="51" t="inlineStr">
        <is>
          <t>Spring</t>
        </is>
      </c>
      <c r="J97" s="51" t="n">
        <v>25</v>
      </c>
      <c r="K97" s="51" t="inlineStr">
        <is>
          <t>강수량 공란</t>
        </is>
      </c>
      <c r="L97" s="46" t="n">
        <v>41.04</v>
      </c>
      <c r="M97" t="inlineStr">
        <is>
          <t>Moderate</t>
        </is>
      </c>
      <c r="N97" s="87" t="n">
        <v>25</v>
      </c>
      <c r="O97" s="87" t="n">
        <v>0</v>
      </c>
      <c r="P97" s="87" t="n">
        <v>0</v>
      </c>
      <c r="Q97" s="87" t="n">
        <v>0</v>
      </c>
      <c r="R97" s="87" t="n">
        <v>0</v>
      </c>
      <c r="S97" s="47" t="n">
        <v>2.5</v>
      </c>
      <c r="T97" s="47" t="n">
        <v>51.3</v>
      </c>
      <c r="U97" s="47" t="n"/>
      <c r="V97" s="87" t="n">
        <v>0</v>
      </c>
      <c r="W97" s="87" t="n">
        <v>0</v>
      </c>
      <c r="Y97" t="inlineStr">
        <is>
          <t>Apr</t>
        </is>
      </c>
      <c r="Z97" s="87" t="n">
        <v>2024</v>
      </c>
      <c r="AA97" s="47">
        <f>IF(F97="",0,F97)</f>
        <v/>
      </c>
      <c r="AB97" s="87">
        <f>IF(AA97&gt;=0.1,1,0)</f>
        <v/>
      </c>
      <c r="AC97" s="87" t="n">
        <v>0</v>
      </c>
      <c r="AD97" s="47">
        <f>IF(U97="",0,U97)</f>
        <v/>
      </c>
      <c r="AE97" s="87">
        <f>IF(OR(V97=1,W97=1),1,0)</f>
        <v/>
      </c>
      <c r="AF97" s="87" t="n">
        <v>0</v>
      </c>
      <c r="AG97" t="n">
        <v>11982</v>
      </c>
      <c r="AH97" t="n">
        <v>163784</v>
      </c>
      <c r="AI97" t="n">
        <v>0</v>
      </c>
      <c r="AJ97" s="88">
        <f>IF(OR(AG97&lt;=0,AH97&lt;=0),"",LN(AG97)-LN(AH97))</f>
        <v/>
      </c>
      <c r="AK97" t="n">
        <v>29312</v>
      </c>
      <c r="AL97" t="n">
        <v>146454</v>
      </c>
      <c r="AM97" s="88">
        <f>IF(OR(AK97&lt;=0,AL97&lt;=0),"",LN(AK97)-LN(AL97))</f>
        <v/>
      </c>
      <c r="AN97" t="n">
        <v>11636</v>
      </c>
      <c r="AO97" t="n">
        <v>158861</v>
      </c>
      <c r="AP97" s="88">
        <f>IF(OR(AN97&lt;=0,AO97&lt;=0),"",LN(AN97)-LN(AO97))</f>
        <v/>
      </c>
      <c r="AQ97" t="n">
        <v>11680</v>
      </c>
      <c r="AR97" t="n">
        <v>163784</v>
      </c>
      <c r="AS97" s="88">
        <f>IF(OR(AQ97&lt;=0,AR97&lt;=0),"",LN(AQ97)-LN(AR97))</f>
        <v/>
      </c>
      <c r="AT97" t="n">
        <v>11590</v>
      </c>
      <c r="AU97" t="n">
        <v>162980</v>
      </c>
      <c r="AV97" t="n">
        <v>1259</v>
      </c>
      <c r="AW97" t="n">
        <v>1295</v>
      </c>
      <c r="AX97" t="n">
        <v>10566</v>
      </c>
      <c r="AY97" s="88">
        <f>IF(OR(AT97&lt;=0,AU97&lt;=0),"",LN(AT97)-LN(AU97))</f>
        <v/>
      </c>
      <c r="AZ97" s="46" t="n">
        <v>6.2</v>
      </c>
      <c r="BA97" s="46" t="n">
        <v>17.11</v>
      </c>
      <c r="BB97" s="47" t="n">
        <v>5.1</v>
      </c>
    </row>
    <row r="98">
      <c r="A98" s="48" t="n">
        <v>45388</v>
      </c>
      <c r="B98" s="49" t="n">
        <v>160688</v>
      </c>
      <c r="C98" s="50" t="n">
        <v>38.88</v>
      </c>
      <c r="D98" s="51" t="inlineStr">
        <is>
          <t>Bad</t>
        </is>
      </c>
      <c r="E98" s="52" t="n">
        <v>12.7</v>
      </c>
      <c r="F98" s="52" t="n"/>
      <c r="G98" s="51" t="inlineStr">
        <is>
          <t>Sat</t>
        </is>
      </c>
      <c r="H98" s="51" t="inlineStr">
        <is>
          <t>Weekend</t>
        </is>
      </c>
      <c r="I98" s="51" t="inlineStr">
        <is>
          <t>Spring</t>
        </is>
      </c>
      <c r="J98" s="51" t="n">
        <v>25</v>
      </c>
      <c r="K98" s="51" t="inlineStr">
        <is>
          <t>강수량 공란</t>
        </is>
      </c>
      <c r="L98" s="46" t="n">
        <v>63.6</v>
      </c>
      <c r="M98" t="inlineStr">
        <is>
          <t>Moderate</t>
        </is>
      </c>
      <c r="N98" s="87" t="n">
        <v>25</v>
      </c>
      <c r="O98" s="87" t="n">
        <v>0</v>
      </c>
      <c r="P98" s="87" t="n">
        <v>0</v>
      </c>
      <c r="Q98" s="87" t="n">
        <v>0</v>
      </c>
      <c r="R98" s="87" t="n">
        <v>0</v>
      </c>
      <c r="S98" s="47" t="n">
        <v>1.9</v>
      </c>
      <c r="T98" s="47" t="n">
        <v>48.6</v>
      </c>
      <c r="U98" s="47" t="n"/>
      <c r="V98" s="87" t="n">
        <v>1</v>
      </c>
      <c r="W98" s="87" t="n">
        <v>0</v>
      </c>
      <c r="Y98" t="inlineStr">
        <is>
          <t>Apr</t>
        </is>
      </c>
      <c r="Z98" s="87" t="n">
        <v>2024</v>
      </c>
      <c r="AA98" s="47">
        <f>IF(F98="",0,F98)</f>
        <v/>
      </c>
      <c r="AB98" s="87">
        <f>IF(AA98&gt;=0.1,1,0)</f>
        <v/>
      </c>
      <c r="AC98" s="87" t="n">
        <v>0</v>
      </c>
      <c r="AD98" s="47">
        <f>IF(U98="",0,U98)</f>
        <v/>
      </c>
      <c r="AE98" s="87">
        <f>IF(OR(V98=1,W98=1),1,0)</f>
        <v/>
      </c>
      <c r="AF98" s="87" t="n">
        <v>0</v>
      </c>
      <c r="AG98" t="n">
        <v>15425</v>
      </c>
      <c r="AH98" t="n">
        <v>145263</v>
      </c>
      <c r="AI98" t="n">
        <v>0</v>
      </c>
      <c r="AJ98" s="88">
        <f>IF(OR(AG98&lt;=0,AH98&lt;=0),"",LN(AG98)-LN(AH98))</f>
        <v/>
      </c>
      <c r="AK98" t="n">
        <v>32828</v>
      </c>
      <c r="AL98" t="n">
        <v>127860</v>
      </c>
      <c r="AM98" s="88">
        <f>IF(OR(AK98&lt;=0,AL98&lt;=0),"",LN(AK98)-LN(AL98))</f>
        <v/>
      </c>
      <c r="AN98" t="n">
        <v>14913</v>
      </c>
      <c r="AO98" t="n">
        <v>141195</v>
      </c>
      <c r="AP98" s="88">
        <f>IF(OR(AN98&lt;=0,AO98&lt;=0),"",LN(AN98)-LN(AO98))</f>
        <v/>
      </c>
      <c r="AQ98" t="n">
        <v>14934</v>
      </c>
      <c r="AR98" t="n">
        <v>145263</v>
      </c>
      <c r="AS98" s="88">
        <f>IF(OR(AQ98&lt;=0,AR98&lt;=0),"",LN(AQ98)-LN(AR98))</f>
        <v/>
      </c>
      <c r="AT98" t="n">
        <v>14565</v>
      </c>
      <c r="AU98" t="n">
        <v>144898</v>
      </c>
      <c r="AV98" t="n">
        <v>1301</v>
      </c>
      <c r="AW98" t="n">
        <v>2270</v>
      </c>
      <c r="AX98" t="n">
        <v>12958</v>
      </c>
      <c r="AY98" s="88">
        <f>IF(OR(AT98&lt;=0,AU98&lt;=0),"",LN(AT98)-LN(AU98))</f>
        <v/>
      </c>
      <c r="AZ98" s="46" t="n">
        <v>6.6</v>
      </c>
      <c r="BA98" s="46" t="n">
        <v>17.49</v>
      </c>
      <c r="BB98" s="47" t="n">
        <v>3.9</v>
      </c>
    </row>
    <row r="99">
      <c r="A99" s="48" t="n">
        <v>45389</v>
      </c>
      <c r="B99" s="49" t="n">
        <v>155131</v>
      </c>
      <c r="C99" s="50" t="n">
        <v>32.2</v>
      </c>
      <c r="D99" s="51" t="inlineStr">
        <is>
          <t>Moderate</t>
        </is>
      </c>
      <c r="E99" s="52" t="n">
        <v>14.8</v>
      </c>
      <c r="F99" s="52" t="n"/>
      <c r="G99" s="51" t="inlineStr">
        <is>
          <t>Sun</t>
        </is>
      </c>
      <c r="H99" s="51" t="inlineStr">
        <is>
          <t>Weekend</t>
        </is>
      </c>
      <c r="I99" s="51" t="inlineStr">
        <is>
          <t>Spring</t>
        </is>
      </c>
      <c r="J99" s="51" t="n">
        <v>25</v>
      </c>
      <c r="K99" s="51" t="inlineStr">
        <is>
          <t>강수량 공란</t>
        </is>
      </c>
      <c r="L99" s="46" t="n">
        <v>53.36</v>
      </c>
      <c r="M99" t="inlineStr">
        <is>
          <t>Moderate</t>
        </is>
      </c>
      <c r="N99" s="87" t="n">
        <v>25</v>
      </c>
      <c r="O99" s="87" t="n">
        <v>0</v>
      </c>
      <c r="P99" s="87" t="n">
        <v>0</v>
      </c>
      <c r="Q99" s="87" t="n">
        <v>0</v>
      </c>
      <c r="R99" s="87" t="n">
        <v>0</v>
      </c>
      <c r="S99" s="47" t="n">
        <v>2</v>
      </c>
      <c r="T99" s="47" t="n">
        <v>33.4</v>
      </c>
      <c r="U99" s="47" t="n"/>
      <c r="V99" s="87" t="n">
        <v>1</v>
      </c>
      <c r="W99" s="87" t="n">
        <v>0</v>
      </c>
      <c r="Y99" t="inlineStr">
        <is>
          <t>Apr</t>
        </is>
      </c>
      <c r="Z99" s="87" t="n">
        <v>2024</v>
      </c>
      <c r="AA99" s="47">
        <f>IF(F99="",0,F99)</f>
        <v/>
      </c>
      <c r="AB99" s="87">
        <f>IF(AA99&gt;=0.1,1,0)</f>
        <v/>
      </c>
      <c r="AC99" s="87" t="n">
        <v>0</v>
      </c>
      <c r="AD99" s="47">
        <f>IF(U99="",0,U99)</f>
        <v/>
      </c>
      <c r="AE99" s="87">
        <f>IF(OR(V99=1,W99=1),1,0)</f>
        <v/>
      </c>
      <c r="AF99" s="87" t="n">
        <v>0</v>
      </c>
      <c r="AG99" t="n">
        <v>15661</v>
      </c>
      <c r="AH99" t="n">
        <v>139470</v>
      </c>
      <c r="AI99" t="n">
        <v>0</v>
      </c>
      <c r="AJ99" s="88">
        <f>IF(OR(AG99&lt;=0,AH99&lt;=0),"",LN(AG99)-LN(AH99))</f>
        <v/>
      </c>
      <c r="AK99" t="n">
        <v>32395</v>
      </c>
      <c r="AL99" t="n">
        <v>122736</v>
      </c>
      <c r="AM99" s="88">
        <f>IF(OR(AK99&lt;=0,AL99&lt;=0),"",LN(AK99)-LN(AL99))</f>
        <v/>
      </c>
      <c r="AN99" t="n">
        <v>15112</v>
      </c>
      <c r="AO99" t="n">
        <v>135698</v>
      </c>
      <c r="AP99" s="88">
        <f>IF(OR(AN99&lt;=0,AO99&lt;=0),"",LN(AN99)-LN(AO99))</f>
        <v/>
      </c>
      <c r="AQ99" t="n">
        <v>15129</v>
      </c>
      <c r="AR99" t="n">
        <v>139470</v>
      </c>
      <c r="AS99" s="88">
        <f>IF(OR(AQ99&lt;=0,AR99&lt;=0),"",LN(AQ99)-LN(AR99))</f>
        <v/>
      </c>
      <c r="AT99" t="n">
        <v>15738</v>
      </c>
      <c r="AU99" t="n">
        <v>138083</v>
      </c>
      <c r="AV99" t="n">
        <v>1384</v>
      </c>
      <c r="AW99" t="n">
        <v>2517</v>
      </c>
      <c r="AX99" t="n">
        <v>12905</v>
      </c>
      <c r="AY99" s="88">
        <f>IF(OR(AT99&lt;=0,AU99&lt;=0),"",LN(AT99)-LN(AU99))</f>
        <v/>
      </c>
      <c r="AZ99" s="46" t="n">
        <v>11.4</v>
      </c>
      <c r="BA99" s="46" t="n">
        <v>23.4</v>
      </c>
      <c r="BB99" s="47" t="n">
        <v>1</v>
      </c>
    </row>
    <row r="100">
      <c r="A100" s="48" t="n">
        <v>45390</v>
      </c>
      <c r="B100" s="49" t="n">
        <v>165751</v>
      </c>
      <c r="C100" s="50" t="n">
        <v>28</v>
      </c>
      <c r="D100" s="51" t="inlineStr">
        <is>
          <t>Moderate</t>
        </is>
      </c>
      <c r="E100" s="52" t="n">
        <v>16.2</v>
      </c>
      <c r="F100" s="52" t="n"/>
      <c r="G100" s="51" t="inlineStr">
        <is>
          <t>Mon</t>
        </is>
      </c>
      <c r="H100" s="51" t="inlineStr">
        <is>
          <t>Weekday</t>
        </is>
      </c>
      <c r="I100" s="51" t="inlineStr">
        <is>
          <t>Spring</t>
        </is>
      </c>
      <c r="J100" s="51" t="n">
        <v>25</v>
      </c>
      <c r="K100" s="51" t="inlineStr">
        <is>
          <t>강수량 공란</t>
        </is>
      </c>
      <c r="L100" s="46" t="n">
        <v>54.32</v>
      </c>
      <c r="M100" t="inlineStr">
        <is>
          <t>Moderate</t>
        </is>
      </c>
      <c r="N100" s="87" t="n">
        <v>25</v>
      </c>
      <c r="O100" s="87" t="n">
        <v>0</v>
      </c>
      <c r="P100" s="87" t="n">
        <v>0</v>
      </c>
      <c r="Q100" s="87" t="n">
        <v>0</v>
      </c>
      <c r="R100" s="87" t="n">
        <v>0</v>
      </c>
      <c r="S100" s="47" t="n">
        <v>2.1</v>
      </c>
      <c r="T100" s="47" t="n">
        <v>46.5</v>
      </c>
      <c r="U100" s="47" t="n"/>
      <c r="V100" s="87" t="n">
        <v>0</v>
      </c>
      <c r="W100" s="87" t="n">
        <v>0</v>
      </c>
      <c r="Y100" t="inlineStr">
        <is>
          <t>Apr</t>
        </is>
      </c>
      <c r="Z100" s="87" t="n">
        <v>2024</v>
      </c>
      <c r="AA100" s="47">
        <f>IF(F100="",0,F100)</f>
        <v/>
      </c>
      <c r="AB100" s="87">
        <f>IF(AA100&gt;=0.1,1,0)</f>
        <v/>
      </c>
      <c r="AC100" s="87" t="n">
        <v>0</v>
      </c>
      <c r="AD100" s="47">
        <f>IF(U100="",0,U100)</f>
        <v/>
      </c>
      <c r="AE100" s="87">
        <f>IF(OR(V100=1,W100=1),1,0)</f>
        <v/>
      </c>
      <c r="AF100" s="87" t="n">
        <v>0</v>
      </c>
      <c r="AG100" t="n">
        <v>10811</v>
      </c>
      <c r="AH100" t="n">
        <v>154940</v>
      </c>
      <c r="AI100" t="n">
        <v>0</v>
      </c>
      <c r="AJ100" s="88">
        <f>IF(OR(AG100&lt;=0,AH100&lt;=0),"",LN(AG100)-LN(AH100))</f>
        <v/>
      </c>
      <c r="AK100" t="n">
        <v>27011</v>
      </c>
      <c r="AL100" t="n">
        <v>138740</v>
      </c>
      <c r="AM100" s="88">
        <f>IF(OR(AK100&lt;=0,AL100&lt;=0),"",LN(AK100)-LN(AL100))</f>
        <v/>
      </c>
      <c r="AN100" t="n">
        <v>10482</v>
      </c>
      <c r="AO100" t="n">
        <v>150295</v>
      </c>
      <c r="AP100" s="88">
        <f>IF(OR(AN100&lt;=0,AO100&lt;=0),"",LN(AN100)-LN(AO100))</f>
        <v/>
      </c>
      <c r="AQ100" t="n">
        <v>10532</v>
      </c>
      <c r="AR100" t="n">
        <v>154940</v>
      </c>
      <c r="AS100" s="88">
        <f>IF(OR(AQ100&lt;=0,AR100&lt;=0),"",LN(AQ100)-LN(AR100))</f>
        <v/>
      </c>
      <c r="AT100" t="n">
        <v>10045</v>
      </c>
      <c r="AU100" t="n">
        <v>154660</v>
      </c>
      <c r="AV100" t="n">
        <v>1104</v>
      </c>
      <c r="AW100" t="n">
        <v>1169</v>
      </c>
      <c r="AX100" t="n">
        <v>9528</v>
      </c>
      <c r="AY100" s="88">
        <f>IF(OR(AT100&lt;=0,AU100&lt;=0),"",LN(AT100)-LN(AU100))</f>
        <v/>
      </c>
      <c r="AZ100" s="46" t="n">
        <v>2</v>
      </c>
      <c r="BA100" s="46" t="n">
        <v>14.44</v>
      </c>
      <c r="BB100" s="47" t="n">
        <v>8.300000000000001</v>
      </c>
    </row>
    <row r="101">
      <c r="A101" s="48" t="n">
        <v>45391</v>
      </c>
      <c r="B101" s="49" t="n">
        <v>175191</v>
      </c>
      <c r="C101" s="50" t="n">
        <v>18.28</v>
      </c>
      <c r="D101" s="51" t="inlineStr">
        <is>
          <t>Moderate</t>
        </is>
      </c>
      <c r="E101" s="52" t="n">
        <v>15.3</v>
      </c>
      <c r="F101" s="52" t="n"/>
      <c r="G101" s="51" t="inlineStr">
        <is>
          <t>Tue</t>
        </is>
      </c>
      <c r="H101" s="51" t="inlineStr">
        <is>
          <t>Weekday</t>
        </is>
      </c>
      <c r="I101" s="51" t="inlineStr">
        <is>
          <t>Spring</t>
        </is>
      </c>
      <c r="J101" s="51" t="n">
        <v>25</v>
      </c>
      <c r="K101" s="51" t="inlineStr">
        <is>
          <t>강수량 공란</t>
        </is>
      </c>
      <c r="L101" s="46" t="n">
        <v>39.12</v>
      </c>
      <c r="M101" t="inlineStr">
        <is>
          <t>Moderate</t>
        </is>
      </c>
      <c r="N101" s="87" t="n">
        <v>25</v>
      </c>
      <c r="O101" s="87" t="n">
        <v>0</v>
      </c>
      <c r="P101" s="87" t="n">
        <v>0</v>
      </c>
      <c r="Q101" s="87" t="n">
        <v>0</v>
      </c>
      <c r="R101" s="87" t="n">
        <v>0</v>
      </c>
      <c r="S101" s="47" t="n">
        <v>3.5</v>
      </c>
      <c r="T101" s="47" t="n">
        <v>32.4</v>
      </c>
      <c r="U101" s="47" t="n"/>
      <c r="V101" s="87" t="n">
        <v>0</v>
      </c>
      <c r="W101" s="87" t="n">
        <v>0</v>
      </c>
      <c r="Y101" t="inlineStr">
        <is>
          <t>Apr</t>
        </is>
      </c>
      <c r="Z101" s="87" t="n">
        <v>2024</v>
      </c>
      <c r="AA101" s="47">
        <f>IF(F101="",0,F101)</f>
        <v/>
      </c>
      <c r="AB101" s="87">
        <f>IF(AA101&gt;=0.1,1,0)</f>
        <v/>
      </c>
      <c r="AC101" s="87" t="n">
        <v>0</v>
      </c>
      <c r="AD101" s="47">
        <f>IF(U101="",0,U101)</f>
        <v/>
      </c>
      <c r="AE101" s="87">
        <f>IF(OR(V101=1,W101=1),1,0)</f>
        <v/>
      </c>
      <c r="AF101" s="87" t="n">
        <v>0</v>
      </c>
      <c r="AG101" t="n">
        <v>11917</v>
      </c>
      <c r="AH101" t="n">
        <v>163274</v>
      </c>
      <c r="AI101" t="n">
        <v>0</v>
      </c>
      <c r="AJ101" s="88">
        <f>IF(OR(AG101&lt;=0,AH101&lt;=0),"",LN(AG101)-LN(AH101))</f>
        <v/>
      </c>
      <c r="AK101" t="n">
        <v>29101</v>
      </c>
      <c r="AL101" t="n">
        <v>146090</v>
      </c>
      <c r="AM101" s="88">
        <f>IF(OR(AK101&lt;=0,AL101&lt;=0),"",LN(AK101)-LN(AL101))</f>
        <v/>
      </c>
      <c r="AN101" t="n">
        <v>11574</v>
      </c>
      <c r="AO101" t="n">
        <v>158509</v>
      </c>
      <c r="AP101" s="88">
        <f>IF(OR(AN101&lt;=0,AO101&lt;=0),"",LN(AN101)-LN(AO101))</f>
        <v/>
      </c>
      <c r="AQ101" t="n">
        <v>11606</v>
      </c>
      <c r="AR101" t="n">
        <v>163274</v>
      </c>
      <c r="AS101" s="88">
        <f>IF(OR(AQ101&lt;=0,AR101&lt;=0),"",LN(AQ101)-LN(AR101))</f>
        <v/>
      </c>
      <c r="AT101" t="n">
        <v>10707</v>
      </c>
      <c r="AU101" t="n">
        <v>163381</v>
      </c>
      <c r="AV101" t="n">
        <v>1173</v>
      </c>
      <c r="AW101" t="n">
        <v>1364</v>
      </c>
      <c r="AX101" t="n">
        <v>10430</v>
      </c>
      <c r="AY101" s="88">
        <f>IF(OR(AT101&lt;=0,AU101&lt;=0),"",LN(AT101)-LN(AU101))</f>
        <v/>
      </c>
      <c r="AZ101" s="46" t="n">
        <v>11.9</v>
      </c>
      <c r="BA101" s="46" t="n">
        <v>25.68</v>
      </c>
      <c r="BB101" s="47" t="n">
        <v>0.4</v>
      </c>
    </row>
    <row r="102">
      <c r="A102" s="48" t="n">
        <v>45392</v>
      </c>
      <c r="B102" s="49" t="n">
        <v>153280</v>
      </c>
      <c r="C102" s="50" t="n">
        <v>17.92</v>
      </c>
      <c r="D102" s="51" t="inlineStr">
        <is>
          <t>Moderate</t>
        </is>
      </c>
      <c r="E102" s="52" t="n">
        <v>13.8</v>
      </c>
      <c r="F102" s="52" t="n"/>
      <c r="G102" s="51" t="inlineStr">
        <is>
          <t>Wed</t>
        </is>
      </c>
      <c r="H102" s="51" t="inlineStr">
        <is>
          <t>Weekday</t>
        </is>
      </c>
      <c r="I102" s="51" t="inlineStr">
        <is>
          <t>Spring</t>
        </is>
      </c>
      <c r="J102" s="51" t="n">
        <v>25</v>
      </c>
      <c r="K102" s="51" t="inlineStr">
        <is>
          <t>강수량 공란</t>
        </is>
      </c>
      <c r="L102" s="46" t="n">
        <v>41.84</v>
      </c>
      <c r="M102" t="inlineStr">
        <is>
          <t>Moderate</t>
        </is>
      </c>
      <c r="N102" s="87" t="n">
        <v>25</v>
      </c>
      <c r="O102" s="87" t="n">
        <v>0</v>
      </c>
      <c r="P102" s="87" t="n">
        <v>0</v>
      </c>
      <c r="Q102" s="87" t="n">
        <v>0</v>
      </c>
      <c r="R102" s="87" t="n">
        <v>0</v>
      </c>
      <c r="S102" s="47" t="n">
        <v>2.6</v>
      </c>
      <c r="T102" s="47" t="n">
        <v>62.6</v>
      </c>
      <c r="U102" s="47" t="n"/>
      <c r="V102" s="87" t="n">
        <v>0</v>
      </c>
      <c r="W102" s="87" t="n">
        <v>1</v>
      </c>
      <c r="X102" t="inlineStr">
        <is>
          <t>제22대 국회의원선거</t>
        </is>
      </c>
      <c r="Y102" t="inlineStr">
        <is>
          <t>Apr</t>
        </is>
      </c>
      <c r="Z102" s="87" t="n">
        <v>2024</v>
      </c>
      <c r="AA102" s="47">
        <f>IF(F102="",0,F102)</f>
        <v/>
      </c>
      <c r="AB102" s="87">
        <f>IF(AA102&gt;=0.1,1,0)</f>
        <v/>
      </c>
      <c r="AC102" s="87" t="n">
        <v>0</v>
      </c>
      <c r="AD102" s="47">
        <f>IF(U102="",0,U102)</f>
        <v/>
      </c>
      <c r="AE102" s="87">
        <f>IF(OR(V102=1,W102=1),1,0)</f>
        <v/>
      </c>
      <c r="AF102" s="87" t="n">
        <v>0</v>
      </c>
      <c r="AG102" t="n">
        <v>14462</v>
      </c>
      <c r="AH102" t="n">
        <v>138818</v>
      </c>
      <c r="AI102" t="n">
        <v>0</v>
      </c>
      <c r="AJ102" s="88">
        <f>IF(OR(AG102&lt;=0,AH102&lt;=0),"",LN(AG102)-LN(AH102))</f>
        <v/>
      </c>
      <c r="AK102" t="n">
        <v>30676</v>
      </c>
      <c r="AL102" t="n">
        <v>122604</v>
      </c>
      <c r="AM102" s="88">
        <f>IF(OR(AK102&lt;=0,AL102&lt;=0),"",LN(AK102)-LN(AL102))</f>
        <v/>
      </c>
      <c r="AN102" t="n">
        <v>13933</v>
      </c>
      <c r="AO102" t="n">
        <v>134828</v>
      </c>
      <c r="AP102" s="88">
        <f>IF(OR(AN102&lt;=0,AO102&lt;=0),"",LN(AN102)-LN(AO102))</f>
        <v/>
      </c>
      <c r="AQ102" t="n">
        <v>13984</v>
      </c>
      <c r="AR102" t="n">
        <v>138818</v>
      </c>
      <c r="AS102" s="88">
        <f>IF(OR(AQ102&lt;=0,AR102&lt;=0),"",LN(AQ102)-LN(AR102))</f>
        <v/>
      </c>
      <c r="AT102" t="n">
        <v>15231</v>
      </c>
      <c r="AU102" t="n">
        <v>136952</v>
      </c>
      <c r="AV102" t="n">
        <v>1161</v>
      </c>
      <c r="AW102" t="n">
        <v>2442</v>
      </c>
      <c r="AX102" t="n">
        <v>11851</v>
      </c>
      <c r="AY102" s="88">
        <f>IF(OR(AT102&lt;=0,AU102&lt;=0),"",LN(AT102)-LN(AU102))</f>
        <v/>
      </c>
      <c r="AZ102" s="46" t="n">
        <v>3.9</v>
      </c>
      <c r="BA102" s="46" t="n">
        <v>15.38</v>
      </c>
      <c r="BB102" s="47" t="n">
        <v>6</v>
      </c>
    </row>
    <row r="103">
      <c r="A103" s="48" t="n">
        <v>45393</v>
      </c>
      <c r="B103" s="49" t="n">
        <v>159006</v>
      </c>
      <c r="C103" s="50" t="n">
        <v>21.04</v>
      </c>
      <c r="D103" s="51" t="inlineStr">
        <is>
          <t>Moderate</t>
        </is>
      </c>
      <c r="E103" s="52" t="n">
        <v>15.5</v>
      </c>
      <c r="F103" s="52" t="n">
        <v>0</v>
      </c>
      <c r="G103" s="51" t="inlineStr">
        <is>
          <t>Thu</t>
        </is>
      </c>
      <c r="H103" s="51" t="inlineStr">
        <is>
          <t>Weekday</t>
        </is>
      </c>
      <c r="I103" s="51" t="inlineStr">
        <is>
          <t>Spring</t>
        </is>
      </c>
      <c r="J103" s="51" t="n">
        <v>25</v>
      </c>
      <c r="K103" s="51" t="inlineStr">
        <is>
          <t>OK</t>
        </is>
      </c>
      <c r="L103" s="46" t="n">
        <v>47.88</v>
      </c>
      <c r="M103" t="inlineStr">
        <is>
          <t>Moderate</t>
        </is>
      </c>
      <c r="N103" s="87" t="n">
        <v>25</v>
      </c>
      <c r="O103" s="87" t="n">
        <v>0</v>
      </c>
      <c r="P103" s="87" t="n">
        <v>0</v>
      </c>
      <c r="Q103" s="87" t="n">
        <v>0</v>
      </c>
      <c r="R103" s="87" t="n">
        <v>0</v>
      </c>
      <c r="S103" s="47" t="n">
        <v>1.8</v>
      </c>
      <c r="T103" s="47" t="n">
        <v>61</v>
      </c>
      <c r="U103" s="47" t="n"/>
      <c r="V103" s="87" t="n">
        <v>0</v>
      </c>
      <c r="W103" s="87" t="n">
        <v>0</v>
      </c>
      <c r="Y103" t="inlineStr">
        <is>
          <t>Apr</t>
        </is>
      </c>
      <c r="Z103" s="87" t="n">
        <v>2024</v>
      </c>
      <c r="AA103" s="47">
        <f>IF(F103="",0,F103)</f>
        <v/>
      </c>
      <c r="AB103" s="87">
        <f>IF(AA103&gt;=0.1,1,0)</f>
        <v/>
      </c>
      <c r="AC103" s="87" t="n">
        <v>1</v>
      </c>
      <c r="AD103" s="47">
        <f>IF(U103="",0,U103)</f>
        <v/>
      </c>
      <c r="AE103" s="87">
        <f>IF(OR(V103=1,W103=1),1,0)</f>
        <v/>
      </c>
      <c r="AF103" s="87" t="n">
        <v>0</v>
      </c>
      <c r="AG103" t="n">
        <v>9624</v>
      </c>
      <c r="AH103" t="n">
        <v>149382</v>
      </c>
      <c r="AI103" t="n">
        <v>0</v>
      </c>
      <c r="AJ103" s="88">
        <f>IF(OR(AG103&lt;=0,AH103&lt;=0),"",LN(AG103)-LN(AH103))</f>
        <v/>
      </c>
      <c r="AK103" t="n">
        <v>25137</v>
      </c>
      <c r="AL103" t="n">
        <v>133869</v>
      </c>
      <c r="AM103" s="88">
        <f>IF(OR(AK103&lt;=0,AL103&lt;=0),"",LN(AK103)-LN(AL103))</f>
        <v/>
      </c>
      <c r="AN103" t="n">
        <v>9323</v>
      </c>
      <c r="AO103" t="n">
        <v>144938</v>
      </c>
      <c r="AP103" s="88">
        <f>IF(OR(AN103&lt;=0,AO103&lt;=0),"",LN(AN103)-LN(AO103))</f>
        <v/>
      </c>
      <c r="AQ103" t="n">
        <v>9368</v>
      </c>
      <c r="AR103" t="n">
        <v>149382</v>
      </c>
      <c r="AS103" s="88">
        <f>IF(OR(AQ103&lt;=0,AR103&lt;=0),"",LN(AQ103)-LN(AR103))</f>
        <v/>
      </c>
      <c r="AT103" t="n">
        <v>9753</v>
      </c>
      <c r="AU103" t="n">
        <v>148359</v>
      </c>
      <c r="AV103" t="n">
        <v>955</v>
      </c>
      <c r="AW103" t="n">
        <v>1099</v>
      </c>
      <c r="AX103" t="n">
        <v>8454</v>
      </c>
      <c r="AY103" s="88">
        <f>IF(OR(AT103&lt;=0,AU103&lt;=0),"",LN(AT103)-LN(AU103))</f>
        <v/>
      </c>
      <c r="AZ103" s="46" t="n">
        <v>4</v>
      </c>
      <c r="BA103" s="46" t="n">
        <v>14.28</v>
      </c>
      <c r="BB103" s="47" t="n">
        <v>5.3</v>
      </c>
    </row>
    <row r="104">
      <c r="A104" s="48" t="n">
        <v>45394</v>
      </c>
      <c r="B104" s="49" t="n">
        <v>178578</v>
      </c>
      <c r="C104" s="50" t="n">
        <v>23.6</v>
      </c>
      <c r="D104" s="51" t="inlineStr">
        <is>
          <t>Moderate</t>
        </is>
      </c>
      <c r="E104" s="52" t="n">
        <v>17.2</v>
      </c>
      <c r="F104" s="52" t="n"/>
      <c r="G104" s="51" t="inlineStr">
        <is>
          <t>Fri</t>
        </is>
      </c>
      <c r="H104" s="51" t="inlineStr">
        <is>
          <t>Weekday</t>
        </is>
      </c>
      <c r="I104" s="51" t="inlineStr">
        <is>
          <t>Spring</t>
        </is>
      </c>
      <c r="J104" s="51" t="n">
        <v>25</v>
      </c>
      <c r="K104" s="51" t="inlineStr">
        <is>
          <t>강수량 공란</t>
        </is>
      </c>
      <c r="L104" s="46" t="n">
        <v>46.28</v>
      </c>
      <c r="M104" t="inlineStr">
        <is>
          <t>Moderate</t>
        </is>
      </c>
      <c r="N104" s="87" t="n">
        <v>25</v>
      </c>
      <c r="O104" s="87" t="n">
        <v>0</v>
      </c>
      <c r="P104" s="87" t="n">
        <v>0</v>
      </c>
      <c r="Q104" s="87" t="n">
        <v>0</v>
      </c>
      <c r="R104" s="87" t="n">
        <v>0</v>
      </c>
      <c r="S104" s="47" t="n">
        <v>2.1</v>
      </c>
      <c r="T104" s="47" t="n">
        <v>59.6</v>
      </c>
      <c r="U104" s="47" t="n"/>
      <c r="V104" s="87" t="n">
        <v>0</v>
      </c>
      <c r="W104" s="87" t="n">
        <v>0</v>
      </c>
      <c r="Y104" t="inlineStr">
        <is>
          <t>Apr</t>
        </is>
      </c>
      <c r="Z104" s="87" t="n">
        <v>2024</v>
      </c>
      <c r="AA104" s="47">
        <f>IF(F104="",0,F104)</f>
        <v/>
      </c>
      <c r="AB104" s="87">
        <f>IF(AA104&gt;=0.1,1,0)</f>
        <v/>
      </c>
      <c r="AC104" s="87" t="n">
        <v>0</v>
      </c>
      <c r="AD104" s="47">
        <f>IF(U104="",0,U104)</f>
        <v/>
      </c>
      <c r="AE104" s="87">
        <f>IF(OR(V104=1,W104=1),1,0)</f>
        <v/>
      </c>
      <c r="AF104" s="87" t="n">
        <v>0</v>
      </c>
      <c r="AG104" t="n">
        <v>11948</v>
      </c>
      <c r="AH104" t="n">
        <v>166630</v>
      </c>
      <c r="AI104" t="n">
        <v>0</v>
      </c>
      <c r="AJ104" s="88">
        <f>IF(OR(AG104&lt;=0,AH104&lt;=0),"",LN(AG104)-LN(AH104))</f>
        <v/>
      </c>
      <c r="AK104" t="n">
        <v>29394</v>
      </c>
      <c r="AL104" t="n">
        <v>149184</v>
      </c>
      <c r="AM104" s="88">
        <f>IF(OR(AK104&lt;=0,AL104&lt;=0),"",LN(AK104)-LN(AL104))</f>
        <v/>
      </c>
      <c r="AN104" t="n">
        <v>11583</v>
      </c>
      <c r="AO104" t="n">
        <v>161640</v>
      </c>
      <c r="AP104" s="88">
        <f>IF(OR(AN104&lt;=0,AO104&lt;=0),"",LN(AN104)-LN(AO104))</f>
        <v/>
      </c>
      <c r="AQ104" t="n">
        <v>11623</v>
      </c>
      <c r="AR104" t="n">
        <v>166630</v>
      </c>
      <c r="AS104" s="88">
        <f>IF(OR(AQ104&lt;=0,AR104&lt;=0),"",LN(AQ104)-LN(AR104))</f>
        <v/>
      </c>
      <c r="AT104" t="n">
        <v>11270</v>
      </c>
      <c r="AU104" t="n">
        <v>166276</v>
      </c>
      <c r="AV104" t="n">
        <v>1097</v>
      </c>
      <c r="AW104" t="n">
        <v>1296</v>
      </c>
      <c r="AX104" t="n">
        <v>10579</v>
      </c>
      <c r="AY104" s="88">
        <f>IF(OR(AT104&lt;=0,AU104&lt;=0),"",LN(AT104)-LN(AU104))</f>
        <v/>
      </c>
      <c r="AZ104" s="46" t="n">
        <v>9.800000000000001</v>
      </c>
      <c r="BA104" s="46" t="n">
        <v>23.59</v>
      </c>
      <c r="BB104" s="47" t="n">
        <v>1.9</v>
      </c>
    </row>
    <row r="105">
      <c r="A105" s="48" t="n">
        <v>45395</v>
      </c>
      <c r="B105" s="49" t="n">
        <v>162838</v>
      </c>
      <c r="C105" s="50" t="n">
        <v>18.08</v>
      </c>
      <c r="D105" s="51" t="inlineStr">
        <is>
          <t>Moderate</t>
        </is>
      </c>
      <c r="E105" s="52" t="n">
        <v>19.1</v>
      </c>
      <c r="F105" s="52" t="n"/>
      <c r="G105" s="51" t="inlineStr">
        <is>
          <t>Sat</t>
        </is>
      </c>
      <c r="H105" s="51" t="inlineStr">
        <is>
          <t>Weekend</t>
        </is>
      </c>
      <c r="I105" s="51" t="inlineStr">
        <is>
          <t>Spring</t>
        </is>
      </c>
      <c r="J105" s="51" t="n">
        <v>25</v>
      </c>
      <c r="K105" s="51" t="inlineStr">
        <is>
          <t>강수량 공란</t>
        </is>
      </c>
      <c r="L105" s="46" t="n">
        <v>38.56</v>
      </c>
      <c r="M105" t="inlineStr">
        <is>
          <t>Moderate</t>
        </is>
      </c>
      <c r="N105" s="87" t="n">
        <v>25</v>
      </c>
      <c r="O105" s="87" t="n">
        <v>0</v>
      </c>
      <c r="P105" s="87" t="n">
        <v>0</v>
      </c>
      <c r="Q105" s="87" t="n">
        <v>0</v>
      </c>
      <c r="R105" s="87" t="n">
        <v>0</v>
      </c>
      <c r="S105" s="47" t="n">
        <v>1.9</v>
      </c>
      <c r="T105" s="47" t="n">
        <v>52.4</v>
      </c>
      <c r="U105" s="47" t="n"/>
      <c r="V105" s="87" t="n">
        <v>1</v>
      </c>
      <c r="W105" s="87" t="n">
        <v>0</v>
      </c>
      <c r="Y105" t="inlineStr">
        <is>
          <t>Apr</t>
        </is>
      </c>
      <c r="Z105" s="87" t="n">
        <v>2024</v>
      </c>
      <c r="AA105" s="47">
        <f>IF(F105="",0,F105)</f>
        <v/>
      </c>
      <c r="AB105" s="87">
        <f>IF(AA105&gt;=0.1,1,0)</f>
        <v/>
      </c>
      <c r="AC105" s="87" t="n">
        <v>0</v>
      </c>
      <c r="AD105" s="47">
        <f>IF(U105="",0,U105)</f>
        <v/>
      </c>
      <c r="AE105" s="87">
        <f>IF(OR(V105=1,W105=1),1,0)</f>
        <v/>
      </c>
      <c r="AF105" s="87" t="n">
        <v>0</v>
      </c>
      <c r="AG105" t="n">
        <v>15604</v>
      </c>
      <c r="AH105" t="n">
        <v>147234</v>
      </c>
      <c r="AI105" t="n">
        <v>0</v>
      </c>
      <c r="AJ105" s="88">
        <f>IF(OR(AG105&lt;=0,AH105&lt;=0),"",LN(AG105)-LN(AH105))</f>
        <v/>
      </c>
      <c r="AK105" t="n">
        <v>32575</v>
      </c>
      <c r="AL105" t="n">
        <v>130263</v>
      </c>
      <c r="AM105" s="88">
        <f>IF(OR(AK105&lt;=0,AL105&lt;=0),"",LN(AK105)-LN(AL105))</f>
        <v/>
      </c>
      <c r="AN105" t="n">
        <v>15040</v>
      </c>
      <c r="AO105" t="n">
        <v>142982</v>
      </c>
      <c r="AP105" s="88">
        <f>IF(OR(AN105&lt;=0,AO105&lt;=0),"",LN(AN105)-LN(AO105))</f>
        <v/>
      </c>
      <c r="AQ105" t="n">
        <v>15141</v>
      </c>
      <c r="AR105" t="n">
        <v>147234</v>
      </c>
      <c r="AS105" s="88">
        <f>IF(OR(AQ105&lt;=0,AR105&lt;=0),"",LN(AQ105)-LN(AR105))</f>
        <v/>
      </c>
      <c r="AT105" t="n">
        <v>14810</v>
      </c>
      <c r="AU105" t="n">
        <v>146916</v>
      </c>
      <c r="AV105" t="n">
        <v>1185</v>
      </c>
      <c r="AW105" t="n">
        <v>2476</v>
      </c>
      <c r="AX105" t="n">
        <v>12986</v>
      </c>
      <c r="AY105" s="88">
        <f>IF(OR(AT105&lt;=0,AU105&lt;=0),"",LN(AT105)-LN(AU105))</f>
        <v/>
      </c>
      <c r="AZ105" s="46" t="n">
        <v>12.1</v>
      </c>
      <c r="BA105" s="46" t="n">
        <v>25.65</v>
      </c>
      <c r="BB105" s="47" t="n">
        <v>0</v>
      </c>
    </row>
    <row r="106">
      <c r="A106" s="48" t="n">
        <v>45396</v>
      </c>
      <c r="B106" s="49" t="n">
        <v>147693</v>
      </c>
      <c r="C106" s="50" t="n">
        <v>22.32</v>
      </c>
      <c r="D106" s="51" t="inlineStr">
        <is>
          <t>Moderate</t>
        </is>
      </c>
      <c r="E106" s="52" t="n">
        <v>20.8</v>
      </c>
      <c r="F106" s="52" t="n"/>
      <c r="G106" s="51" t="inlineStr">
        <is>
          <t>Sun</t>
        </is>
      </c>
      <c r="H106" s="51" t="inlineStr">
        <is>
          <t>Weekend</t>
        </is>
      </c>
      <c r="I106" s="51" t="inlineStr">
        <is>
          <t>Spring</t>
        </is>
      </c>
      <c r="J106" s="51" t="n">
        <v>25</v>
      </c>
      <c r="K106" s="51" t="inlineStr">
        <is>
          <t>강수량 공란</t>
        </is>
      </c>
      <c r="L106" s="46" t="n">
        <v>43.04</v>
      </c>
      <c r="M106" t="inlineStr">
        <is>
          <t>Moderate</t>
        </is>
      </c>
      <c r="N106" s="87" t="n">
        <v>25</v>
      </c>
      <c r="O106" s="87" t="n">
        <v>0</v>
      </c>
      <c r="P106" s="87" t="n">
        <v>0</v>
      </c>
      <c r="Q106" s="87" t="n">
        <v>0</v>
      </c>
      <c r="R106" s="87" t="n">
        <v>0</v>
      </c>
      <c r="S106" s="47" t="n">
        <v>1.9</v>
      </c>
      <c r="T106" s="47" t="n">
        <v>47.1</v>
      </c>
      <c r="U106" s="47" t="n"/>
      <c r="V106" s="87" t="n">
        <v>1</v>
      </c>
      <c r="W106" s="87" t="n">
        <v>0</v>
      </c>
      <c r="Y106" t="inlineStr">
        <is>
          <t>Apr</t>
        </is>
      </c>
      <c r="Z106" s="87" t="n">
        <v>2024</v>
      </c>
      <c r="AA106" s="47">
        <f>IF(F106="",0,F106)</f>
        <v/>
      </c>
      <c r="AB106" s="87">
        <f>IF(AA106&gt;=0.1,1,0)</f>
        <v/>
      </c>
      <c r="AC106" s="87" t="n">
        <v>0</v>
      </c>
      <c r="AD106" s="47">
        <f>IF(U106="",0,U106)</f>
        <v/>
      </c>
      <c r="AE106" s="87">
        <f>IF(OR(V106=1,W106=1),1,0)</f>
        <v/>
      </c>
      <c r="AF106" s="87" t="n">
        <v>0</v>
      </c>
      <c r="AG106" t="n">
        <v>14898</v>
      </c>
      <c r="AH106" t="n">
        <v>132795</v>
      </c>
      <c r="AI106" t="n">
        <v>0</v>
      </c>
      <c r="AJ106" s="88">
        <f>IF(OR(AG106&lt;=0,AH106&lt;=0),"",LN(AG106)-LN(AH106))</f>
        <v/>
      </c>
      <c r="AK106" t="n">
        <v>30693</v>
      </c>
      <c r="AL106" t="n">
        <v>117000</v>
      </c>
      <c r="AM106" s="88">
        <f>IF(OR(AK106&lt;=0,AL106&lt;=0),"",LN(AK106)-LN(AL106))</f>
        <v/>
      </c>
      <c r="AN106" t="n">
        <v>14376</v>
      </c>
      <c r="AO106" t="n">
        <v>129274</v>
      </c>
      <c r="AP106" s="88">
        <f>IF(OR(AN106&lt;=0,AO106&lt;=0),"",LN(AN106)-LN(AO106))</f>
        <v/>
      </c>
      <c r="AQ106" t="n">
        <v>14396</v>
      </c>
      <c r="AR106" t="n">
        <v>132795</v>
      </c>
      <c r="AS106" s="88">
        <f>IF(OR(AQ106&lt;=0,AR106&lt;=0),"",LN(AQ106)-LN(AR106))</f>
        <v/>
      </c>
      <c r="AT106" t="n">
        <v>15493</v>
      </c>
      <c r="AU106" t="n">
        <v>131236</v>
      </c>
      <c r="AV106" t="n">
        <v>1025</v>
      </c>
      <c r="AW106" t="n">
        <v>2691</v>
      </c>
      <c r="AX106" t="n">
        <v>12078</v>
      </c>
      <c r="AY106" s="88">
        <f>IF(OR(AT106&lt;=0,AU106&lt;=0),"",LN(AT106)-LN(AU106))</f>
        <v/>
      </c>
      <c r="AZ106" s="46" t="n">
        <v>11.7</v>
      </c>
      <c r="BA106" s="46" t="n">
        <v>24.93</v>
      </c>
      <c r="BB106" s="47" t="n">
        <v>3</v>
      </c>
    </row>
    <row r="107">
      <c r="A107" s="48" t="n">
        <v>45397</v>
      </c>
      <c r="B107" s="49" t="n">
        <v>62438</v>
      </c>
      <c r="C107" s="50" t="n">
        <v>11.56</v>
      </c>
      <c r="D107" s="51" t="inlineStr">
        <is>
          <t>Good</t>
        </is>
      </c>
      <c r="E107" s="52" t="n">
        <v>16</v>
      </c>
      <c r="F107" s="52" t="n">
        <v>17.1</v>
      </c>
      <c r="G107" s="51" t="inlineStr">
        <is>
          <t>Mon</t>
        </is>
      </c>
      <c r="H107" s="51" t="inlineStr">
        <is>
          <t>Weekday</t>
        </is>
      </c>
      <c r="I107" s="51" t="inlineStr">
        <is>
          <t>Spring</t>
        </is>
      </c>
      <c r="J107" s="51" t="n">
        <v>25</v>
      </c>
      <c r="K107" s="51" t="inlineStr">
        <is>
          <t>OK</t>
        </is>
      </c>
      <c r="L107" s="46" t="n">
        <v>21.24</v>
      </c>
      <c r="M107" t="inlineStr">
        <is>
          <t>Good</t>
        </is>
      </c>
      <c r="N107" s="87" t="n">
        <v>25</v>
      </c>
      <c r="O107" s="87" t="n">
        <v>0</v>
      </c>
      <c r="P107" s="87" t="n">
        <v>0</v>
      </c>
      <c r="Q107" s="87" t="n">
        <v>0</v>
      </c>
      <c r="R107" s="87" t="n">
        <v>0</v>
      </c>
      <c r="S107" s="47" t="n">
        <v>2.5</v>
      </c>
      <c r="T107" s="47" t="n">
        <v>77.40000000000001</v>
      </c>
      <c r="U107" s="47" t="n"/>
      <c r="V107" s="87" t="n">
        <v>0</v>
      </c>
      <c r="W107" s="87" t="n">
        <v>0</v>
      </c>
      <c r="Y107" t="inlineStr">
        <is>
          <t>Apr</t>
        </is>
      </c>
      <c r="Z107" s="87" t="n">
        <v>2024</v>
      </c>
      <c r="AA107" s="47">
        <f>IF(F107="",0,F107)</f>
        <v/>
      </c>
      <c r="AB107" s="87">
        <f>IF(AA107&gt;=0.1,1,0)</f>
        <v/>
      </c>
      <c r="AC107" s="87" t="n">
        <v>0</v>
      </c>
      <c r="AD107" s="47">
        <f>IF(U107="",0,U107)</f>
        <v/>
      </c>
      <c r="AE107" s="87">
        <f>IF(OR(V107=1,W107=1),1,0)</f>
        <v/>
      </c>
      <c r="AF107" s="87" t="n">
        <v>0</v>
      </c>
      <c r="AG107" t="n">
        <v>3279</v>
      </c>
      <c r="AH107" t="n">
        <v>59159</v>
      </c>
      <c r="AI107" t="n">
        <v>0</v>
      </c>
      <c r="AJ107" s="88">
        <f>IF(OR(AG107&lt;=0,AH107&lt;=0),"",LN(AG107)-LN(AH107))</f>
        <v/>
      </c>
      <c r="AK107" t="n">
        <v>8995</v>
      </c>
      <c r="AL107" t="n">
        <v>53443</v>
      </c>
      <c r="AM107" s="88">
        <f>IF(OR(AK107&lt;=0,AL107&lt;=0),"",LN(AK107)-LN(AL107))</f>
        <v/>
      </c>
      <c r="AN107" t="n">
        <v>3179</v>
      </c>
      <c r="AO107" t="n">
        <v>57309</v>
      </c>
      <c r="AP107" s="88">
        <f>IF(OR(AN107&lt;=0,AO107&lt;=0),"",LN(AN107)-LN(AO107))</f>
        <v/>
      </c>
      <c r="AQ107" t="n">
        <v>3196</v>
      </c>
      <c r="AR107" t="n">
        <v>59159</v>
      </c>
      <c r="AS107" s="88">
        <f>IF(OR(AQ107&lt;=0,AR107&lt;=0),"",LN(AQ107)-LN(AR107))</f>
        <v/>
      </c>
      <c r="AT107" t="n">
        <v>2995</v>
      </c>
      <c r="AU107" t="n">
        <v>59083</v>
      </c>
      <c r="AV107" t="n">
        <v>403</v>
      </c>
      <c r="AW107" t="n">
        <v>255</v>
      </c>
      <c r="AX107" t="n">
        <v>3005</v>
      </c>
      <c r="AY107" s="88">
        <f>IF(OR(AT107&lt;=0,AU107&lt;=0),"",LN(AT107)-LN(AU107))</f>
        <v/>
      </c>
      <c r="AZ107" s="46" t="n">
        <v>0</v>
      </c>
      <c r="BA107" s="46" t="n">
        <v>3.18</v>
      </c>
      <c r="BB107" s="47" t="n">
        <v>8.6</v>
      </c>
    </row>
    <row r="108">
      <c r="A108" s="48" t="n">
        <v>45398</v>
      </c>
      <c r="B108" s="49" t="n">
        <v>121305</v>
      </c>
      <c r="C108" s="50" t="n">
        <v>28.72</v>
      </c>
      <c r="D108" s="51" t="inlineStr">
        <is>
          <t>Moderate</t>
        </is>
      </c>
      <c r="E108" s="52" t="n">
        <v>13.3</v>
      </c>
      <c r="F108" s="52" t="n">
        <v>2.3</v>
      </c>
      <c r="G108" s="51" t="inlineStr">
        <is>
          <t>Tue</t>
        </is>
      </c>
      <c r="H108" s="51" t="inlineStr">
        <is>
          <t>Weekday</t>
        </is>
      </c>
      <c r="I108" s="51" t="inlineStr">
        <is>
          <t>Spring</t>
        </is>
      </c>
      <c r="J108" s="51" t="n">
        <v>25</v>
      </c>
      <c r="K108" s="51" t="inlineStr">
        <is>
          <t>OK</t>
        </is>
      </c>
      <c r="L108" s="46" t="n">
        <v>82.72</v>
      </c>
      <c r="M108" t="inlineStr">
        <is>
          <t>Bad</t>
        </is>
      </c>
      <c r="N108" s="87" t="n">
        <v>25</v>
      </c>
      <c r="O108" s="87" t="n">
        <v>1</v>
      </c>
      <c r="P108" s="87" t="n">
        <v>0</v>
      </c>
      <c r="Q108" s="87" t="n">
        <v>1</v>
      </c>
      <c r="R108" s="87" t="n">
        <v>0</v>
      </c>
      <c r="S108" s="47" t="n">
        <v>2.5</v>
      </c>
      <c r="T108" s="47" t="n">
        <v>82.59999999999999</v>
      </c>
      <c r="U108" s="47" t="n"/>
      <c r="V108" s="87" t="n">
        <v>0</v>
      </c>
      <c r="W108" s="87" t="n">
        <v>0</v>
      </c>
      <c r="Y108" t="inlineStr">
        <is>
          <t>Apr</t>
        </is>
      </c>
      <c r="Z108" s="87" t="n">
        <v>2024</v>
      </c>
      <c r="AA108" s="47">
        <f>IF(F108="",0,F108)</f>
        <v/>
      </c>
      <c r="AB108" s="87">
        <f>IF(AA108&gt;=0.1,1,0)</f>
        <v/>
      </c>
      <c r="AC108" s="87" t="n">
        <v>0</v>
      </c>
      <c r="AD108" s="47">
        <f>IF(U108="",0,U108)</f>
        <v/>
      </c>
      <c r="AE108" s="87">
        <f>IF(OR(V108=1,W108=1),1,0)</f>
        <v/>
      </c>
      <c r="AF108" s="87" t="n">
        <v>0</v>
      </c>
      <c r="AG108" t="n">
        <v>6668</v>
      </c>
      <c r="AH108" t="n">
        <v>114637</v>
      </c>
      <c r="AI108" t="n">
        <v>0</v>
      </c>
      <c r="AJ108" s="88">
        <f>IF(OR(AG108&lt;=0,AH108&lt;=0),"",LN(AG108)-LN(AH108))</f>
        <v/>
      </c>
      <c r="AK108" t="n">
        <v>18196</v>
      </c>
      <c r="AL108" t="n">
        <v>103109</v>
      </c>
      <c r="AM108" s="88">
        <f>IF(OR(AK108&lt;=0,AL108&lt;=0),"",LN(AK108)-LN(AL108))</f>
        <v/>
      </c>
      <c r="AN108" t="n">
        <v>6483</v>
      </c>
      <c r="AO108" t="n">
        <v>111123</v>
      </c>
      <c r="AP108" s="88">
        <f>IF(OR(AN108&lt;=0,AO108&lt;=0),"",LN(AN108)-LN(AO108))</f>
        <v/>
      </c>
      <c r="AQ108" t="n">
        <v>6498</v>
      </c>
      <c r="AR108" t="n">
        <v>114637</v>
      </c>
      <c r="AS108" s="88">
        <f>IF(OR(AQ108&lt;=0,AR108&lt;=0),"",LN(AQ108)-LN(AR108))</f>
        <v/>
      </c>
      <c r="AT108" t="n">
        <v>8037</v>
      </c>
      <c r="AU108" t="n">
        <v>112506</v>
      </c>
      <c r="AV108" t="n">
        <v>802</v>
      </c>
      <c r="AW108" t="n">
        <v>680</v>
      </c>
      <c r="AX108" t="n">
        <v>5951</v>
      </c>
      <c r="AY108" s="88">
        <f>IF(OR(AT108&lt;=0,AU108&lt;=0),"",LN(AT108)-LN(AU108))</f>
        <v/>
      </c>
      <c r="AZ108" s="46" t="n">
        <v>3.7</v>
      </c>
      <c r="BA108" s="46" t="n">
        <v>13.45</v>
      </c>
      <c r="BB108" s="47" t="n">
        <v>6.3</v>
      </c>
    </row>
    <row r="109">
      <c r="A109" s="48" t="n">
        <v>45399</v>
      </c>
      <c r="B109" s="49" t="n">
        <v>163243</v>
      </c>
      <c r="C109" s="50" t="n">
        <v>41.8</v>
      </c>
      <c r="D109" s="51" t="inlineStr">
        <is>
          <t>Bad</t>
        </is>
      </c>
      <c r="E109" s="52" t="n">
        <v>15</v>
      </c>
      <c r="F109" s="52" t="n"/>
      <c r="G109" s="51" t="inlineStr">
        <is>
          <t>Wed</t>
        </is>
      </c>
      <c r="H109" s="51" t="inlineStr">
        <is>
          <t>Weekday</t>
        </is>
      </c>
      <c r="I109" s="51" t="inlineStr">
        <is>
          <t>Spring</t>
        </is>
      </c>
      <c r="J109" s="51" t="n">
        <v>25</v>
      </c>
      <c r="K109" s="51" t="inlineStr">
        <is>
          <t>강수량 공란</t>
        </is>
      </c>
      <c r="L109" s="46" t="n">
        <v>139.2</v>
      </c>
      <c r="M109" t="inlineStr">
        <is>
          <t>Bad</t>
        </is>
      </c>
      <c r="N109" s="87" t="n">
        <v>25</v>
      </c>
      <c r="O109" s="87" t="n">
        <v>1</v>
      </c>
      <c r="P109" s="87" t="n">
        <v>0</v>
      </c>
      <c r="Q109" s="87" t="n">
        <v>1</v>
      </c>
      <c r="R109" s="87" t="n">
        <v>0</v>
      </c>
      <c r="S109" s="47" t="n">
        <v>2.2</v>
      </c>
      <c r="T109" s="47" t="n">
        <v>65.3</v>
      </c>
      <c r="U109" s="47" t="n"/>
      <c r="V109" s="87" t="n">
        <v>0</v>
      </c>
      <c r="W109" s="87" t="n">
        <v>0</v>
      </c>
      <c r="Y109" t="inlineStr">
        <is>
          <t>Apr</t>
        </is>
      </c>
      <c r="Z109" s="87" t="n">
        <v>2024</v>
      </c>
      <c r="AA109" s="47">
        <f>IF(F109="",0,F109)</f>
        <v/>
      </c>
      <c r="AB109" s="87">
        <f>IF(AA109&gt;=0.1,1,0)</f>
        <v/>
      </c>
      <c r="AC109" s="87" t="n">
        <v>0</v>
      </c>
      <c r="AD109" s="47">
        <f>IF(U109="",0,U109)</f>
        <v/>
      </c>
      <c r="AE109" s="87">
        <f>IF(OR(V109=1,W109=1),1,0)</f>
        <v/>
      </c>
      <c r="AF109" s="87" t="n">
        <v>0</v>
      </c>
      <c r="AG109" t="n">
        <v>9281</v>
      </c>
      <c r="AH109" t="n">
        <v>153962</v>
      </c>
      <c r="AI109" t="n">
        <v>0</v>
      </c>
      <c r="AJ109" s="88">
        <f>IF(OR(AG109&lt;=0,AH109&lt;=0),"",LN(AG109)-LN(AH109))</f>
        <v/>
      </c>
      <c r="AK109" t="n">
        <v>24722</v>
      </c>
      <c r="AL109" t="n">
        <v>138521</v>
      </c>
      <c r="AM109" s="88">
        <f>IF(OR(AK109&lt;=0,AL109&lt;=0),"",LN(AK109)-LN(AL109))</f>
        <v/>
      </c>
      <c r="AN109" t="n">
        <v>8986</v>
      </c>
      <c r="AO109" t="n">
        <v>149375</v>
      </c>
      <c r="AP109" s="88">
        <f>IF(OR(AN109&lt;=0,AO109&lt;=0),"",LN(AN109)-LN(AO109))</f>
        <v/>
      </c>
      <c r="AQ109" t="n">
        <v>9012</v>
      </c>
      <c r="AR109" t="n">
        <v>153962</v>
      </c>
      <c r="AS109" s="88">
        <f>IF(OR(AQ109&lt;=0,AR109&lt;=0),"",LN(AQ109)-LN(AR109))</f>
        <v/>
      </c>
      <c r="AT109" t="n">
        <v>9370</v>
      </c>
      <c r="AU109" t="n">
        <v>152913</v>
      </c>
      <c r="AV109" t="n">
        <v>1019</v>
      </c>
      <c r="AW109" t="n">
        <v>909</v>
      </c>
      <c r="AX109" t="n">
        <v>8306</v>
      </c>
      <c r="AY109" s="88">
        <f>IF(OR(AT109&lt;=0,AU109&lt;=0),"",LN(AT109)-LN(AU109))</f>
        <v/>
      </c>
      <c r="AZ109" s="46" t="n">
        <v>10.3</v>
      </c>
      <c r="BA109" s="46" t="n">
        <v>23.2</v>
      </c>
      <c r="BB109" s="47" t="n">
        <v>4.6</v>
      </c>
    </row>
    <row r="110">
      <c r="A110" s="48" t="n">
        <v>45400</v>
      </c>
      <c r="B110" s="49" t="n">
        <v>170392</v>
      </c>
      <c r="C110" s="50" t="n">
        <v>27.72</v>
      </c>
      <c r="D110" s="51" t="inlineStr">
        <is>
          <t>Moderate</t>
        </is>
      </c>
      <c r="E110" s="52" t="n">
        <v>17.3</v>
      </c>
      <c r="F110" s="52" t="n"/>
      <c r="G110" s="51" t="inlineStr">
        <is>
          <t>Thu</t>
        </is>
      </c>
      <c r="H110" s="51" t="inlineStr">
        <is>
          <t>Weekday</t>
        </is>
      </c>
      <c r="I110" s="51" t="inlineStr">
        <is>
          <t>Spring</t>
        </is>
      </c>
      <c r="J110" s="51" t="n">
        <v>25</v>
      </c>
      <c r="K110" s="51" t="inlineStr">
        <is>
          <t>강수량 공란</t>
        </is>
      </c>
      <c r="L110" s="46" t="n">
        <v>111.8</v>
      </c>
      <c r="M110" t="inlineStr">
        <is>
          <t>Bad</t>
        </is>
      </c>
      <c r="N110" s="87" t="n">
        <v>25</v>
      </c>
      <c r="O110" s="87" t="n">
        <v>0</v>
      </c>
      <c r="P110" s="87" t="n">
        <v>0</v>
      </c>
      <c r="Q110" s="87" t="n">
        <v>1</v>
      </c>
      <c r="R110" s="87" t="n">
        <v>0</v>
      </c>
      <c r="S110" s="47" t="n">
        <v>2.2</v>
      </c>
      <c r="T110" s="47" t="n">
        <v>53.3</v>
      </c>
      <c r="U110" s="47" t="n"/>
      <c r="V110" s="87" t="n">
        <v>0</v>
      </c>
      <c r="W110" s="87" t="n">
        <v>0</v>
      </c>
      <c r="Y110" t="inlineStr">
        <is>
          <t>Apr</t>
        </is>
      </c>
      <c r="Z110" s="87" t="n">
        <v>2024</v>
      </c>
      <c r="AA110" s="47">
        <f>IF(F110="",0,F110)</f>
        <v/>
      </c>
      <c r="AB110" s="87">
        <f>IF(AA110&gt;=0.1,1,0)</f>
        <v/>
      </c>
      <c r="AC110" s="87" t="n">
        <v>0</v>
      </c>
      <c r="AD110" s="47">
        <f>IF(U110="",0,U110)</f>
        <v/>
      </c>
      <c r="AE110" s="87">
        <f>IF(OR(V110=1,W110=1),1,0)</f>
        <v/>
      </c>
      <c r="AF110" s="87" t="n">
        <v>0</v>
      </c>
      <c r="AG110" t="n">
        <v>9769</v>
      </c>
      <c r="AH110" t="n">
        <v>160623</v>
      </c>
      <c r="AI110" t="n">
        <v>0</v>
      </c>
      <c r="AJ110" s="88">
        <f>IF(OR(AG110&lt;=0,AH110&lt;=0),"",LN(AG110)-LN(AH110))</f>
        <v/>
      </c>
      <c r="AK110" t="n">
        <v>26052</v>
      </c>
      <c r="AL110" t="n">
        <v>144340</v>
      </c>
      <c r="AM110" s="88">
        <f>IF(OR(AK110&lt;=0,AL110&lt;=0),"",LN(AK110)-LN(AL110))</f>
        <v/>
      </c>
      <c r="AN110" t="n">
        <v>9462</v>
      </c>
      <c r="AO110" t="n">
        <v>155796</v>
      </c>
      <c r="AP110" s="88">
        <f>IF(OR(AN110&lt;=0,AO110&lt;=0),"",LN(AN110)-LN(AO110))</f>
        <v/>
      </c>
      <c r="AQ110" t="n">
        <v>9502</v>
      </c>
      <c r="AR110" t="n">
        <v>160623</v>
      </c>
      <c r="AS110" s="88">
        <f>IF(OR(AQ110&lt;=0,AR110&lt;=0),"",LN(AQ110)-LN(AR110))</f>
        <v/>
      </c>
      <c r="AT110" t="n">
        <v>10012</v>
      </c>
      <c r="AU110" t="n">
        <v>159338</v>
      </c>
      <c r="AV110" t="n">
        <v>1101</v>
      </c>
      <c r="AW110" t="n">
        <v>996</v>
      </c>
      <c r="AX110" t="n">
        <v>8709</v>
      </c>
      <c r="AY110" s="88">
        <f>IF(OR(AT110&lt;=0,AU110&lt;=0),"",LN(AT110)-LN(AU110))</f>
        <v/>
      </c>
      <c r="AZ110" s="46" t="n">
        <v>11.7</v>
      </c>
      <c r="BA110" s="46" t="n">
        <v>25.45</v>
      </c>
      <c r="BB110" s="47" t="n">
        <v>0</v>
      </c>
    </row>
    <row r="111">
      <c r="A111" s="48" t="n">
        <v>45401</v>
      </c>
      <c r="B111" s="49" t="n">
        <v>176552</v>
      </c>
      <c r="C111" s="50" t="n">
        <v>30.28</v>
      </c>
      <c r="D111" s="51" t="inlineStr">
        <is>
          <t>Moderate</t>
        </is>
      </c>
      <c r="E111" s="52" t="n">
        <v>17.6</v>
      </c>
      <c r="F111" s="52" t="n"/>
      <c r="G111" s="51" t="inlineStr">
        <is>
          <t>Fri</t>
        </is>
      </c>
      <c r="H111" s="51" t="inlineStr">
        <is>
          <t>Weekday</t>
        </is>
      </c>
      <c r="I111" s="51" t="inlineStr">
        <is>
          <t>Spring</t>
        </is>
      </c>
      <c r="J111" s="51" t="n">
        <v>25</v>
      </c>
      <c r="K111" s="51" t="inlineStr">
        <is>
          <t>강수량 공란</t>
        </is>
      </c>
      <c r="L111" s="46" t="n">
        <v>93.68000000000001</v>
      </c>
      <c r="M111" t="inlineStr">
        <is>
          <t>Bad</t>
        </is>
      </c>
      <c r="N111" s="87" t="n">
        <v>25</v>
      </c>
      <c r="O111" s="87" t="n">
        <v>0</v>
      </c>
      <c r="P111" s="87" t="n">
        <v>0</v>
      </c>
      <c r="Q111" s="87" t="n">
        <v>0</v>
      </c>
      <c r="R111" s="87" t="n">
        <v>0</v>
      </c>
      <c r="S111" s="47" t="n">
        <v>2.1</v>
      </c>
      <c r="T111" s="47" t="n">
        <v>51.8</v>
      </c>
      <c r="U111" s="47" t="n"/>
      <c r="V111" s="87" t="n">
        <v>0</v>
      </c>
      <c r="W111" s="87" t="n">
        <v>0</v>
      </c>
      <c r="Y111" t="inlineStr">
        <is>
          <t>Apr</t>
        </is>
      </c>
      <c r="Z111" s="87" t="n">
        <v>2024</v>
      </c>
      <c r="AA111" s="47">
        <f>IF(F111="",0,F111)</f>
        <v/>
      </c>
      <c r="AB111" s="87">
        <f>IF(AA111&gt;=0.1,1,0)</f>
        <v/>
      </c>
      <c r="AC111" s="87" t="n">
        <v>0</v>
      </c>
      <c r="AD111" s="47">
        <f>IF(U111="",0,U111)</f>
        <v/>
      </c>
      <c r="AE111" s="87">
        <f>IF(OR(V111=1,W111=1),1,0)</f>
        <v/>
      </c>
      <c r="AF111" s="87" t="n">
        <v>0</v>
      </c>
      <c r="AG111" t="n">
        <v>10766</v>
      </c>
      <c r="AH111" t="n">
        <v>165786</v>
      </c>
      <c r="AI111" t="n">
        <v>0</v>
      </c>
      <c r="AJ111" s="88">
        <f>IF(OR(AG111&lt;=0,AH111&lt;=0),"",LN(AG111)-LN(AH111))</f>
        <v/>
      </c>
      <c r="AK111" t="n">
        <v>27581</v>
      </c>
      <c r="AL111" t="n">
        <v>148971</v>
      </c>
      <c r="AM111" s="88">
        <f>IF(OR(AK111&lt;=0,AL111&lt;=0),"",LN(AK111)-LN(AL111))</f>
        <v/>
      </c>
      <c r="AN111" t="n">
        <v>10392</v>
      </c>
      <c r="AO111" t="n">
        <v>160705</v>
      </c>
      <c r="AP111" s="88">
        <f>IF(OR(AN111&lt;=0,AO111&lt;=0),"",LN(AN111)-LN(AO111))</f>
        <v/>
      </c>
      <c r="AQ111" t="n">
        <v>10479</v>
      </c>
      <c r="AR111" t="n">
        <v>165786</v>
      </c>
      <c r="AS111" s="88">
        <f>IF(OR(AQ111&lt;=0,AR111&lt;=0),"",LN(AQ111)-LN(AR111))</f>
        <v/>
      </c>
      <c r="AT111" t="n">
        <v>10835</v>
      </c>
      <c r="AU111" t="n">
        <v>164667</v>
      </c>
      <c r="AV111" t="n">
        <v>1106</v>
      </c>
      <c r="AW111" t="n">
        <v>1136</v>
      </c>
      <c r="AX111" t="n">
        <v>9573</v>
      </c>
      <c r="AY111" s="88">
        <f>IF(OR(AT111&lt;=0,AU111&lt;=0),"",LN(AT111)-LN(AU111))</f>
        <v/>
      </c>
      <c r="AZ111" s="46" t="n">
        <v>10.4</v>
      </c>
      <c r="BA111" s="46" t="n">
        <v>23.5</v>
      </c>
      <c r="BB111" s="47" t="n">
        <v>3.9</v>
      </c>
    </row>
    <row r="112">
      <c r="A112" s="48" t="n">
        <v>45402</v>
      </c>
      <c r="B112" s="49" t="n">
        <v>41454</v>
      </c>
      <c r="C112" s="50" t="n">
        <v>25.92</v>
      </c>
      <c r="D112" s="51" t="inlineStr">
        <is>
          <t>Moderate</t>
        </is>
      </c>
      <c r="E112" s="52" t="n">
        <v>14.9</v>
      </c>
      <c r="F112" s="52" t="n">
        <v>4.8</v>
      </c>
      <c r="G112" s="51" t="inlineStr">
        <is>
          <t>Sat</t>
        </is>
      </c>
      <c r="H112" s="51" t="inlineStr">
        <is>
          <t>Weekend</t>
        </is>
      </c>
      <c r="I112" s="51" t="inlineStr">
        <is>
          <t>Spring</t>
        </is>
      </c>
      <c r="J112" s="51" t="n">
        <v>25</v>
      </c>
      <c r="K112" s="51" t="inlineStr">
        <is>
          <t>OK</t>
        </is>
      </c>
      <c r="L112" s="46" t="n">
        <v>58.4</v>
      </c>
      <c r="M112" t="inlineStr">
        <is>
          <t>Moderate</t>
        </is>
      </c>
      <c r="N112" s="87" t="n">
        <v>25</v>
      </c>
      <c r="O112" s="87" t="n">
        <v>0</v>
      </c>
      <c r="P112" s="87" t="n">
        <v>0</v>
      </c>
      <c r="Q112" s="87" t="n">
        <v>0</v>
      </c>
      <c r="R112" s="87" t="n">
        <v>0</v>
      </c>
      <c r="S112" s="47" t="n">
        <v>3</v>
      </c>
      <c r="T112" s="47" t="n">
        <v>77.3</v>
      </c>
      <c r="U112" s="47" t="n"/>
      <c r="V112" s="87" t="n">
        <v>1</v>
      </c>
      <c r="W112" s="87" t="n">
        <v>0</v>
      </c>
      <c r="Y112" t="inlineStr">
        <is>
          <t>Apr</t>
        </is>
      </c>
      <c r="Z112" s="87" t="n">
        <v>2024</v>
      </c>
      <c r="AA112" s="47">
        <f>IF(F112="",0,F112)</f>
        <v/>
      </c>
      <c r="AB112" s="87">
        <f>IF(AA112&gt;=0.1,1,0)</f>
        <v/>
      </c>
      <c r="AC112" s="87" t="n">
        <v>0</v>
      </c>
      <c r="AD112" s="47">
        <f>IF(U112="",0,U112)</f>
        <v/>
      </c>
      <c r="AE112" s="87">
        <f>IF(OR(V112=1,W112=1),1,0)</f>
        <v/>
      </c>
      <c r="AF112" s="87" t="n">
        <v>0</v>
      </c>
      <c r="AG112" t="n">
        <v>2300</v>
      </c>
      <c r="AH112" t="n">
        <v>39154</v>
      </c>
      <c r="AI112" t="n">
        <v>0</v>
      </c>
      <c r="AJ112" s="88">
        <f>IF(OR(AG112&lt;=0,AH112&lt;=0),"",LN(AG112)-LN(AH112))</f>
        <v/>
      </c>
      <c r="AK112" t="n">
        <v>5754</v>
      </c>
      <c r="AL112" t="n">
        <v>35700</v>
      </c>
      <c r="AM112" s="88">
        <f>IF(OR(AK112&lt;=0,AL112&lt;=0),"",LN(AK112)-LN(AL112))</f>
        <v/>
      </c>
      <c r="AN112" t="n">
        <v>2246</v>
      </c>
      <c r="AO112" t="n">
        <v>38007</v>
      </c>
      <c r="AP112" s="88">
        <f>IF(OR(AN112&lt;=0,AO112&lt;=0),"",LN(AN112)-LN(AO112))</f>
        <v/>
      </c>
      <c r="AQ112" t="n">
        <v>2242</v>
      </c>
      <c r="AR112" t="n">
        <v>39154</v>
      </c>
      <c r="AS112" s="88">
        <f>IF(OR(AQ112&lt;=0,AR112&lt;=0),"",LN(AQ112)-LN(AR112))</f>
        <v/>
      </c>
      <c r="AT112" t="n">
        <v>2660</v>
      </c>
      <c r="AU112" t="n">
        <v>38555</v>
      </c>
      <c r="AV112" t="n">
        <v>262</v>
      </c>
      <c r="AW112" t="n">
        <v>239</v>
      </c>
      <c r="AX112" t="n">
        <v>2044</v>
      </c>
      <c r="AY112" s="88">
        <f>IF(OR(AT112&lt;=0,AU112&lt;=0),"",LN(AT112)-LN(AU112))</f>
        <v/>
      </c>
      <c r="AZ112" s="46" t="n">
        <v>0</v>
      </c>
      <c r="BA112" s="46" t="n">
        <v>4.46</v>
      </c>
      <c r="BB112" s="47" t="n">
        <v>9.800000000000001</v>
      </c>
    </row>
    <row r="113">
      <c r="A113" s="48" t="n">
        <v>45403</v>
      </c>
      <c r="B113" s="49" t="n">
        <v>129190</v>
      </c>
      <c r="C113" s="50" t="n">
        <v>6.48</v>
      </c>
      <c r="D113" s="51" t="inlineStr">
        <is>
          <t>Good</t>
        </is>
      </c>
      <c r="E113" s="52" t="n">
        <v>17.2</v>
      </c>
      <c r="F113" s="52" t="n"/>
      <c r="G113" s="51" t="inlineStr">
        <is>
          <t>Sun</t>
        </is>
      </c>
      <c r="H113" s="51" t="inlineStr">
        <is>
          <t>Weekend</t>
        </is>
      </c>
      <c r="I113" s="51" t="inlineStr">
        <is>
          <t>Spring</t>
        </is>
      </c>
      <c r="J113" s="51" t="n">
        <v>25</v>
      </c>
      <c r="K113" s="51" t="inlineStr">
        <is>
          <t>강수량 공란</t>
        </is>
      </c>
      <c r="L113" s="46" t="n">
        <v>16.32</v>
      </c>
      <c r="M113" t="inlineStr">
        <is>
          <t>Good</t>
        </is>
      </c>
      <c r="N113" s="87" t="n">
        <v>25</v>
      </c>
      <c r="O113" s="87" t="n">
        <v>0</v>
      </c>
      <c r="P113" s="87" t="n">
        <v>0</v>
      </c>
      <c r="Q113" s="87" t="n">
        <v>0</v>
      </c>
      <c r="R113" s="87" t="n">
        <v>0</v>
      </c>
      <c r="S113" s="47" t="n">
        <v>3.8</v>
      </c>
      <c r="T113" s="47" t="n">
        <v>65.5</v>
      </c>
      <c r="U113" s="47" t="n"/>
      <c r="V113" s="87" t="n">
        <v>1</v>
      </c>
      <c r="W113" s="87" t="n">
        <v>0</v>
      </c>
      <c r="Y113" t="inlineStr">
        <is>
          <t>Apr</t>
        </is>
      </c>
      <c r="Z113" s="87" t="n">
        <v>2024</v>
      </c>
      <c r="AA113" s="47">
        <f>IF(F113="",0,F113)</f>
        <v/>
      </c>
      <c r="AB113" s="87">
        <f>IF(AA113&gt;=0.1,1,0)</f>
        <v/>
      </c>
      <c r="AC113" s="87" t="n">
        <v>0</v>
      </c>
      <c r="AD113" s="47">
        <f>IF(U113="",0,U113)</f>
        <v/>
      </c>
      <c r="AE113" s="87">
        <f>IF(OR(V113=1,W113=1),1,0)</f>
        <v/>
      </c>
      <c r="AF113" s="87" t="n">
        <v>0</v>
      </c>
      <c r="AG113" t="n">
        <v>10852</v>
      </c>
      <c r="AH113" t="n">
        <v>118338</v>
      </c>
      <c r="AI113" t="n">
        <v>0</v>
      </c>
      <c r="AJ113" s="88">
        <f>IF(OR(AG113&lt;=0,AH113&lt;=0),"",LN(AG113)-LN(AH113))</f>
        <v/>
      </c>
      <c r="AK113" t="n">
        <v>23879</v>
      </c>
      <c r="AL113" t="n">
        <v>105311</v>
      </c>
      <c r="AM113" s="88">
        <f>IF(OR(AK113&lt;=0,AL113&lt;=0),"",LN(AK113)-LN(AL113))</f>
        <v/>
      </c>
      <c r="AN113" t="n">
        <v>10527</v>
      </c>
      <c r="AO113" t="n">
        <v>114878</v>
      </c>
      <c r="AP113" s="88">
        <f>IF(OR(AN113&lt;=0,AO113&lt;=0),"",LN(AN113)-LN(AO113))</f>
        <v/>
      </c>
      <c r="AQ113" t="n">
        <v>10435</v>
      </c>
      <c r="AR113" t="n">
        <v>118338</v>
      </c>
      <c r="AS113" s="88">
        <f>IF(OR(AQ113&lt;=0,AR113&lt;=0),"",LN(AQ113)-LN(AR113))</f>
        <v/>
      </c>
      <c r="AT113" t="n">
        <v>12816</v>
      </c>
      <c r="AU113" t="n">
        <v>115653</v>
      </c>
      <c r="AV113" t="n">
        <v>756</v>
      </c>
      <c r="AW113" t="n">
        <v>1805</v>
      </c>
      <c r="AX113" t="n">
        <v>8967</v>
      </c>
      <c r="AY113" s="88">
        <f>IF(OR(AT113&lt;=0,AU113&lt;=0),"",LN(AT113)-LN(AU113))</f>
        <v/>
      </c>
      <c r="AZ113" s="46" t="n">
        <v>1</v>
      </c>
      <c r="BA113" s="46" t="n">
        <v>11.86</v>
      </c>
      <c r="BB113" s="47" t="n">
        <v>8.800000000000001</v>
      </c>
    </row>
    <row r="114">
      <c r="A114" s="48" t="n">
        <v>45404</v>
      </c>
      <c r="B114" s="49" t="n">
        <v>176570</v>
      </c>
      <c r="C114" s="50" t="n">
        <v>15.84</v>
      </c>
      <c r="D114" s="51" t="inlineStr">
        <is>
          <t>Moderate</t>
        </is>
      </c>
      <c r="E114" s="52" t="n">
        <v>18.8</v>
      </c>
      <c r="F114" s="52" t="n"/>
      <c r="G114" s="51" t="inlineStr">
        <is>
          <t>Mon</t>
        </is>
      </c>
      <c r="H114" s="51" t="inlineStr">
        <is>
          <t>Weekday</t>
        </is>
      </c>
      <c r="I114" s="51" t="inlineStr">
        <is>
          <t>Spring</t>
        </is>
      </c>
      <c r="J114" s="51" t="n">
        <v>25</v>
      </c>
      <c r="K114" s="51" t="inlineStr">
        <is>
          <t>강수량 공란</t>
        </is>
      </c>
      <c r="L114" s="46" t="n">
        <v>30.36</v>
      </c>
      <c r="M114" t="inlineStr">
        <is>
          <t>Moderate</t>
        </is>
      </c>
      <c r="N114" s="87" t="n">
        <v>25</v>
      </c>
      <c r="O114" s="87" t="n">
        <v>0</v>
      </c>
      <c r="P114" s="87" t="n">
        <v>0</v>
      </c>
      <c r="Q114" s="87" t="n">
        <v>0</v>
      </c>
      <c r="R114" s="87" t="n">
        <v>0</v>
      </c>
      <c r="S114" s="47" t="n">
        <v>3.1</v>
      </c>
      <c r="T114" s="47" t="n">
        <v>49.4</v>
      </c>
      <c r="U114" s="47" t="n"/>
      <c r="V114" s="87" t="n">
        <v>0</v>
      </c>
      <c r="W114" s="87" t="n">
        <v>0</v>
      </c>
      <c r="Y114" t="inlineStr">
        <is>
          <t>Apr</t>
        </is>
      </c>
      <c r="Z114" s="87" t="n">
        <v>2024</v>
      </c>
      <c r="AA114" s="47">
        <f>IF(F114="",0,F114)</f>
        <v/>
      </c>
      <c r="AB114" s="87">
        <f>IF(AA114&gt;=0.1,1,0)</f>
        <v/>
      </c>
      <c r="AC114" s="87" t="n">
        <v>0</v>
      </c>
      <c r="AD114" s="47">
        <f>IF(U114="",0,U114)</f>
        <v/>
      </c>
      <c r="AE114" s="87">
        <f>IF(OR(V114=1,W114=1),1,0)</f>
        <v/>
      </c>
      <c r="AF114" s="87" t="n">
        <v>0</v>
      </c>
      <c r="AG114" t="n">
        <v>11139</v>
      </c>
      <c r="AH114" t="n">
        <v>165431</v>
      </c>
      <c r="AI114" t="n">
        <v>0</v>
      </c>
      <c r="AJ114" s="88">
        <f>IF(OR(AG114&lt;=0,AH114&lt;=0),"",LN(AG114)-LN(AH114))</f>
        <v/>
      </c>
      <c r="AK114" t="n">
        <v>28311</v>
      </c>
      <c r="AL114" t="n">
        <v>148259</v>
      </c>
      <c r="AM114" s="88">
        <f>IF(OR(AK114&lt;=0,AL114&lt;=0),"",LN(AK114)-LN(AL114))</f>
        <v/>
      </c>
      <c r="AN114" t="n">
        <v>10808</v>
      </c>
      <c r="AO114" t="n">
        <v>160411</v>
      </c>
      <c r="AP114" s="88">
        <f>IF(OR(AN114&lt;=0,AO114&lt;=0),"",LN(AN114)-LN(AO114))</f>
        <v/>
      </c>
      <c r="AQ114" t="n">
        <v>10870</v>
      </c>
      <c r="AR114" t="n">
        <v>165431</v>
      </c>
      <c r="AS114" s="88">
        <f>IF(OR(AQ114&lt;=0,AR114&lt;=0),"",LN(AQ114)-LN(AR114))</f>
        <v/>
      </c>
      <c r="AT114" t="n">
        <v>10974</v>
      </c>
      <c r="AU114" t="n">
        <v>164552</v>
      </c>
      <c r="AV114" t="n">
        <v>1091</v>
      </c>
      <c r="AW114" t="n">
        <v>1164</v>
      </c>
      <c r="AX114" t="n">
        <v>9884</v>
      </c>
      <c r="AY114" s="88">
        <f>IF(OR(AT114&lt;=0,AU114&lt;=0),"",LN(AT114)-LN(AU114))</f>
        <v/>
      </c>
      <c r="AZ114" s="46" t="n">
        <v>4.6</v>
      </c>
      <c r="BA114" s="46" t="n">
        <v>19.34</v>
      </c>
      <c r="BB114" s="47" t="n">
        <v>6.5</v>
      </c>
    </row>
    <row r="115">
      <c r="A115" s="48" t="n">
        <v>45405</v>
      </c>
      <c r="B115" s="49" t="n">
        <v>151834</v>
      </c>
      <c r="C115" s="50" t="n">
        <v>10.08</v>
      </c>
      <c r="D115" s="51" t="inlineStr">
        <is>
          <t>Good</t>
        </is>
      </c>
      <c r="E115" s="52" t="n">
        <v>17.3</v>
      </c>
      <c r="F115" s="52" t="n">
        <v>0</v>
      </c>
      <c r="G115" s="51" t="inlineStr">
        <is>
          <t>Tue</t>
        </is>
      </c>
      <c r="H115" s="51" t="inlineStr">
        <is>
          <t>Weekday</t>
        </is>
      </c>
      <c r="I115" s="51" t="inlineStr">
        <is>
          <t>Spring</t>
        </is>
      </c>
      <c r="J115" s="51" t="n">
        <v>25</v>
      </c>
      <c r="K115" s="51" t="inlineStr">
        <is>
          <t>OK</t>
        </is>
      </c>
      <c r="L115" s="46" t="n">
        <v>20.28</v>
      </c>
      <c r="M115" t="inlineStr">
        <is>
          <t>Good</t>
        </is>
      </c>
      <c r="N115" s="87" t="n">
        <v>25</v>
      </c>
      <c r="O115" s="87" t="n">
        <v>0</v>
      </c>
      <c r="P115" s="87" t="n">
        <v>0</v>
      </c>
      <c r="Q115" s="87" t="n">
        <v>0</v>
      </c>
      <c r="R115" s="87" t="n">
        <v>0</v>
      </c>
      <c r="S115" s="47" t="n">
        <v>3.6</v>
      </c>
      <c r="T115" s="47" t="n">
        <v>55</v>
      </c>
      <c r="U115" s="47" t="n"/>
      <c r="V115" s="87" t="n">
        <v>0</v>
      </c>
      <c r="W115" s="87" t="n">
        <v>0</v>
      </c>
      <c r="Y115" t="inlineStr">
        <is>
          <t>Apr</t>
        </is>
      </c>
      <c r="Z115" s="87" t="n">
        <v>2024</v>
      </c>
      <c r="AA115" s="47">
        <f>IF(F115="",0,F115)</f>
        <v/>
      </c>
      <c r="AB115" s="87">
        <f>IF(AA115&gt;=0.1,1,0)</f>
        <v/>
      </c>
      <c r="AC115" s="87" t="n">
        <v>1</v>
      </c>
      <c r="AD115" s="47">
        <f>IF(U115="",0,U115)</f>
        <v/>
      </c>
      <c r="AE115" s="87">
        <f>IF(OR(V115=1,W115=1),1,0)</f>
        <v/>
      </c>
      <c r="AF115" s="87" t="n">
        <v>0</v>
      </c>
      <c r="AG115" t="n">
        <v>7941</v>
      </c>
      <c r="AH115" t="n">
        <v>143893</v>
      </c>
      <c r="AI115" t="n">
        <v>0</v>
      </c>
      <c r="AJ115" s="88">
        <f>IF(OR(AG115&lt;=0,AH115&lt;=0),"",LN(AG115)-LN(AH115))</f>
        <v/>
      </c>
      <c r="AK115" t="n">
        <v>22390</v>
      </c>
      <c r="AL115" t="n">
        <v>129444</v>
      </c>
      <c r="AM115" s="88">
        <f>IF(OR(AK115&lt;=0,AL115&lt;=0),"",LN(AK115)-LN(AL115))</f>
        <v/>
      </c>
      <c r="AN115" t="n">
        <v>7702</v>
      </c>
      <c r="AO115" t="n">
        <v>139613</v>
      </c>
      <c r="AP115" s="88">
        <f>IF(OR(AN115&lt;=0,AO115&lt;=0),"",LN(AN115)-LN(AO115))</f>
        <v/>
      </c>
      <c r="AQ115" t="n">
        <v>7714</v>
      </c>
      <c r="AR115" t="n">
        <v>143893</v>
      </c>
      <c r="AS115" s="88">
        <f>IF(OR(AQ115&lt;=0,AR115&lt;=0),"",LN(AQ115)-LN(AR115))</f>
        <v/>
      </c>
      <c r="AT115" t="n">
        <v>8563</v>
      </c>
      <c r="AU115" t="n">
        <v>142444</v>
      </c>
      <c r="AV115" t="n">
        <v>882</v>
      </c>
      <c r="AW115" t="n">
        <v>676</v>
      </c>
      <c r="AX115" t="n">
        <v>7210</v>
      </c>
      <c r="AY115" s="88">
        <f>IF(OR(AT115&lt;=0,AU115&lt;=0),"",LN(AT115)-LN(AU115))</f>
        <v/>
      </c>
      <c r="AZ115" s="46" t="n">
        <v>6</v>
      </c>
      <c r="BA115" s="46" t="n">
        <v>19.16</v>
      </c>
      <c r="BB115" s="47" t="n">
        <v>7.9</v>
      </c>
    </row>
    <row r="116">
      <c r="A116" s="48" t="n">
        <v>45406</v>
      </c>
      <c r="B116" s="49" t="n">
        <v>109241</v>
      </c>
      <c r="C116" s="50" t="n">
        <v>5.36</v>
      </c>
      <c r="D116" s="51" t="inlineStr">
        <is>
          <t>Good</t>
        </is>
      </c>
      <c r="E116" s="52" t="n">
        <v>13.2</v>
      </c>
      <c r="F116" s="52" t="n">
        <v>9</v>
      </c>
      <c r="G116" s="51" t="inlineStr">
        <is>
          <t>Wed</t>
        </is>
      </c>
      <c r="H116" s="51" t="inlineStr">
        <is>
          <t>Weekday</t>
        </is>
      </c>
      <c r="I116" s="51" t="inlineStr">
        <is>
          <t>Spring</t>
        </is>
      </c>
      <c r="J116" s="51" t="n">
        <v>25</v>
      </c>
      <c r="K116" s="51" t="inlineStr">
        <is>
          <t>OK</t>
        </is>
      </c>
      <c r="L116" s="46" t="n">
        <v>11.68</v>
      </c>
      <c r="M116" t="inlineStr">
        <is>
          <t>Good</t>
        </is>
      </c>
      <c r="N116" s="87" t="n">
        <v>25</v>
      </c>
      <c r="O116" s="87" t="n">
        <v>0</v>
      </c>
      <c r="P116" s="87" t="n">
        <v>0</v>
      </c>
      <c r="Q116" s="87" t="n">
        <v>0</v>
      </c>
      <c r="R116" s="87" t="n">
        <v>0</v>
      </c>
      <c r="S116" s="47" t="n">
        <v>3</v>
      </c>
      <c r="T116" s="47" t="n">
        <v>80.09999999999999</v>
      </c>
      <c r="U116" s="47" t="n"/>
      <c r="V116" s="87" t="n">
        <v>0</v>
      </c>
      <c r="W116" s="87" t="n">
        <v>0</v>
      </c>
      <c r="Y116" t="inlineStr">
        <is>
          <t>Apr</t>
        </is>
      </c>
      <c r="Z116" s="87" t="n">
        <v>2024</v>
      </c>
      <c r="AA116" s="47">
        <f>IF(F116="",0,F116)</f>
        <v/>
      </c>
      <c r="AB116" s="87">
        <f>IF(AA116&gt;=0.1,1,0)</f>
        <v/>
      </c>
      <c r="AC116" s="87" t="n">
        <v>0</v>
      </c>
      <c r="AD116" s="47">
        <f>IF(U116="",0,U116)</f>
        <v/>
      </c>
      <c r="AE116" s="87">
        <f>IF(OR(V116=1,W116=1),1,0)</f>
        <v/>
      </c>
      <c r="AF116" s="87" t="n">
        <v>0</v>
      </c>
      <c r="AG116" t="n">
        <v>5890</v>
      </c>
      <c r="AH116" t="n">
        <v>103351</v>
      </c>
      <c r="AI116" t="n">
        <v>0</v>
      </c>
      <c r="AJ116" s="88">
        <f>IF(OR(AG116&lt;=0,AH116&lt;=0),"",LN(AG116)-LN(AH116))</f>
        <v/>
      </c>
      <c r="AK116" t="n">
        <v>16234</v>
      </c>
      <c r="AL116" t="n">
        <v>93007</v>
      </c>
      <c r="AM116" s="88">
        <f>IF(OR(AK116&lt;=0,AL116&lt;=0),"",LN(AK116)-LN(AL116))</f>
        <v/>
      </c>
      <c r="AN116" t="n">
        <v>5683</v>
      </c>
      <c r="AO116" t="n">
        <v>100264</v>
      </c>
      <c r="AP116" s="88">
        <f>IF(OR(AN116&lt;=0,AO116&lt;=0),"",LN(AN116)-LN(AO116))</f>
        <v/>
      </c>
      <c r="AQ116" t="n">
        <v>5711</v>
      </c>
      <c r="AR116" t="n">
        <v>103351</v>
      </c>
      <c r="AS116" s="88">
        <f>IF(OR(AQ116&lt;=0,AR116&lt;=0),"",LN(AQ116)-LN(AR116))</f>
        <v/>
      </c>
      <c r="AT116" t="n">
        <v>7296</v>
      </c>
      <c r="AU116" t="n">
        <v>101337</v>
      </c>
      <c r="AV116" t="n">
        <v>649</v>
      </c>
      <c r="AW116" t="n">
        <v>599</v>
      </c>
      <c r="AX116" t="n">
        <v>5250</v>
      </c>
      <c r="AY116" s="88">
        <f>IF(OR(AT116&lt;=0,AU116&lt;=0),"",LN(AT116)-LN(AU116))</f>
        <v/>
      </c>
      <c r="AZ116" s="46" t="n">
        <v>1.9</v>
      </c>
      <c r="BA116" s="46" t="n">
        <v>9.529999999999999</v>
      </c>
      <c r="BB116" s="47" t="n">
        <v>7.8</v>
      </c>
    </row>
    <row r="117">
      <c r="A117" s="48" t="n">
        <v>45407</v>
      </c>
      <c r="B117" s="49" t="n">
        <v>170645</v>
      </c>
      <c r="C117" s="50" t="n">
        <v>19.52</v>
      </c>
      <c r="D117" s="51" t="inlineStr">
        <is>
          <t>Moderate</t>
        </is>
      </c>
      <c r="E117" s="52" t="n">
        <v>14.4</v>
      </c>
      <c r="F117" s="52" t="n"/>
      <c r="G117" s="51" t="inlineStr">
        <is>
          <t>Thu</t>
        </is>
      </c>
      <c r="H117" s="51" t="inlineStr">
        <is>
          <t>Weekday</t>
        </is>
      </c>
      <c r="I117" s="51" t="inlineStr">
        <is>
          <t>Spring</t>
        </is>
      </c>
      <c r="J117" s="51" t="n">
        <v>25</v>
      </c>
      <c r="K117" s="51" t="inlineStr">
        <is>
          <t>강수량 공란</t>
        </is>
      </c>
      <c r="L117" s="46" t="n">
        <v>30.52</v>
      </c>
      <c r="M117" t="inlineStr">
        <is>
          <t>Moderate</t>
        </is>
      </c>
      <c r="N117" s="87" t="n">
        <v>25</v>
      </c>
      <c r="O117" s="87" t="n">
        <v>0</v>
      </c>
      <c r="P117" s="87" t="n">
        <v>0</v>
      </c>
      <c r="Q117" s="87" t="n">
        <v>0</v>
      </c>
      <c r="R117" s="87" t="n">
        <v>0</v>
      </c>
      <c r="S117" s="47" t="n">
        <v>1.9</v>
      </c>
      <c r="T117" s="47" t="n">
        <v>75.59999999999999</v>
      </c>
      <c r="U117" s="47" t="n"/>
      <c r="V117" s="87" t="n">
        <v>0</v>
      </c>
      <c r="W117" s="87" t="n">
        <v>0</v>
      </c>
      <c r="Y117" t="inlineStr">
        <is>
          <t>Apr</t>
        </is>
      </c>
      <c r="Z117" s="87" t="n">
        <v>2024</v>
      </c>
      <c r="AA117" s="47">
        <f>IF(F117="",0,F117)</f>
        <v/>
      </c>
      <c r="AB117" s="87">
        <f>IF(AA117&gt;=0.1,1,0)</f>
        <v/>
      </c>
      <c r="AC117" s="87" t="n">
        <v>0</v>
      </c>
      <c r="AD117" s="47">
        <f>IF(U117="",0,U117)</f>
        <v/>
      </c>
      <c r="AE117" s="87">
        <f>IF(OR(V117=1,W117=1),1,0)</f>
        <v/>
      </c>
      <c r="AF117" s="87" t="n">
        <v>0</v>
      </c>
      <c r="AG117" t="n">
        <v>10352</v>
      </c>
      <c r="AH117" t="n">
        <v>160293</v>
      </c>
      <c r="AI117" t="n">
        <v>0</v>
      </c>
      <c r="AJ117" s="88">
        <f>IF(OR(AG117&lt;=0,AH117&lt;=0),"",LN(AG117)-LN(AH117))</f>
        <v/>
      </c>
      <c r="AK117" t="n">
        <v>26393</v>
      </c>
      <c r="AL117" t="n">
        <v>144252</v>
      </c>
      <c r="AM117" s="88">
        <f>IF(OR(AK117&lt;=0,AL117&lt;=0),"",LN(AK117)-LN(AL117))</f>
        <v/>
      </c>
      <c r="AN117" t="n">
        <v>10042</v>
      </c>
      <c r="AO117" t="n">
        <v>155394</v>
      </c>
      <c r="AP117" s="88">
        <f>IF(OR(AN117&lt;=0,AO117&lt;=0),"",LN(AN117)-LN(AO117))</f>
        <v/>
      </c>
      <c r="AQ117" t="n">
        <v>10081</v>
      </c>
      <c r="AR117" t="n">
        <v>160293</v>
      </c>
      <c r="AS117" s="88">
        <f>IF(OR(AQ117&lt;=0,AR117&lt;=0),"",LN(AQ117)-LN(AR117))</f>
        <v/>
      </c>
      <c r="AT117" t="n">
        <v>10221</v>
      </c>
      <c r="AU117" t="n">
        <v>159527</v>
      </c>
      <c r="AV117" t="n">
        <v>945</v>
      </c>
      <c r="AW117" t="n">
        <v>1120</v>
      </c>
      <c r="AX117" t="n">
        <v>9168</v>
      </c>
      <c r="AY117" s="88">
        <f>IF(OR(AT117&lt;=0,AU117&lt;=0),"",LN(AT117)-LN(AU117))</f>
        <v/>
      </c>
      <c r="AZ117" s="46" t="n">
        <v>6.2</v>
      </c>
      <c r="BA117" s="46" t="n">
        <v>18.59</v>
      </c>
      <c r="BB117" s="47" t="n">
        <v>4.4</v>
      </c>
    </row>
    <row r="118">
      <c r="A118" s="48" t="n">
        <v>45408</v>
      </c>
      <c r="B118" s="49" t="n">
        <v>180694</v>
      </c>
      <c r="C118" s="50" t="n">
        <v>26.12</v>
      </c>
      <c r="D118" s="51" t="inlineStr">
        <is>
          <t>Moderate</t>
        </is>
      </c>
      <c r="E118" s="52" t="n">
        <v>17.8</v>
      </c>
      <c r="F118" s="52" t="n"/>
      <c r="G118" s="51" t="inlineStr">
        <is>
          <t>Fri</t>
        </is>
      </c>
      <c r="H118" s="51" t="inlineStr">
        <is>
          <t>Weekday</t>
        </is>
      </c>
      <c r="I118" s="51" t="inlineStr">
        <is>
          <t>Spring</t>
        </is>
      </c>
      <c r="J118" s="51" t="n">
        <v>25</v>
      </c>
      <c r="K118" s="51" t="inlineStr">
        <is>
          <t>강수량 공란</t>
        </is>
      </c>
      <c r="L118" s="46" t="n">
        <v>64.44</v>
      </c>
      <c r="M118" t="inlineStr">
        <is>
          <t>Moderate</t>
        </is>
      </c>
      <c r="N118" s="87" t="n">
        <v>25</v>
      </c>
      <c r="O118" s="87" t="n">
        <v>0</v>
      </c>
      <c r="P118" s="87" t="n">
        <v>0</v>
      </c>
      <c r="Q118" s="87" t="n">
        <v>0</v>
      </c>
      <c r="R118" s="87" t="n">
        <v>0</v>
      </c>
      <c r="S118" s="47" t="n">
        <v>1.9</v>
      </c>
      <c r="T118" s="47" t="n">
        <v>61.1</v>
      </c>
      <c r="U118" s="47" t="n"/>
      <c r="V118" s="87" t="n">
        <v>0</v>
      </c>
      <c r="W118" s="87" t="n">
        <v>0</v>
      </c>
      <c r="Y118" t="inlineStr">
        <is>
          <t>Apr</t>
        </is>
      </c>
      <c r="Z118" s="87" t="n">
        <v>2024</v>
      </c>
      <c r="AA118" s="47">
        <f>IF(F118="",0,F118)</f>
        <v/>
      </c>
      <c r="AB118" s="87">
        <f>IF(AA118&gt;=0.1,1,0)</f>
        <v/>
      </c>
      <c r="AC118" s="87" t="n">
        <v>0</v>
      </c>
      <c r="AD118" s="47">
        <f>IF(U118="",0,U118)</f>
        <v/>
      </c>
      <c r="AE118" s="87">
        <f>IF(OR(V118=1,W118=1),1,0)</f>
        <v/>
      </c>
      <c r="AF118" s="87" t="n">
        <v>0</v>
      </c>
      <c r="AG118" t="n">
        <v>11706</v>
      </c>
      <c r="AH118" t="n">
        <v>168988</v>
      </c>
      <c r="AI118" t="n">
        <v>0</v>
      </c>
      <c r="AJ118" s="88">
        <f>IF(OR(AG118&lt;=0,AH118&lt;=0),"",LN(AG118)-LN(AH118))</f>
        <v/>
      </c>
      <c r="AK118" t="n">
        <v>29349</v>
      </c>
      <c r="AL118" t="n">
        <v>151345</v>
      </c>
      <c r="AM118" s="88">
        <f>IF(OR(AK118&lt;=0,AL118&lt;=0),"",LN(AK118)-LN(AL118))</f>
        <v/>
      </c>
      <c r="AN118" t="n">
        <v>11358</v>
      </c>
      <c r="AO118" t="n">
        <v>163901</v>
      </c>
      <c r="AP118" s="88">
        <f>IF(OR(AN118&lt;=0,AO118&lt;=0),"",LN(AN118)-LN(AO118))</f>
        <v/>
      </c>
      <c r="AQ118" t="n">
        <v>11399</v>
      </c>
      <c r="AR118" t="n">
        <v>168988</v>
      </c>
      <c r="AS118" s="88">
        <f>IF(OR(AQ118&lt;=0,AR118&lt;=0),"",LN(AQ118)-LN(AR118))</f>
        <v/>
      </c>
      <c r="AT118" t="n">
        <v>10944</v>
      </c>
      <c r="AU118" t="n">
        <v>168658</v>
      </c>
      <c r="AV118" t="n">
        <v>1161</v>
      </c>
      <c r="AW118" t="n">
        <v>1236</v>
      </c>
      <c r="AX118" t="n">
        <v>10373</v>
      </c>
      <c r="AY118" s="88">
        <f>IF(OR(AT118&lt;=0,AU118&lt;=0),"",LN(AT118)-LN(AU118))</f>
        <v/>
      </c>
      <c r="AZ118" s="46" t="n">
        <v>10.7</v>
      </c>
      <c r="BA118" s="46" t="n">
        <v>23.74</v>
      </c>
      <c r="BB118" s="47" t="n">
        <v>3.4</v>
      </c>
    </row>
    <row r="119">
      <c r="A119" s="48" t="n">
        <v>45409</v>
      </c>
      <c r="B119" s="49" t="n">
        <v>161802</v>
      </c>
      <c r="C119" s="50" t="n">
        <v>23.36</v>
      </c>
      <c r="D119" s="51" t="inlineStr">
        <is>
          <t>Moderate</t>
        </is>
      </c>
      <c r="E119" s="52" t="n">
        <v>18.2</v>
      </c>
      <c r="F119" s="52" t="n"/>
      <c r="G119" s="51" t="inlineStr">
        <is>
          <t>Sat</t>
        </is>
      </c>
      <c r="H119" s="51" t="inlineStr">
        <is>
          <t>Weekend</t>
        </is>
      </c>
      <c r="I119" s="51" t="inlineStr">
        <is>
          <t>Spring</t>
        </is>
      </c>
      <c r="J119" s="51" t="n">
        <v>25</v>
      </c>
      <c r="K119" s="51" t="inlineStr">
        <is>
          <t>강수량 공란</t>
        </is>
      </c>
      <c r="L119" s="46" t="n">
        <v>49.48</v>
      </c>
      <c r="M119" t="inlineStr">
        <is>
          <t>Moderate</t>
        </is>
      </c>
      <c r="N119" s="87" t="n">
        <v>25</v>
      </c>
      <c r="O119" s="87" t="n">
        <v>0</v>
      </c>
      <c r="P119" s="87" t="n">
        <v>0</v>
      </c>
      <c r="Q119" s="87" t="n">
        <v>0</v>
      </c>
      <c r="R119" s="87" t="n">
        <v>0</v>
      </c>
      <c r="S119" s="47" t="n">
        <v>1.9</v>
      </c>
      <c r="T119" s="47" t="n">
        <v>56.4</v>
      </c>
      <c r="U119" s="47" t="n"/>
      <c r="V119" s="87" t="n">
        <v>1</v>
      </c>
      <c r="W119" s="87" t="n">
        <v>0</v>
      </c>
      <c r="Y119" t="inlineStr">
        <is>
          <t>Apr</t>
        </is>
      </c>
      <c r="Z119" s="87" t="n">
        <v>2024</v>
      </c>
      <c r="AA119" s="47">
        <f>IF(F119="",0,F119)</f>
        <v/>
      </c>
      <c r="AB119" s="87">
        <f>IF(AA119&gt;=0.1,1,0)</f>
        <v/>
      </c>
      <c r="AC119" s="87" t="n">
        <v>0</v>
      </c>
      <c r="AD119" s="47">
        <f>IF(U119="",0,U119)</f>
        <v/>
      </c>
      <c r="AE119" s="87">
        <f>IF(OR(V119=1,W119=1),1,0)</f>
        <v/>
      </c>
      <c r="AF119" s="87" t="n">
        <v>0</v>
      </c>
      <c r="AG119" t="n">
        <v>15468</v>
      </c>
      <c r="AH119" t="n">
        <v>146334</v>
      </c>
      <c r="AI119" t="n">
        <v>0</v>
      </c>
      <c r="AJ119" s="88">
        <f>IF(OR(AG119&lt;=0,AH119&lt;=0),"",LN(AG119)-LN(AH119))</f>
        <v/>
      </c>
      <c r="AK119" t="n">
        <v>32453</v>
      </c>
      <c r="AL119" t="n">
        <v>129349</v>
      </c>
      <c r="AM119" s="88">
        <f>IF(OR(AK119&lt;=0,AL119&lt;=0),"",LN(AK119)-LN(AL119))</f>
        <v/>
      </c>
      <c r="AN119" t="n">
        <v>15082</v>
      </c>
      <c r="AO119" t="n">
        <v>142074</v>
      </c>
      <c r="AP119" s="88">
        <f>IF(OR(AN119&lt;=0,AO119&lt;=0),"",LN(AN119)-LN(AO119))</f>
        <v/>
      </c>
      <c r="AQ119" t="n">
        <v>15088</v>
      </c>
      <c r="AR119" t="n">
        <v>146334</v>
      </c>
      <c r="AS119" s="88">
        <f>IF(OR(AQ119&lt;=0,AR119&lt;=0),"",LN(AQ119)-LN(AR119))</f>
        <v/>
      </c>
      <c r="AT119" t="n">
        <v>13891</v>
      </c>
      <c r="AU119" t="n">
        <v>146758</v>
      </c>
      <c r="AV119" t="n">
        <v>1228</v>
      </c>
      <c r="AW119" t="n">
        <v>2360</v>
      </c>
      <c r="AX119" t="n">
        <v>12948</v>
      </c>
      <c r="AY119" s="88">
        <f>IF(OR(AT119&lt;=0,AU119&lt;=0),"",LN(AT119)-LN(AU119))</f>
        <v/>
      </c>
      <c r="AZ119" s="46" t="n">
        <v>12.5</v>
      </c>
      <c r="BA119" s="46" t="n">
        <v>28.23</v>
      </c>
      <c r="BB119" s="47" t="n">
        <v>0.3</v>
      </c>
    </row>
    <row r="120">
      <c r="A120" s="48" t="n">
        <v>45410</v>
      </c>
      <c r="B120" s="49" t="n">
        <v>147977</v>
      </c>
      <c r="C120" s="50" t="n">
        <v>20.48</v>
      </c>
      <c r="D120" s="51" t="inlineStr">
        <is>
          <t>Moderate</t>
        </is>
      </c>
      <c r="E120" s="52" t="n">
        <v>20.7</v>
      </c>
      <c r="F120" s="52" t="n"/>
      <c r="G120" s="51" t="inlineStr">
        <is>
          <t>Sun</t>
        </is>
      </c>
      <c r="H120" s="51" t="inlineStr">
        <is>
          <t>Weekend</t>
        </is>
      </c>
      <c r="I120" s="51" t="inlineStr">
        <is>
          <t>Spring</t>
        </is>
      </c>
      <c r="J120" s="51" t="n">
        <v>25</v>
      </c>
      <c r="K120" s="51" t="inlineStr">
        <is>
          <t>강수량 공란</t>
        </is>
      </c>
      <c r="L120" s="46" t="n">
        <v>37.2</v>
      </c>
      <c r="M120" t="inlineStr">
        <is>
          <t>Moderate</t>
        </is>
      </c>
      <c r="N120" s="87" t="n">
        <v>25</v>
      </c>
      <c r="O120" s="87" t="n">
        <v>0</v>
      </c>
      <c r="P120" s="87" t="n">
        <v>0</v>
      </c>
      <c r="Q120" s="87" t="n">
        <v>0</v>
      </c>
      <c r="R120" s="87" t="n">
        <v>0</v>
      </c>
      <c r="S120" s="47" t="n">
        <v>1.6</v>
      </c>
      <c r="T120" s="47" t="n">
        <v>53.5</v>
      </c>
      <c r="U120" s="47" t="n"/>
      <c r="V120" s="87" t="n">
        <v>1</v>
      </c>
      <c r="W120" s="87" t="n">
        <v>0</v>
      </c>
      <c r="Y120" t="inlineStr">
        <is>
          <t>Apr</t>
        </is>
      </c>
      <c r="Z120" s="87" t="n">
        <v>2024</v>
      </c>
      <c r="AA120" s="47">
        <f>IF(F120="",0,F120)</f>
        <v/>
      </c>
      <c r="AB120" s="87">
        <f>IF(AA120&gt;=0.1,1,0)</f>
        <v/>
      </c>
      <c r="AC120" s="87" t="n">
        <v>0</v>
      </c>
      <c r="AD120" s="47">
        <f>IF(U120="",0,U120)</f>
        <v/>
      </c>
      <c r="AE120" s="87">
        <f>IF(OR(V120=1,W120=1),1,0)</f>
        <v/>
      </c>
      <c r="AF120" s="87" t="n">
        <v>0</v>
      </c>
      <c r="AG120" t="n">
        <v>14385</v>
      </c>
      <c r="AH120" t="n">
        <v>133592</v>
      </c>
      <c r="AI120" t="n">
        <v>0</v>
      </c>
      <c r="AJ120" s="88">
        <f>IF(OR(AG120&lt;=0,AH120&lt;=0),"",LN(AG120)-LN(AH120))</f>
        <v/>
      </c>
      <c r="AK120" t="n">
        <v>29688</v>
      </c>
      <c r="AL120" t="n">
        <v>118289</v>
      </c>
      <c r="AM120" s="88">
        <f>IF(OR(AK120&lt;=0,AL120&lt;=0),"",LN(AK120)-LN(AL120))</f>
        <v/>
      </c>
      <c r="AN120" t="n">
        <v>13933</v>
      </c>
      <c r="AO120" t="n">
        <v>129798</v>
      </c>
      <c r="AP120" s="88">
        <f>IF(OR(AN120&lt;=0,AO120&lt;=0),"",LN(AN120)-LN(AO120))</f>
        <v/>
      </c>
      <c r="AQ120" t="n">
        <v>13940</v>
      </c>
      <c r="AR120" t="n">
        <v>133592</v>
      </c>
      <c r="AS120" s="88">
        <f>IF(OR(AQ120&lt;=0,AR120&lt;=0),"",LN(AQ120)-LN(AR120))</f>
        <v/>
      </c>
      <c r="AT120" t="n">
        <v>14777</v>
      </c>
      <c r="AU120" t="n">
        <v>132205</v>
      </c>
      <c r="AV120" t="n">
        <v>1054</v>
      </c>
      <c r="AW120" t="n">
        <v>2535</v>
      </c>
      <c r="AX120" t="n">
        <v>11736</v>
      </c>
      <c r="AY120" s="88">
        <f>IF(OR(AT120&lt;=0,AU120&lt;=0),"",LN(AT120)-LN(AU120))</f>
        <v/>
      </c>
      <c r="AZ120" s="46" t="n">
        <v>11.4</v>
      </c>
      <c r="BA120" s="46" t="n">
        <v>25.14</v>
      </c>
      <c r="BB120" s="47" t="n">
        <v>5.9</v>
      </c>
    </row>
    <row r="121">
      <c r="A121" s="48" t="n">
        <v>45411</v>
      </c>
      <c r="B121" s="49" t="n">
        <v>180032</v>
      </c>
      <c r="C121" s="50" t="n">
        <v>20</v>
      </c>
      <c r="D121" s="51" t="inlineStr">
        <is>
          <t>Moderate</t>
        </is>
      </c>
      <c r="E121" s="52" t="n">
        <v>20.9</v>
      </c>
      <c r="F121" s="52" t="n"/>
      <c r="G121" s="51" t="inlineStr">
        <is>
          <t>Mon</t>
        </is>
      </c>
      <c r="H121" s="51" t="inlineStr">
        <is>
          <t>Weekday</t>
        </is>
      </c>
      <c r="I121" s="51" t="inlineStr">
        <is>
          <t>Spring</t>
        </is>
      </c>
      <c r="J121" s="51" t="n">
        <v>25</v>
      </c>
      <c r="K121" s="51" t="inlineStr">
        <is>
          <t>강수량 공란</t>
        </is>
      </c>
      <c r="L121" s="46" t="n">
        <v>42.08</v>
      </c>
      <c r="M121" t="inlineStr">
        <is>
          <t>Moderate</t>
        </is>
      </c>
      <c r="N121" s="87" t="n">
        <v>25</v>
      </c>
      <c r="O121" s="87" t="n">
        <v>0</v>
      </c>
      <c r="P121" s="87" t="n">
        <v>0</v>
      </c>
      <c r="Q121" s="87" t="n">
        <v>0</v>
      </c>
      <c r="R121" s="87" t="n">
        <v>0</v>
      </c>
      <c r="S121" s="47" t="n">
        <v>3</v>
      </c>
      <c r="T121" s="47" t="n">
        <v>48</v>
      </c>
      <c r="U121" s="47" t="n"/>
      <c r="V121" s="87" t="n">
        <v>0</v>
      </c>
      <c r="W121" s="87" t="n">
        <v>0</v>
      </c>
      <c r="Y121" t="inlineStr">
        <is>
          <t>Apr</t>
        </is>
      </c>
      <c r="Z121" s="87" t="n">
        <v>2024</v>
      </c>
      <c r="AA121" s="47">
        <f>IF(F121="",0,F121)</f>
        <v/>
      </c>
      <c r="AB121" s="87">
        <f>IF(AA121&gt;=0.1,1,0)</f>
        <v/>
      </c>
      <c r="AC121" s="87" t="n">
        <v>0</v>
      </c>
      <c r="AD121" s="47">
        <f>IF(U121="",0,U121)</f>
        <v/>
      </c>
      <c r="AE121" s="87">
        <f>IF(OR(V121=1,W121=1),1,0)</f>
        <v/>
      </c>
      <c r="AF121" s="87" t="n">
        <v>0</v>
      </c>
      <c r="AG121" t="n">
        <v>11365</v>
      </c>
      <c r="AH121" t="n">
        <v>168667</v>
      </c>
      <c r="AI121" t="n">
        <v>0</v>
      </c>
      <c r="AJ121" s="88">
        <f>IF(OR(AG121&lt;=0,AH121&lt;=0),"",LN(AG121)-LN(AH121))</f>
        <v/>
      </c>
      <c r="AK121" t="n">
        <v>28866</v>
      </c>
      <c r="AL121" t="n">
        <v>151166</v>
      </c>
      <c r="AM121" s="88">
        <f>IF(OR(AK121&lt;=0,AL121&lt;=0),"",LN(AK121)-LN(AL121))</f>
        <v/>
      </c>
      <c r="AN121" t="n">
        <v>11028</v>
      </c>
      <c r="AO121" t="n">
        <v>163470</v>
      </c>
      <c r="AP121" s="88">
        <f>IF(OR(AN121&lt;=0,AO121&lt;=0),"",LN(AN121)-LN(AO121))</f>
        <v/>
      </c>
      <c r="AQ121" t="n">
        <v>11075</v>
      </c>
      <c r="AR121" t="n">
        <v>168667</v>
      </c>
      <c r="AS121" s="88">
        <f>IF(OR(AQ121&lt;=0,AR121&lt;=0),"",LN(AQ121)-LN(AR121))</f>
        <v/>
      </c>
      <c r="AT121" t="n">
        <v>11128</v>
      </c>
      <c r="AU121" t="n">
        <v>167862</v>
      </c>
      <c r="AV121" t="n">
        <v>1113</v>
      </c>
      <c r="AW121" t="n">
        <v>1283</v>
      </c>
      <c r="AX121" t="n">
        <v>9997</v>
      </c>
      <c r="AY121" s="88">
        <f>IF(OR(AT121&lt;=0,AU121&lt;=0),"",LN(AT121)-LN(AU121))</f>
        <v/>
      </c>
      <c r="AZ121" s="46" t="n">
        <v>8.800000000000001</v>
      </c>
      <c r="BA121" s="46" t="n">
        <v>21.36</v>
      </c>
      <c r="BB121" s="47" t="n">
        <v>5.6</v>
      </c>
    </row>
    <row r="122">
      <c r="A122" s="48" t="n">
        <v>45412</v>
      </c>
      <c r="B122" s="49" t="n">
        <v>182952</v>
      </c>
      <c r="C122" s="50" t="n">
        <v>33.36</v>
      </c>
      <c r="D122" s="51" t="inlineStr">
        <is>
          <t>Moderate</t>
        </is>
      </c>
      <c r="E122" s="52" t="n">
        <v>18.6</v>
      </c>
      <c r="F122" s="52" t="n"/>
      <c r="G122" s="51" t="inlineStr">
        <is>
          <t>Tue</t>
        </is>
      </c>
      <c r="H122" s="51" t="inlineStr">
        <is>
          <t>Weekday</t>
        </is>
      </c>
      <c r="I122" s="51" t="inlineStr">
        <is>
          <t>Spring</t>
        </is>
      </c>
      <c r="J122" s="51" t="n">
        <v>25</v>
      </c>
      <c r="K122" s="51" t="inlineStr">
        <is>
          <t>강수량 공란</t>
        </is>
      </c>
      <c r="L122" s="46" t="n">
        <v>57.68</v>
      </c>
      <c r="M122" t="inlineStr">
        <is>
          <t>Moderate</t>
        </is>
      </c>
      <c r="N122" s="87" t="n">
        <v>25</v>
      </c>
      <c r="O122" s="87" t="n">
        <v>0</v>
      </c>
      <c r="P122" s="87" t="n">
        <v>0</v>
      </c>
      <c r="Q122" s="87" t="n">
        <v>0</v>
      </c>
      <c r="R122" s="87" t="n">
        <v>0</v>
      </c>
      <c r="S122" s="47" t="n">
        <v>2.2</v>
      </c>
      <c r="T122" s="47" t="n">
        <v>62.5</v>
      </c>
      <c r="U122" s="47" t="n"/>
      <c r="V122" s="87" t="n">
        <v>0</v>
      </c>
      <c r="W122" s="87" t="n">
        <v>0</v>
      </c>
      <c r="Y122" t="inlineStr">
        <is>
          <t>Apr</t>
        </is>
      </c>
      <c r="Z122" s="87" t="n">
        <v>2024</v>
      </c>
      <c r="AA122" s="47">
        <f>IF(F122="",0,F122)</f>
        <v/>
      </c>
      <c r="AB122" s="87">
        <f>IF(AA122&gt;=0.1,1,0)</f>
        <v/>
      </c>
      <c r="AC122" s="87" t="n">
        <v>0</v>
      </c>
      <c r="AD122" s="47">
        <f>IF(U122="",0,U122)</f>
        <v/>
      </c>
      <c r="AE122" s="87">
        <f>IF(OR(V122=1,W122=1),1,0)</f>
        <v/>
      </c>
      <c r="AF122" s="87" t="n">
        <v>0</v>
      </c>
      <c r="AG122" t="n">
        <v>11054</v>
      </c>
      <c r="AH122" t="n">
        <v>171898</v>
      </c>
      <c r="AI122" t="n">
        <v>0</v>
      </c>
      <c r="AJ122" s="88">
        <f>IF(OR(AG122&lt;=0,AH122&lt;=0),"",LN(AG122)-LN(AH122))</f>
        <v/>
      </c>
      <c r="AK122" t="n">
        <v>28509</v>
      </c>
      <c r="AL122" t="n">
        <v>154443</v>
      </c>
      <c r="AM122" s="88">
        <f>IF(OR(AK122&lt;=0,AL122&lt;=0),"",LN(AK122)-LN(AL122))</f>
        <v/>
      </c>
      <c r="AN122" t="n">
        <v>10748</v>
      </c>
      <c r="AO122" t="n">
        <v>166665</v>
      </c>
      <c r="AP122" s="88">
        <f>IF(OR(AN122&lt;=0,AO122&lt;=0),"",LN(AN122)-LN(AO122))</f>
        <v/>
      </c>
      <c r="AQ122" t="n">
        <v>10757</v>
      </c>
      <c r="AR122" t="n">
        <v>171898</v>
      </c>
      <c r="AS122" s="88">
        <f>IF(OR(AQ122&lt;=0,AR122&lt;=0),"",LN(AQ122)-LN(AR122))</f>
        <v/>
      </c>
      <c r="AT122" t="n">
        <v>10949</v>
      </c>
      <c r="AU122" t="n">
        <v>171008</v>
      </c>
      <c r="AV122" t="n">
        <v>1055</v>
      </c>
      <c r="AW122" t="n">
        <v>1116</v>
      </c>
      <c r="AX122" t="n">
        <v>9866</v>
      </c>
      <c r="AY122" s="88">
        <f>IF(OR(AT122&lt;=0,AU122&lt;=0),"",LN(AT122)-LN(AU122))</f>
        <v/>
      </c>
      <c r="AZ122" s="46" t="n">
        <v>5.5</v>
      </c>
      <c r="BA122" s="46" t="n">
        <v>17.95</v>
      </c>
      <c r="BB122" s="47" t="n">
        <v>8.5</v>
      </c>
    </row>
    <row r="123">
      <c r="A123" s="48" t="n">
        <v>45413</v>
      </c>
      <c r="B123" s="49" t="n">
        <v>181438</v>
      </c>
      <c r="C123" s="50" t="n">
        <v>14.12</v>
      </c>
      <c r="D123" s="51" t="inlineStr">
        <is>
          <t>Good</t>
        </is>
      </c>
      <c r="E123" s="52" t="n">
        <v>18.5</v>
      </c>
      <c r="F123" s="52" t="n"/>
      <c r="G123" s="51" t="inlineStr">
        <is>
          <t>Wed</t>
        </is>
      </c>
      <c r="H123" s="51" t="inlineStr">
        <is>
          <t>Weekday</t>
        </is>
      </c>
      <c r="I123" s="51" t="inlineStr">
        <is>
          <t>Spring</t>
        </is>
      </c>
      <c r="J123" s="51" t="n">
        <v>25</v>
      </c>
      <c r="K123" s="51" t="inlineStr">
        <is>
          <t>강수량 공란</t>
        </is>
      </c>
      <c r="L123" s="46" t="n">
        <v>25.96</v>
      </c>
      <c r="M123" t="inlineStr">
        <is>
          <t>Good</t>
        </is>
      </c>
      <c r="N123" s="87" t="n">
        <v>25</v>
      </c>
      <c r="O123" s="87" t="n">
        <v>0</v>
      </c>
      <c r="P123" s="87" t="n">
        <v>0</v>
      </c>
      <c r="Q123" s="87" t="n">
        <v>0</v>
      </c>
      <c r="R123" s="87" t="n">
        <v>0</v>
      </c>
      <c r="S123" s="47" t="n">
        <v>2.4</v>
      </c>
      <c r="T123" s="47" t="n">
        <v>46</v>
      </c>
      <c r="U123" s="47" t="n"/>
      <c r="V123" s="87" t="n">
        <v>0</v>
      </c>
      <c r="W123" s="87" t="n">
        <v>0</v>
      </c>
      <c r="X123" t="inlineStr">
        <is>
          <t>근로자의날*</t>
        </is>
      </c>
      <c r="Y123" t="inlineStr">
        <is>
          <t>May</t>
        </is>
      </c>
      <c r="Z123" s="87" t="n">
        <v>2024</v>
      </c>
      <c r="AA123" s="47">
        <f>IF(F123="",0,F123)</f>
        <v/>
      </c>
      <c r="AB123" s="87">
        <f>IF(AA123&gt;=0.1,1,0)</f>
        <v/>
      </c>
      <c r="AC123" s="87" t="n">
        <v>0</v>
      </c>
      <c r="AD123" s="47">
        <f>IF(U123="",0,U123)</f>
        <v/>
      </c>
      <c r="AE123" s="87">
        <f>IF(OR(V123=1,W123=1),1,0)</f>
        <v/>
      </c>
      <c r="AF123" s="87" t="n">
        <v>0</v>
      </c>
      <c r="AG123" t="n">
        <v>15547</v>
      </c>
      <c r="AH123" t="n">
        <v>165891</v>
      </c>
      <c r="AI123" t="n">
        <v>0</v>
      </c>
      <c r="AJ123" s="88">
        <f>IF(OR(AG123&lt;=0,AH123&lt;=0),"",LN(AG123)-LN(AH123))</f>
        <v/>
      </c>
      <c r="AK123" t="n">
        <v>34106</v>
      </c>
      <c r="AL123" t="n">
        <v>147332</v>
      </c>
      <c r="AM123" s="88">
        <f>IF(OR(AK123&lt;=0,AL123&lt;=0),"",LN(AK123)-LN(AL123))</f>
        <v/>
      </c>
      <c r="AN123" t="n">
        <v>15095</v>
      </c>
      <c r="AO123" t="n">
        <v>161028</v>
      </c>
      <c r="AP123" s="88">
        <f>IF(OR(AN123&lt;=0,AO123&lt;=0),"",LN(AN123)-LN(AO123))</f>
        <v/>
      </c>
      <c r="AQ123" t="n">
        <v>15051</v>
      </c>
      <c r="AR123" t="n">
        <v>165891</v>
      </c>
      <c r="AS123" s="88">
        <f>IF(OR(AQ123&lt;=0,AR123&lt;=0),"",LN(AQ123)-LN(AR123))</f>
        <v/>
      </c>
      <c r="AT123" t="n">
        <v>15469</v>
      </c>
      <c r="AU123" t="n">
        <v>164913</v>
      </c>
      <c r="AV123" t="n">
        <v>1118</v>
      </c>
      <c r="AW123" t="n">
        <v>2566</v>
      </c>
      <c r="AX123" t="n">
        <v>12873</v>
      </c>
      <c r="AY123" s="88">
        <f>IF(OR(AT123&lt;=0,AU123&lt;=0),"",LN(AT123)-LN(AU123))</f>
        <v/>
      </c>
      <c r="AZ123" s="46" t="n">
        <v>9.800000000000001</v>
      </c>
      <c r="BA123" s="46" t="n">
        <v>26.05</v>
      </c>
      <c r="BB123" s="47" t="n">
        <v>4.6</v>
      </c>
    </row>
    <row r="124">
      <c r="A124" s="48" t="n">
        <v>45414</v>
      </c>
      <c r="B124" s="49" t="n">
        <v>186102</v>
      </c>
      <c r="C124" s="50" t="n">
        <v>18.64</v>
      </c>
      <c r="D124" s="51" t="inlineStr">
        <is>
          <t>Moderate</t>
        </is>
      </c>
      <c r="E124" s="52" t="n">
        <v>18.1</v>
      </c>
      <c r="F124" s="52" t="n"/>
      <c r="G124" s="51" t="inlineStr">
        <is>
          <t>Thu</t>
        </is>
      </c>
      <c r="H124" s="51" t="inlineStr">
        <is>
          <t>Weekday</t>
        </is>
      </c>
      <c r="I124" s="51" t="inlineStr">
        <is>
          <t>Spring</t>
        </is>
      </c>
      <c r="J124" s="51" t="n">
        <v>25</v>
      </c>
      <c r="K124" s="51" t="inlineStr">
        <is>
          <t>강수량 공란</t>
        </is>
      </c>
      <c r="L124" s="46" t="n">
        <v>34.88</v>
      </c>
      <c r="M124" t="inlineStr">
        <is>
          <t>Moderate</t>
        </is>
      </c>
      <c r="N124" s="87" t="n">
        <v>25</v>
      </c>
      <c r="O124" s="87" t="n">
        <v>0</v>
      </c>
      <c r="P124" s="87" t="n">
        <v>0</v>
      </c>
      <c r="Q124" s="87" t="n">
        <v>0</v>
      </c>
      <c r="R124" s="87" t="n">
        <v>0</v>
      </c>
      <c r="S124" s="47" t="n">
        <v>2.4</v>
      </c>
      <c r="T124" s="47" t="n">
        <v>48.4</v>
      </c>
      <c r="U124" s="47" t="n"/>
      <c r="V124" s="87" t="n">
        <v>0</v>
      </c>
      <c r="W124" s="87" t="n">
        <v>0</v>
      </c>
      <c r="Y124" t="inlineStr">
        <is>
          <t>May</t>
        </is>
      </c>
      <c r="Z124" s="87" t="n">
        <v>2024</v>
      </c>
      <c r="AA124" s="47">
        <f>IF(F124="",0,F124)</f>
        <v/>
      </c>
      <c r="AB124" s="87">
        <f>IF(AA124&gt;=0.1,1,0)</f>
        <v/>
      </c>
      <c r="AC124" s="87" t="n">
        <v>0</v>
      </c>
      <c r="AD124" s="47">
        <f>IF(U124="",0,U124)</f>
        <v/>
      </c>
      <c r="AE124" s="87">
        <f>IF(OR(V124=1,W124=1),1,0)</f>
        <v/>
      </c>
      <c r="AF124" s="87" t="n">
        <v>0</v>
      </c>
      <c r="AG124" t="n">
        <v>12033</v>
      </c>
      <c r="AH124" t="n">
        <v>174069</v>
      </c>
      <c r="AI124" t="n">
        <v>0</v>
      </c>
      <c r="AJ124" s="88">
        <f>IF(OR(AG124&lt;=0,AH124&lt;=0),"",LN(AG124)-LN(AH124))</f>
        <v/>
      </c>
      <c r="AK124" t="n">
        <v>30086</v>
      </c>
      <c r="AL124" t="n">
        <v>156016</v>
      </c>
      <c r="AM124" s="88">
        <f>IF(OR(AK124&lt;=0,AL124&lt;=0),"",LN(AK124)-LN(AL124))</f>
        <v/>
      </c>
      <c r="AN124" t="n">
        <v>11702</v>
      </c>
      <c r="AO124" t="n">
        <v>168837</v>
      </c>
      <c r="AP124" s="88">
        <f>IF(OR(AN124&lt;=0,AO124&lt;=0),"",LN(AN124)-LN(AO124))</f>
        <v/>
      </c>
      <c r="AQ124" t="n">
        <v>11706</v>
      </c>
      <c r="AR124" t="n">
        <v>174069</v>
      </c>
      <c r="AS124" s="88">
        <f>IF(OR(AQ124&lt;=0,AR124&lt;=0),"",LN(AQ124)-LN(AR124))</f>
        <v/>
      </c>
      <c r="AT124" t="n">
        <v>11325</v>
      </c>
      <c r="AU124" t="n">
        <v>173753</v>
      </c>
      <c r="AV124" t="n">
        <v>1095</v>
      </c>
      <c r="AW124" t="n">
        <v>1379</v>
      </c>
      <c r="AX124" t="n">
        <v>10561</v>
      </c>
      <c r="AY124" s="88">
        <f>IF(OR(AT124&lt;=0,AU124&lt;=0),"",LN(AT124)-LN(AU124))</f>
        <v/>
      </c>
      <c r="AZ124" s="46" t="n">
        <v>12.8</v>
      </c>
      <c r="BA124" s="46" t="n">
        <v>28.72</v>
      </c>
      <c r="BB124" s="47" t="n">
        <v>0</v>
      </c>
    </row>
    <row r="125">
      <c r="A125" s="48" t="n">
        <v>45415</v>
      </c>
      <c r="B125" s="49" t="n">
        <v>190513</v>
      </c>
      <c r="C125" s="50" t="n">
        <v>24.68</v>
      </c>
      <c r="D125" s="51" t="inlineStr">
        <is>
          <t>Moderate</t>
        </is>
      </c>
      <c r="E125" s="52" t="n">
        <v>19.7</v>
      </c>
      <c r="F125" s="52" t="n"/>
      <c r="G125" s="51" t="inlineStr">
        <is>
          <t>Fri</t>
        </is>
      </c>
      <c r="H125" s="51" t="inlineStr">
        <is>
          <t>Weekday</t>
        </is>
      </c>
      <c r="I125" s="51" t="inlineStr">
        <is>
          <t>Spring</t>
        </is>
      </c>
      <c r="J125" s="51" t="n">
        <v>25</v>
      </c>
      <c r="K125" s="51" t="inlineStr">
        <is>
          <t>강수량 공란</t>
        </is>
      </c>
      <c r="L125" s="46" t="n">
        <v>46.68</v>
      </c>
      <c r="M125" t="inlineStr">
        <is>
          <t>Moderate</t>
        </is>
      </c>
      <c r="N125" s="87" t="n">
        <v>25</v>
      </c>
      <c r="O125" s="87" t="n">
        <v>0</v>
      </c>
      <c r="P125" s="87" t="n">
        <v>0</v>
      </c>
      <c r="Q125" s="87" t="n">
        <v>0</v>
      </c>
      <c r="R125" s="87" t="n">
        <v>0</v>
      </c>
      <c r="S125" s="47" t="n">
        <v>1.9</v>
      </c>
      <c r="T125" s="47" t="n">
        <v>46.9</v>
      </c>
      <c r="U125" s="47" t="n"/>
      <c r="V125" s="87" t="n">
        <v>0</v>
      </c>
      <c r="W125" s="87" t="n">
        <v>0</v>
      </c>
      <c r="Y125" t="inlineStr">
        <is>
          <t>May</t>
        </is>
      </c>
      <c r="Z125" s="87" t="n">
        <v>2024</v>
      </c>
      <c r="AA125" s="47">
        <f>IF(F125="",0,F125)</f>
        <v/>
      </c>
      <c r="AB125" s="87">
        <f>IF(AA125&gt;=0.1,1,0)</f>
        <v/>
      </c>
      <c r="AC125" s="87" t="n">
        <v>0</v>
      </c>
      <c r="AD125" s="47">
        <f>IF(U125="",0,U125)</f>
        <v/>
      </c>
      <c r="AE125" s="87">
        <f>IF(OR(V125=1,W125=1),1,0)</f>
        <v/>
      </c>
      <c r="AF125" s="87" t="n">
        <v>0</v>
      </c>
      <c r="AG125" t="n">
        <v>13039</v>
      </c>
      <c r="AH125" t="n">
        <v>177474</v>
      </c>
      <c r="AI125" t="n">
        <v>0</v>
      </c>
      <c r="AJ125" s="88">
        <f>IF(OR(AG125&lt;=0,AH125&lt;=0),"",LN(AG125)-LN(AH125))</f>
        <v/>
      </c>
      <c r="AK125" t="n">
        <v>31758</v>
      </c>
      <c r="AL125" t="n">
        <v>158755</v>
      </c>
      <c r="AM125" s="88">
        <f>IF(OR(AK125&lt;=0,AL125&lt;=0),"",LN(AK125)-LN(AL125))</f>
        <v/>
      </c>
      <c r="AN125" t="n">
        <v>12692</v>
      </c>
      <c r="AO125" t="n">
        <v>172258</v>
      </c>
      <c r="AP125" s="88">
        <f>IF(OR(AN125&lt;=0,AO125&lt;=0),"",LN(AN125)-LN(AO125))</f>
        <v/>
      </c>
      <c r="AQ125" t="n">
        <v>12721</v>
      </c>
      <c r="AR125" t="n">
        <v>177474</v>
      </c>
      <c r="AS125" s="88">
        <f>IF(OR(AQ125&lt;=0,AR125&lt;=0),"",LN(AQ125)-LN(AR125))</f>
        <v/>
      </c>
      <c r="AT125" t="n">
        <v>12046</v>
      </c>
      <c r="AU125" t="n">
        <v>177392</v>
      </c>
      <c r="AV125" t="n">
        <v>1159</v>
      </c>
      <c r="AW125" t="n">
        <v>1541</v>
      </c>
      <c r="AX125" t="n">
        <v>11404</v>
      </c>
      <c r="AY125" s="88">
        <f>IF(OR(AT125&lt;=0,AU125&lt;=0),"",LN(AT125)-LN(AU125))</f>
        <v/>
      </c>
      <c r="AZ125" s="46" t="n">
        <v>12.8</v>
      </c>
      <c r="BA125" s="46" t="n">
        <v>28.28</v>
      </c>
      <c r="BB125" s="47" t="n">
        <v>0</v>
      </c>
    </row>
    <row r="126">
      <c r="A126" s="48" t="n">
        <v>45416</v>
      </c>
      <c r="B126" s="49" t="n">
        <v>157012</v>
      </c>
      <c r="C126" s="50" t="n">
        <v>32.88</v>
      </c>
      <c r="D126" s="51" t="inlineStr">
        <is>
          <t>Moderate</t>
        </is>
      </c>
      <c r="E126" s="52" t="n">
        <v>21.4</v>
      </c>
      <c r="F126" s="52" t="n">
        <v>0</v>
      </c>
      <c r="G126" s="51" t="inlineStr">
        <is>
          <t>Sat</t>
        </is>
      </c>
      <c r="H126" s="51" t="inlineStr">
        <is>
          <t>Weekend</t>
        </is>
      </c>
      <c r="I126" s="51" t="inlineStr">
        <is>
          <t>Spring</t>
        </is>
      </c>
      <c r="J126" s="51" t="n">
        <v>25</v>
      </c>
      <c r="K126" s="51" t="inlineStr">
        <is>
          <t>OK</t>
        </is>
      </c>
      <c r="L126" s="46" t="n">
        <v>54.76</v>
      </c>
      <c r="M126" t="inlineStr">
        <is>
          <t>Moderate</t>
        </is>
      </c>
      <c r="N126" s="87" t="n">
        <v>25</v>
      </c>
      <c r="O126" s="87" t="n">
        <v>0</v>
      </c>
      <c r="P126" s="87" t="n">
        <v>0</v>
      </c>
      <c r="Q126" s="87" t="n">
        <v>0</v>
      </c>
      <c r="R126" s="87" t="n">
        <v>0</v>
      </c>
      <c r="S126" s="47" t="n">
        <v>1.9</v>
      </c>
      <c r="T126" s="47" t="n">
        <v>44.8</v>
      </c>
      <c r="U126" s="47" t="n"/>
      <c r="V126" s="87" t="n">
        <v>1</v>
      </c>
      <c r="W126" s="87" t="n">
        <v>0</v>
      </c>
      <c r="Y126" t="inlineStr">
        <is>
          <t>May</t>
        </is>
      </c>
      <c r="Z126" s="87" t="n">
        <v>2024</v>
      </c>
      <c r="AA126" s="47">
        <f>IF(F126="",0,F126)</f>
        <v/>
      </c>
      <c r="AB126" s="87">
        <f>IF(AA126&gt;=0.1,1,0)</f>
        <v/>
      </c>
      <c r="AC126" s="87" t="n">
        <v>1</v>
      </c>
      <c r="AD126" s="47">
        <f>IF(U126="",0,U126)</f>
        <v/>
      </c>
      <c r="AE126" s="87">
        <f>IF(OR(V126=1,W126=1),1,0)</f>
        <v/>
      </c>
      <c r="AF126" s="87" t="n">
        <v>0</v>
      </c>
      <c r="AG126" t="n">
        <v>15340</v>
      </c>
      <c r="AH126" t="n">
        <v>141672</v>
      </c>
      <c r="AI126" t="n">
        <v>0</v>
      </c>
      <c r="AJ126" s="88">
        <f>IF(OR(AG126&lt;=0,AH126&lt;=0),"",LN(AG126)-LN(AH126))</f>
        <v/>
      </c>
      <c r="AK126" t="n">
        <v>31801</v>
      </c>
      <c r="AL126" t="n">
        <v>125211</v>
      </c>
      <c r="AM126" s="88">
        <f>IF(OR(AK126&lt;=0,AL126&lt;=0),"",LN(AK126)-LN(AL126))</f>
        <v/>
      </c>
      <c r="AN126" t="n">
        <v>14894</v>
      </c>
      <c r="AO126" t="n">
        <v>137655</v>
      </c>
      <c r="AP126" s="88">
        <f>IF(OR(AN126&lt;=0,AO126&lt;=0),"",LN(AN126)-LN(AO126))</f>
        <v/>
      </c>
      <c r="AQ126" t="n">
        <v>14929</v>
      </c>
      <c r="AR126" t="n">
        <v>141672</v>
      </c>
      <c r="AS126" s="88">
        <f>IF(OR(AQ126&lt;=0,AR126&lt;=0),"",LN(AQ126)-LN(AR126))</f>
        <v/>
      </c>
      <c r="AT126" t="n">
        <v>14084</v>
      </c>
      <c r="AU126" t="n">
        <v>141903</v>
      </c>
      <c r="AV126" t="n">
        <v>1103</v>
      </c>
      <c r="AW126" t="n">
        <v>2507</v>
      </c>
      <c r="AX126" t="n">
        <v>12692</v>
      </c>
      <c r="AY126" s="88">
        <f>IF(OR(AT126&lt;=0,AU126&lt;=0),"",LN(AT126)-LN(AU126))</f>
        <v/>
      </c>
      <c r="AZ126" s="46" t="n">
        <v>12.5</v>
      </c>
      <c r="BA126" s="46" t="n">
        <v>26.61</v>
      </c>
      <c r="BB126" s="47" t="n">
        <v>3.4</v>
      </c>
    </row>
    <row r="127">
      <c r="A127" s="48" t="n">
        <v>45417</v>
      </c>
      <c r="B127" s="49" t="n">
        <v>14293</v>
      </c>
      <c r="C127" s="50" t="n">
        <v>14.32</v>
      </c>
      <c r="D127" s="51" t="inlineStr">
        <is>
          <t>Good</t>
        </is>
      </c>
      <c r="E127" s="52" t="n">
        <v>17.8</v>
      </c>
      <c r="F127" s="52" t="n">
        <v>48.3</v>
      </c>
      <c r="G127" s="51" t="inlineStr">
        <is>
          <t>Sun</t>
        </is>
      </c>
      <c r="H127" s="51" t="inlineStr">
        <is>
          <t>Weekend</t>
        </is>
      </c>
      <c r="I127" s="51" t="inlineStr">
        <is>
          <t>Spring</t>
        </is>
      </c>
      <c r="J127" s="51" t="n">
        <v>25</v>
      </c>
      <c r="K127" s="51" t="inlineStr">
        <is>
          <t>OK</t>
        </is>
      </c>
      <c r="L127" s="46" t="n">
        <v>21.96</v>
      </c>
      <c r="M127" t="inlineStr">
        <is>
          <t>Good</t>
        </is>
      </c>
      <c r="N127" s="87" t="n">
        <v>25</v>
      </c>
      <c r="O127" s="87" t="n">
        <v>0</v>
      </c>
      <c r="P127" s="87" t="n">
        <v>0</v>
      </c>
      <c r="Q127" s="87" t="n">
        <v>0</v>
      </c>
      <c r="R127" s="87" t="n">
        <v>0</v>
      </c>
      <c r="S127" s="47" t="n">
        <v>2.5</v>
      </c>
      <c r="T127" s="47" t="n">
        <v>87.40000000000001</v>
      </c>
      <c r="U127" s="47" t="n"/>
      <c r="V127" s="87" t="n">
        <v>1</v>
      </c>
      <c r="W127" s="87" t="n">
        <v>1</v>
      </c>
      <c r="X127" t="inlineStr">
        <is>
          <t>어린이날</t>
        </is>
      </c>
      <c r="Y127" t="inlineStr">
        <is>
          <t>May</t>
        </is>
      </c>
      <c r="Z127" s="87" t="n">
        <v>2024</v>
      </c>
      <c r="AA127" s="47">
        <f>IF(F127="",0,F127)</f>
        <v/>
      </c>
      <c r="AB127" s="87">
        <f>IF(AA127&gt;=0.1,1,0)</f>
        <v/>
      </c>
      <c r="AC127" s="87" t="n">
        <v>0</v>
      </c>
      <c r="AD127" s="47">
        <f>IF(U127="",0,U127)</f>
        <v/>
      </c>
      <c r="AE127" s="87">
        <f>IF(OR(V127=1,W127=1),1,0)</f>
        <v/>
      </c>
      <c r="AF127" s="87" t="n">
        <v>0</v>
      </c>
      <c r="AG127" t="n">
        <v>969</v>
      </c>
      <c r="AH127" t="n">
        <v>13324</v>
      </c>
      <c r="AI127" t="n">
        <v>0</v>
      </c>
      <c r="AJ127" s="88">
        <f>IF(OR(AG127&lt;=0,AH127&lt;=0),"",LN(AG127)-LN(AH127))</f>
        <v/>
      </c>
      <c r="AK127" t="n">
        <v>2216</v>
      </c>
      <c r="AL127" t="n">
        <v>12077</v>
      </c>
      <c r="AM127" s="88">
        <f>IF(OR(AK127&lt;=0,AL127&lt;=0),"",LN(AK127)-LN(AL127))</f>
        <v/>
      </c>
      <c r="AN127" t="n">
        <v>942</v>
      </c>
      <c r="AO127" t="n">
        <v>12955</v>
      </c>
      <c r="AP127" s="88">
        <f>IF(OR(AN127&lt;=0,AO127&lt;=0),"",LN(AN127)-LN(AO127))</f>
        <v/>
      </c>
      <c r="AQ127" t="n">
        <v>931</v>
      </c>
      <c r="AR127" t="n">
        <v>13324</v>
      </c>
      <c r="AS127" s="88">
        <f>IF(OR(AQ127&lt;=0,AR127&lt;=0),"",LN(AQ127)-LN(AR127))</f>
        <v/>
      </c>
      <c r="AT127" t="n">
        <v>896</v>
      </c>
      <c r="AU127" t="n">
        <v>13310</v>
      </c>
      <c r="AV127" t="n">
        <v>102</v>
      </c>
      <c r="AW127" t="n">
        <v>102</v>
      </c>
      <c r="AX127" t="n">
        <v>859</v>
      </c>
      <c r="AY127" s="88">
        <f>IF(OR(AT127&lt;=0,AU127&lt;=0),"",LN(AT127)-LN(AU127))</f>
        <v/>
      </c>
      <c r="AZ127" s="46" t="n">
        <v>0</v>
      </c>
      <c r="BA127" s="46" t="n">
        <v>2.17</v>
      </c>
      <c r="BB127" s="47" t="n">
        <v>10</v>
      </c>
    </row>
    <row r="128">
      <c r="A128" s="48" t="n">
        <v>45418</v>
      </c>
      <c r="B128" s="49" t="n">
        <v>25673</v>
      </c>
      <c r="C128" s="50" t="n">
        <v>6.96</v>
      </c>
      <c r="D128" s="51" t="inlineStr">
        <is>
          <t>Good</t>
        </is>
      </c>
      <c r="E128" s="52" t="n">
        <v>13.9</v>
      </c>
      <c r="F128" s="52" t="n">
        <v>12.3</v>
      </c>
      <c r="G128" s="51" t="inlineStr">
        <is>
          <t>Mon</t>
        </is>
      </c>
      <c r="H128" s="51" t="inlineStr">
        <is>
          <t>Weekday</t>
        </is>
      </c>
      <c r="I128" s="51" t="inlineStr">
        <is>
          <t>Spring</t>
        </is>
      </c>
      <c r="J128" s="51" t="n">
        <v>25</v>
      </c>
      <c r="K128" s="51" t="inlineStr">
        <is>
          <t>OK</t>
        </is>
      </c>
      <c r="L128" s="46" t="n">
        <v>11.16</v>
      </c>
      <c r="M128" t="inlineStr">
        <is>
          <t>Good</t>
        </is>
      </c>
      <c r="N128" s="87" t="n">
        <v>25</v>
      </c>
      <c r="O128" s="87" t="n">
        <v>0</v>
      </c>
      <c r="P128" s="87" t="n">
        <v>0</v>
      </c>
      <c r="Q128" s="87" t="n">
        <v>0</v>
      </c>
      <c r="R128" s="87" t="n">
        <v>0</v>
      </c>
      <c r="S128" s="47" t="n">
        <v>3.1</v>
      </c>
      <c r="T128" s="47" t="n">
        <v>92.90000000000001</v>
      </c>
      <c r="U128" s="47" t="n"/>
      <c r="V128" s="87" t="n">
        <v>0</v>
      </c>
      <c r="W128" s="87" t="n">
        <v>1</v>
      </c>
      <c r="X128" t="inlineStr">
        <is>
          <t>어린이날 대체공휴일</t>
        </is>
      </c>
      <c r="Y128" t="inlineStr">
        <is>
          <t>May</t>
        </is>
      </c>
      <c r="Z128" s="87" t="n">
        <v>2024</v>
      </c>
      <c r="AA128" s="47">
        <f>IF(F128="",0,F128)</f>
        <v/>
      </c>
      <c r="AB128" s="87">
        <f>IF(AA128&gt;=0.1,1,0)</f>
        <v/>
      </c>
      <c r="AC128" s="87" t="n">
        <v>0</v>
      </c>
      <c r="AD128" s="47">
        <f>IF(U128="",0,U128)</f>
        <v/>
      </c>
      <c r="AE128" s="87">
        <f>IF(OR(V128=1,W128=1),1,0)</f>
        <v/>
      </c>
      <c r="AF128" s="87" t="n">
        <v>0</v>
      </c>
      <c r="AG128" t="n">
        <v>1603</v>
      </c>
      <c r="AH128" t="n">
        <v>24070</v>
      </c>
      <c r="AI128" t="n">
        <v>0</v>
      </c>
      <c r="AJ128" s="88">
        <f>IF(OR(AG128&lt;=0,AH128&lt;=0),"",LN(AG128)-LN(AH128))</f>
        <v/>
      </c>
      <c r="AK128" t="n">
        <v>4132</v>
      </c>
      <c r="AL128" t="n">
        <v>21541</v>
      </c>
      <c r="AM128" s="88">
        <f>IF(OR(AK128&lt;=0,AL128&lt;=0),"",LN(AK128)-LN(AL128))</f>
        <v/>
      </c>
      <c r="AN128" t="n">
        <v>1577</v>
      </c>
      <c r="AO128" t="n">
        <v>23293</v>
      </c>
      <c r="AP128" s="88">
        <f>IF(OR(AN128&lt;=0,AO128&lt;=0),"",LN(AN128)-LN(AO128))</f>
        <v/>
      </c>
      <c r="AQ128" t="n">
        <v>1538</v>
      </c>
      <c r="AR128" t="n">
        <v>24070</v>
      </c>
      <c r="AS128" s="88">
        <f>IF(OR(AQ128&lt;=0,AR128&lt;=0),"",LN(AQ128)-LN(AR128))</f>
        <v/>
      </c>
      <c r="AT128" t="n">
        <v>2640</v>
      </c>
      <c r="AU128" t="n">
        <v>22884</v>
      </c>
      <c r="AV128" t="n">
        <v>165</v>
      </c>
      <c r="AW128" t="n">
        <v>244</v>
      </c>
      <c r="AX128" t="n">
        <v>1346</v>
      </c>
      <c r="AY128" s="88">
        <f>IF(OR(AT128&lt;=0,AU128&lt;=0),"",LN(AT128)-LN(AU128))</f>
        <v/>
      </c>
      <c r="AZ128" s="46" t="n">
        <v>0</v>
      </c>
      <c r="BA128" s="46" t="n">
        <v>2.71</v>
      </c>
      <c r="BB128" s="47" t="n">
        <v>10</v>
      </c>
    </row>
    <row r="129">
      <c r="A129" s="48" t="n">
        <v>45419</v>
      </c>
      <c r="B129" s="49" t="n">
        <v>73349</v>
      </c>
      <c r="C129" s="50" t="n">
        <v>12.88</v>
      </c>
      <c r="D129" s="51" t="inlineStr">
        <is>
          <t>Good</t>
        </is>
      </c>
      <c r="E129" s="52" t="n">
        <v>13.3</v>
      </c>
      <c r="F129" s="52" t="n">
        <v>2.4</v>
      </c>
      <c r="G129" s="51" t="inlineStr">
        <is>
          <t>Tue</t>
        </is>
      </c>
      <c r="H129" s="51" t="inlineStr">
        <is>
          <t>Weekday</t>
        </is>
      </c>
      <c r="I129" s="51" t="inlineStr">
        <is>
          <t>Spring</t>
        </is>
      </c>
      <c r="J129" s="51" t="n">
        <v>25</v>
      </c>
      <c r="K129" s="51" t="inlineStr">
        <is>
          <t>OK</t>
        </is>
      </c>
      <c r="L129" s="46" t="n">
        <v>20.8</v>
      </c>
      <c r="M129" t="inlineStr">
        <is>
          <t>Good</t>
        </is>
      </c>
      <c r="N129" s="87" t="n">
        <v>25</v>
      </c>
      <c r="O129" s="87" t="n">
        <v>0</v>
      </c>
      <c r="P129" s="87" t="n">
        <v>0</v>
      </c>
      <c r="Q129" s="87" t="n">
        <v>0</v>
      </c>
      <c r="R129" s="87" t="n">
        <v>0</v>
      </c>
      <c r="S129" s="47" t="n">
        <v>3</v>
      </c>
      <c r="T129" s="47" t="n">
        <v>77.3</v>
      </c>
      <c r="U129" s="47" t="n"/>
      <c r="V129" s="87" t="n">
        <v>0</v>
      </c>
      <c r="W129" s="87" t="n">
        <v>0</v>
      </c>
      <c r="Y129" t="inlineStr">
        <is>
          <t>May</t>
        </is>
      </c>
      <c r="Z129" s="87" t="n">
        <v>2024</v>
      </c>
      <c r="AA129" s="47">
        <f>IF(F129="",0,F129)</f>
        <v/>
      </c>
      <c r="AB129" s="87">
        <f>IF(AA129&gt;=0.1,1,0)</f>
        <v/>
      </c>
      <c r="AC129" s="87" t="n">
        <v>0</v>
      </c>
      <c r="AD129" s="47">
        <f>IF(U129="",0,U129)</f>
        <v/>
      </c>
      <c r="AE129" s="87">
        <f>IF(OR(V129=1,W129=1),1,0)</f>
        <v/>
      </c>
      <c r="AF129" s="87" t="n">
        <v>0</v>
      </c>
      <c r="AG129" t="n">
        <v>3331</v>
      </c>
      <c r="AH129" t="n">
        <v>70018</v>
      </c>
      <c r="AI129" t="n">
        <v>0</v>
      </c>
      <c r="AJ129" s="88">
        <f>IF(OR(AG129&lt;=0,AH129&lt;=0),"",LN(AG129)-LN(AH129))</f>
        <v/>
      </c>
      <c r="AK129" t="n">
        <v>9366</v>
      </c>
      <c r="AL129" t="n">
        <v>63983</v>
      </c>
      <c r="AM129" s="88">
        <f>IF(OR(AK129&lt;=0,AL129&lt;=0),"",LN(AK129)-LN(AL129))</f>
        <v/>
      </c>
      <c r="AN129" t="n">
        <v>3252</v>
      </c>
      <c r="AO129" t="n">
        <v>67653</v>
      </c>
      <c r="AP129" s="88">
        <f>IF(OR(AN129&lt;=0,AO129&lt;=0),"",LN(AN129)-LN(AO129))</f>
        <v/>
      </c>
      <c r="AQ129" t="n">
        <v>3275</v>
      </c>
      <c r="AR129" t="n">
        <v>70018</v>
      </c>
      <c r="AS129" s="88">
        <f>IF(OR(AQ129&lt;=0,AR129&lt;=0),"",LN(AQ129)-LN(AR129))</f>
        <v/>
      </c>
      <c r="AT129" t="n">
        <v>4878</v>
      </c>
      <c r="AU129" t="n">
        <v>68092</v>
      </c>
      <c r="AV129" t="n">
        <v>423</v>
      </c>
      <c r="AW129" t="n">
        <v>302</v>
      </c>
      <c r="AX129" t="n">
        <v>3006</v>
      </c>
      <c r="AY129" s="88">
        <f>IF(OR(AT129&lt;=0,AU129&lt;=0),"",LN(AT129)-LN(AU129))</f>
        <v/>
      </c>
      <c r="AZ129" s="46" t="n">
        <v>0</v>
      </c>
      <c r="BA129" s="46" t="n">
        <v>4.75</v>
      </c>
      <c r="BB129" s="47" t="n">
        <v>9.6</v>
      </c>
    </row>
    <row r="130">
      <c r="A130" s="48" t="n">
        <v>45420</v>
      </c>
      <c r="B130" s="49" t="n">
        <v>176782</v>
      </c>
      <c r="C130" s="50" t="n">
        <v>9</v>
      </c>
      <c r="D130" s="51" t="inlineStr">
        <is>
          <t>Good</t>
        </is>
      </c>
      <c r="E130" s="52" t="n">
        <v>14.7</v>
      </c>
      <c r="F130" s="52" t="n"/>
      <c r="G130" s="51" t="inlineStr">
        <is>
          <t>Wed</t>
        </is>
      </c>
      <c r="H130" s="51" t="inlineStr">
        <is>
          <t>Weekday</t>
        </is>
      </c>
      <c r="I130" s="51" t="inlineStr">
        <is>
          <t>Spring</t>
        </is>
      </c>
      <c r="J130" s="51" t="n">
        <v>25</v>
      </c>
      <c r="K130" s="51" t="inlineStr">
        <is>
          <t>강수량 공란</t>
        </is>
      </c>
      <c r="L130" s="46" t="n">
        <v>19.84</v>
      </c>
      <c r="M130" t="inlineStr">
        <is>
          <t>Good</t>
        </is>
      </c>
      <c r="N130" s="87" t="n">
        <v>25</v>
      </c>
      <c r="O130" s="87" t="n">
        <v>0</v>
      </c>
      <c r="P130" s="87" t="n">
        <v>0</v>
      </c>
      <c r="Q130" s="87" t="n">
        <v>0</v>
      </c>
      <c r="R130" s="87" t="n">
        <v>0</v>
      </c>
      <c r="S130" s="47" t="n">
        <v>2.3</v>
      </c>
      <c r="T130" s="47" t="n">
        <v>58.8</v>
      </c>
      <c r="U130" s="47" t="n"/>
      <c r="V130" s="87" t="n">
        <v>0</v>
      </c>
      <c r="W130" s="87" t="n">
        <v>0</v>
      </c>
      <c r="Y130" t="inlineStr">
        <is>
          <t>May</t>
        </is>
      </c>
      <c r="Z130" s="87" t="n">
        <v>2024</v>
      </c>
      <c r="AA130" s="47">
        <f>IF(F130="",0,F130)</f>
        <v/>
      </c>
      <c r="AB130" s="87">
        <f>IF(AA130&gt;=0.1,1,0)</f>
        <v/>
      </c>
      <c r="AC130" s="87" t="n">
        <v>0</v>
      </c>
      <c r="AD130" s="47">
        <f>IF(U130="",0,U130)</f>
        <v/>
      </c>
      <c r="AE130" s="87">
        <f>IF(OR(V130=1,W130=1),1,0)</f>
        <v/>
      </c>
      <c r="AF130" s="87" t="n">
        <v>0</v>
      </c>
      <c r="AG130" t="n">
        <v>10714</v>
      </c>
      <c r="AH130" t="n">
        <v>166068</v>
      </c>
      <c r="AI130" t="n">
        <v>0</v>
      </c>
      <c r="AJ130" s="88">
        <f>IF(OR(AG130&lt;=0,AH130&lt;=0),"",LN(AG130)-LN(AH130))</f>
        <v/>
      </c>
      <c r="AK130" t="n">
        <v>27520</v>
      </c>
      <c r="AL130" t="n">
        <v>149262</v>
      </c>
      <c r="AM130" s="88">
        <f>IF(OR(AK130&lt;=0,AL130&lt;=0),"",LN(AK130)-LN(AL130))</f>
        <v/>
      </c>
      <c r="AN130" t="n">
        <v>10408</v>
      </c>
      <c r="AO130" t="n">
        <v>160901</v>
      </c>
      <c r="AP130" s="88">
        <f>IF(OR(AN130&lt;=0,AO130&lt;=0),"",LN(AN130)-LN(AO130))</f>
        <v/>
      </c>
      <c r="AQ130" t="n">
        <v>10410</v>
      </c>
      <c r="AR130" t="n">
        <v>166068</v>
      </c>
      <c r="AS130" s="88">
        <f>IF(OR(AQ130&lt;=0,AR130&lt;=0),"",LN(AQ130)-LN(AR130))</f>
        <v/>
      </c>
      <c r="AT130" t="n">
        <v>10720</v>
      </c>
      <c r="AU130" t="n">
        <v>165014</v>
      </c>
      <c r="AV130" t="n">
        <v>1103</v>
      </c>
      <c r="AW130" t="n">
        <v>1045</v>
      </c>
      <c r="AX130" t="n">
        <v>9594</v>
      </c>
      <c r="AY130" s="88">
        <f>IF(OR(AT130&lt;=0,AU130&lt;=0),"",LN(AT130)-LN(AU130))</f>
        <v/>
      </c>
      <c r="AZ130" s="46" t="n">
        <v>11</v>
      </c>
      <c r="BA130" s="46" t="n">
        <v>27.21</v>
      </c>
      <c r="BB130" s="47" t="n">
        <v>1.8</v>
      </c>
    </row>
    <row r="131">
      <c r="A131" s="48" t="n">
        <v>45421</v>
      </c>
      <c r="B131" s="49" t="n">
        <v>177943</v>
      </c>
      <c r="C131" s="50" t="n">
        <v>14.44</v>
      </c>
      <c r="D131" s="51" t="inlineStr">
        <is>
          <t>Good</t>
        </is>
      </c>
      <c r="E131" s="52" t="n">
        <v>16.1</v>
      </c>
      <c r="F131" s="52" t="n"/>
      <c r="G131" s="51" t="inlineStr">
        <is>
          <t>Thu</t>
        </is>
      </c>
      <c r="H131" s="51" t="inlineStr">
        <is>
          <t>Weekday</t>
        </is>
      </c>
      <c r="I131" s="51" t="inlineStr">
        <is>
          <t>Spring</t>
        </is>
      </c>
      <c r="J131" s="51" t="n">
        <v>25</v>
      </c>
      <c r="K131" s="51" t="inlineStr">
        <is>
          <t>강수량 공란</t>
        </is>
      </c>
      <c r="L131" s="46" t="n">
        <v>29.08</v>
      </c>
      <c r="M131" t="inlineStr">
        <is>
          <t>Good</t>
        </is>
      </c>
      <c r="N131" s="87" t="n">
        <v>25</v>
      </c>
      <c r="O131" s="87" t="n">
        <v>0</v>
      </c>
      <c r="P131" s="87" t="n">
        <v>0</v>
      </c>
      <c r="Q131" s="87" t="n">
        <v>0</v>
      </c>
      <c r="R131" s="87" t="n">
        <v>0</v>
      </c>
      <c r="S131" s="47" t="n">
        <v>2.9</v>
      </c>
      <c r="T131" s="47" t="n">
        <v>63.6</v>
      </c>
      <c r="U131" s="47" t="n"/>
      <c r="V131" s="87" t="n">
        <v>0</v>
      </c>
      <c r="W131" s="87" t="n">
        <v>0</v>
      </c>
      <c r="Y131" t="inlineStr">
        <is>
          <t>May</t>
        </is>
      </c>
      <c r="Z131" s="87" t="n">
        <v>2024</v>
      </c>
      <c r="AA131" s="47">
        <f>IF(F131="",0,F131)</f>
        <v/>
      </c>
      <c r="AB131" s="87">
        <f>IF(AA131&gt;=0.1,1,0)</f>
        <v/>
      </c>
      <c r="AC131" s="87" t="n">
        <v>0</v>
      </c>
      <c r="AD131" s="47">
        <f>IF(U131="",0,U131)</f>
        <v/>
      </c>
      <c r="AE131" s="87">
        <f>IF(OR(V131=1,W131=1),1,0)</f>
        <v/>
      </c>
      <c r="AF131" s="87" t="n">
        <v>0</v>
      </c>
      <c r="AG131" t="n">
        <v>10887</v>
      </c>
      <c r="AH131" t="n">
        <v>167056</v>
      </c>
      <c r="AI131" t="n">
        <v>0</v>
      </c>
      <c r="AJ131" s="88">
        <f>IF(OR(AG131&lt;=0,AH131&lt;=0),"",LN(AG131)-LN(AH131))</f>
        <v/>
      </c>
      <c r="AK131" t="n">
        <v>27896</v>
      </c>
      <c r="AL131" t="n">
        <v>150047</v>
      </c>
      <c r="AM131" s="88">
        <f>IF(OR(AK131&lt;=0,AL131&lt;=0),"",LN(AK131)-LN(AL131))</f>
        <v/>
      </c>
      <c r="AN131" t="n">
        <v>10592</v>
      </c>
      <c r="AO131" t="n">
        <v>161834</v>
      </c>
      <c r="AP131" s="88">
        <f>IF(OR(AN131&lt;=0,AO131&lt;=0),"",LN(AN131)-LN(AO131))</f>
        <v/>
      </c>
      <c r="AQ131" t="n">
        <v>10589</v>
      </c>
      <c r="AR131" t="n">
        <v>167056</v>
      </c>
      <c r="AS131" s="88">
        <f>IF(OR(AQ131&lt;=0,AR131&lt;=0),"",LN(AQ131)-LN(AR131))</f>
        <v/>
      </c>
      <c r="AT131" t="n">
        <v>10311</v>
      </c>
      <c r="AU131" t="n">
        <v>166704</v>
      </c>
      <c r="AV131" t="n">
        <v>998</v>
      </c>
      <c r="AW131" t="n">
        <v>1161</v>
      </c>
      <c r="AX131" t="n">
        <v>9653</v>
      </c>
      <c r="AY131" s="88">
        <f>IF(OR(AT131&lt;=0,AU131&lt;=0),"",LN(AT131)-LN(AU131))</f>
        <v/>
      </c>
      <c r="AZ131" s="46" t="n">
        <v>12.8</v>
      </c>
      <c r="BA131" s="46" t="n">
        <v>27.17</v>
      </c>
      <c r="BB131" s="47" t="n">
        <v>0.3</v>
      </c>
    </row>
    <row r="132">
      <c r="A132" s="48" t="n">
        <v>45422</v>
      </c>
      <c r="B132" s="49" t="n">
        <v>189085</v>
      </c>
      <c r="C132" s="50" t="n">
        <v>14.32</v>
      </c>
      <c r="D132" s="51" t="inlineStr">
        <is>
          <t>Good</t>
        </is>
      </c>
      <c r="E132" s="52" t="n">
        <v>17.9</v>
      </c>
      <c r="F132" s="52" t="n"/>
      <c r="G132" s="51" t="inlineStr">
        <is>
          <t>Fri</t>
        </is>
      </c>
      <c r="H132" s="51" t="inlineStr">
        <is>
          <t>Weekday</t>
        </is>
      </c>
      <c r="I132" s="51" t="inlineStr">
        <is>
          <t>Spring</t>
        </is>
      </c>
      <c r="J132" s="51" t="n">
        <v>25</v>
      </c>
      <c r="K132" s="51" t="inlineStr">
        <is>
          <t>강수량 공란</t>
        </is>
      </c>
      <c r="L132" s="46" t="n">
        <v>28.6</v>
      </c>
      <c r="M132" t="inlineStr">
        <is>
          <t>Good</t>
        </is>
      </c>
      <c r="N132" s="87" t="n">
        <v>25</v>
      </c>
      <c r="O132" s="87" t="n">
        <v>0</v>
      </c>
      <c r="P132" s="87" t="n">
        <v>0</v>
      </c>
      <c r="Q132" s="87" t="n">
        <v>0</v>
      </c>
      <c r="R132" s="87" t="n">
        <v>0</v>
      </c>
      <c r="S132" s="47" t="n">
        <v>2.6</v>
      </c>
      <c r="T132" s="47" t="n">
        <v>55.6</v>
      </c>
      <c r="U132" s="47" t="n"/>
      <c r="V132" s="87" t="n">
        <v>0</v>
      </c>
      <c r="W132" s="87" t="n">
        <v>0</v>
      </c>
      <c r="Y132" t="inlineStr">
        <is>
          <t>May</t>
        </is>
      </c>
      <c r="Z132" s="87" t="n">
        <v>2024</v>
      </c>
      <c r="AA132" s="47">
        <f>IF(F132="",0,F132)</f>
        <v/>
      </c>
      <c r="AB132" s="87">
        <f>IF(AA132&gt;=0.1,1,0)</f>
        <v/>
      </c>
      <c r="AC132" s="87" t="n">
        <v>0</v>
      </c>
      <c r="AD132" s="47">
        <f>IF(U132="",0,U132)</f>
        <v/>
      </c>
      <c r="AE132" s="87">
        <f>IF(OR(V132=1,W132=1),1,0)</f>
        <v/>
      </c>
      <c r="AF132" s="87" t="n">
        <v>0</v>
      </c>
      <c r="AG132" t="n">
        <v>12255</v>
      </c>
      <c r="AH132" t="n">
        <v>176830</v>
      </c>
      <c r="AI132" t="n">
        <v>0</v>
      </c>
      <c r="AJ132" s="88">
        <f>IF(OR(AG132&lt;=0,AH132&lt;=0),"",LN(AG132)-LN(AH132))</f>
        <v/>
      </c>
      <c r="AK132" t="n">
        <v>30809</v>
      </c>
      <c r="AL132" t="n">
        <v>158276</v>
      </c>
      <c r="AM132" s="88">
        <f>IF(OR(AK132&lt;=0,AL132&lt;=0),"",LN(AK132)-LN(AL132))</f>
        <v/>
      </c>
      <c r="AN132" t="n">
        <v>11935</v>
      </c>
      <c r="AO132" t="n">
        <v>171322</v>
      </c>
      <c r="AP132" s="88">
        <f>IF(OR(AN132&lt;=0,AO132&lt;=0),"",LN(AN132)-LN(AO132))</f>
        <v/>
      </c>
      <c r="AQ132" t="n">
        <v>11914</v>
      </c>
      <c r="AR132" t="n">
        <v>176830</v>
      </c>
      <c r="AS132" s="88">
        <f>IF(OR(AQ132&lt;=0,AR132&lt;=0),"",LN(AQ132)-LN(AR132))</f>
        <v/>
      </c>
      <c r="AT132" t="n">
        <v>11642</v>
      </c>
      <c r="AU132" t="n">
        <v>176319</v>
      </c>
      <c r="AV132" t="n">
        <v>1186</v>
      </c>
      <c r="AW132" t="n">
        <v>1354</v>
      </c>
      <c r="AX132" t="n">
        <v>10800</v>
      </c>
      <c r="AY132" s="88">
        <f>IF(OR(AT132&lt;=0,AU132&lt;=0),"",LN(AT132)-LN(AU132))</f>
        <v/>
      </c>
      <c r="AZ132" s="46" t="n">
        <v>12.5</v>
      </c>
      <c r="BA132" s="46" t="n">
        <v>28.02</v>
      </c>
      <c r="BB132" s="47" t="n">
        <v>2</v>
      </c>
    </row>
    <row r="133">
      <c r="A133" s="48" t="n">
        <v>45423</v>
      </c>
      <c r="B133" s="49" t="n">
        <v>62198</v>
      </c>
      <c r="C133" s="50" t="n">
        <v>7.56</v>
      </c>
      <c r="D133" s="51" t="inlineStr">
        <is>
          <t>Good</t>
        </is>
      </c>
      <c r="E133" s="52" t="n">
        <v>17</v>
      </c>
      <c r="F133" s="52" t="n">
        <v>31.7</v>
      </c>
      <c r="G133" s="51" t="inlineStr">
        <is>
          <t>Sat</t>
        </is>
      </c>
      <c r="H133" s="51" t="inlineStr">
        <is>
          <t>Weekend</t>
        </is>
      </c>
      <c r="I133" s="51" t="inlineStr">
        <is>
          <t>Spring</t>
        </is>
      </c>
      <c r="J133" s="51" t="n">
        <v>25</v>
      </c>
      <c r="K133" s="51" t="inlineStr">
        <is>
          <t>OK</t>
        </is>
      </c>
      <c r="L133" s="46" t="n">
        <v>19.68</v>
      </c>
      <c r="M133" t="inlineStr">
        <is>
          <t>Good</t>
        </is>
      </c>
      <c r="N133" s="87" t="n">
        <v>25</v>
      </c>
      <c r="O133" s="87" t="n">
        <v>0</v>
      </c>
      <c r="P133" s="87" t="n">
        <v>0</v>
      </c>
      <c r="Q133" s="87" t="n">
        <v>0</v>
      </c>
      <c r="R133" s="87" t="n">
        <v>0</v>
      </c>
      <c r="S133" s="47" t="n">
        <v>3.5</v>
      </c>
      <c r="T133" s="47" t="n">
        <v>80</v>
      </c>
      <c r="U133" s="47" t="n"/>
      <c r="V133" s="87" t="n">
        <v>1</v>
      </c>
      <c r="W133" s="87" t="n">
        <v>0</v>
      </c>
      <c r="Y133" t="inlineStr">
        <is>
          <t>May</t>
        </is>
      </c>
      <c r="Z133" s="87" t="n">
        <v>2024</v>
      </c>
      <c r="AA133" s="47">
        <f>IF(F133="",0,F133)</f>
        <v/>
      </c>
      <c r="AB133" s="87">
        <f>IF(AA133&gt;=0.1,1,0)</f>
        <v/>
      </c>
      <c r="AC133" s="87" t="n">
        <v>0</v>
      </c>
      <c r="AD133" s="47">
        <f>IF(U133="",0,U133)</f>
        <v/>
      </c>
      <c r="AE133" s="87">
        <f>IF(OR(V133=1,W133=1),1,0)</f>
        <v/>
      </c>
      <c r="AF133" s="87" t="n">
        <v>0</v>
      </c>
      <c r="AG133" t="n">
        <v>3830</v>
      </c>
      <c r="AH133" t="n">
        <v>58368</v>
      </c>
      <c r="AI133" t="n">
        <v>0</v>
      </c>
      <c r="AJ133" s="88">
        <f>IF(OR(AG133&lt;=0,AH133&lt;=0),"",LN(AG133)-LN(AH133))</f>
        <v/>
      </c>
      <c r="AK133" t="n">
        <v>9270</v>
      </c>
      <c r="AL133" t="n">
        <v>52928</v>
      </c>
      <c r="AM133" s="88">
        <f>IF(OR(AK133&lt;=0,AL133&lt;=0),"",LN(AK133)-LN(AL133))</f>
        <v/>
      </c>
      <c r="AN133" t="n">
        <v>3711</v>
      </c>
      <c r="AO133" t="n">
        <v>56674</v>
      </c>
      <c r="AP133" s="88">
        <f>IF(OR(AN133&lt;=0,AO133&lt;=0),"",LN(AN133)-LN(AO133))</f>
        <v/>
      </c>
      <c r="AQ133" t="n">
        <v>3718</v>
      </c>
      <c r="AR133" t="n">
        <v>58368</v>
      </c>
      <c r="AS133" s="88">
        <f>IF(OR(AQ133&lt;=0,AR133&lt;=0),"",LN(AQ133)-LN(AR133))</f>
        <v/>
      </c>
      <c r="AT133" t="n">
        <v>4455</v>
      </c>
      <c r="AU133" t="n">
        <v>57377</v>
      </c>
      <c r="AV133" t="n">
        <v>383</v>
      </c>
      <c r="AW133" t="n">
        <v>483</v>
      </c>
      <c r="AX133" t="n">
        <v>3317</v>
      </c>
      <c r="AY133" s="88">
        <f>IF(OR(AT133&lt;=0,AU133&lt;=0),"",LN(AT133)-LN(AU133))</f>
        <v/>
      </c>
      <c r="AZ133" s="46" t="n">
        <v>0.1</v>
      </c>
      <c r="BA133" s="46" t="n">
        <v>5.72</v>
      </c>
      <c r="BB133" s="47" t="n">
        <v>9.300000000000001</v>
      </c>
    </row>
    <row r="134">
      <c r="A134" s="48" t="n">
        <v>45424</v>
      </c>
      <c r="B134" s="49" t="n">
        <v>146930</v>
      </c>
      <c r="C134" s="50" t="n">
        <v>15.28</v>
      </c>
      <c r="D134" s="51" t="inlineStr">
        <is>
          <t>Moderate</t>
        </is>
      </c>
      <c r="E134" s="52" t="n">
        <v>16.6</v>
      </c>
      <c r="F134" s="52" t="n"/>
      <c r="G134" s="51" t="inlineStr">
        <is>
          <t>Sun</t>
        </is>
      </c>
      <c r="H134" s="51" t="inlineStr">
        <is>
          <t>Weekend</t>
        </is>
      </c>
      <c r="I134" s="51" t="inlineStr">
        <is>
          <t>Spring</t>
        </is>
      </c>
      <c r="J134" s="51" t="n">
        <v>25</v>
      </c>
      <c r="K134" s="51" t="inlineStr">
        <is>
          <t>강수량 공란</t>
        </is>
      </c>
      <c r="L134" s="46" t="n">
        <v>67.44</v>
      </c>
      <c r="M134" t="inlineStr">
        <is>
          <t>Moderate</t>
        </is>
      </c>
      <c r="N134" s="87" t="n">
        <v>25</v>
      </c>
      <c r="O134" s="87" t="n">
        <v>0</v>
      </c>
      <c r="P134" s="87" t="n">
        <v>0</v>
      </c>
      <c r="Q134" s="87" t="n">
        <v>0</v>
      </c>
      <c r="R134" s="87" t="n">
        <v>0</v>
      </c>
      <c r="S134" s="47" t="n">
        <v>2.7</v>
      </c>
      <c r="T134" s="47" t="n">
        <v>65</v>
      </c>
      <c r="U134" s="47" t="n"/>
      <c r="V134" s="87" t="n">
        <v>1</v>
      </c>
      <c r="W134" s="87" t="n">
        <v>0</v>
      </c>
      <c r="Y134" t="inlineStr">
        <is>
          <t>May</t>
        </is>
      </c>
      <c r="Z134" s="87" t="n">
        <v>2024</v>
      </c>
      <c r="AA134" s="47">
        <f>IF(F134="",0,F134)</f>
        <v/>
      </c>
      <c r="AB134" s="87">
        <f>IF(AA134&gt;=0.1,1,0)</f>
        <v/>
      </c>
      <c r="AC134" s="87" t="n">
        <v>0</v>
      </c>
      <c r="AD134" s="47">
        <f>IF(U134="",0,U134)</f>
        <v/>
      </c>
      <c r="AE134" s="87">
        <f>IF(OR(V134=1,W134=1),1,0)</f>
        <v/>
      </c>
      <c r="AF134" s="87" t="n">
        <v>0</v>
      </c>
      <c r="AG134" t="n">
        <v>15052</v>
      </c>
      <c r="AH134" t="n">
        <v>131878</v>
      </c>
      <c r="AI134" t="n">
        <v>0</v>
      </c>
      <c r="AJ134" s="88">
        <f>IF(OR(AG134&lt;=0,AH134&lt;=0),"",LN(AG134)-LN(AH134))</f>
        <v/>
      </c>
      <c r="AK134" t="n">
        <v>30605</v>
      </c>
      <c r="AL134" t="n">
        <v>116325</v>
      </c>
      <c r="AM134" s="88">
        <f>IF(OR(AK134&lt;=0,AL134&lt;=0),"",LN(AK134)-LN(AL134))</f>
        <v/>
      </c>
      <c r="AN134" t="n">
        <v>14528</v>
      </c>
      <c r="AO134" t="n">
        <v>128032</v>
      </c>
      <c r="AP134" s="88">
        <f>IF(OR(AN134&lt;=0,AO134&lt;=0),"",LN(AN134)-LN(AO134))</f>
        <v/>
      </c>
      <c r="AQ134" t="n">
        <v>14542</v>
      </c>
      <c r="AR134" t="n">
        <v>131878</v>
      </c>
      <c r="AS134" s="88">
        <f>IF(OR(AQ134&lt;=0,AR134&lt;=0),"",LN(AQ134)-LN(AR134))</f>
        <v/>
      </c>
      <c r="AT134" t="n">
        <v>15191</v>
      </c>
      <c r="AU134" t="n">
        <v>130769</v>
      </c>
      <c r="AV134" t="n">
        <v>1044</v>
      </c>
      <c r="AW134" t="n">
        <v>2636</v>
      </c>
      <c r="AX134" t="n">
        <v>12281</v>
      </c>
      <c r="AY134" s="88">
        <f>IF(OR(AT134&lt;=0,AU134&lt;=0),"",LN(AT134)-LN(AU134))</f>
        <v/>
      </c>
      <c r="AZ134" s="46" t="n">
        <v>11.4</v>
      </c>
      <c r="BA134" s="46" t="n">
        <v>28.91</v>
      </c>
      <c r="BB134" s="47" t="n">
        <v>2.6</v>
      </c>
    </row>
    <row r="135">
      <c r="A135" s="48" t="n">
        <v>45425</v>
      </c>
      <c r="B135" s="49" t="n">
        <v>182533</v>
      </c>
      <c r="C135" s="50" t="n">
        <v>13.52</v>
      </c>
      <c r="D135" s="51" t="inlineStr">
        <is>
          <t>Good</t>
        </is>
      </c>
      <c r="E135" s="52" t="n">
        <v>18.3</v>
      </c>
      <c r="F135" s="52" t="n"/>
      <c r="G135" s="51" t="inlineStr">
        <is>
          <t>Mon</t>
        </is>
      </c>
      <c r="H135" s="51" t="inlineStr">
        <is>
          <t>Weekday</t>
        </is>
      </c>
      <c r="I135" s="51" t="inlineStr">
        <is>
          <t>Spring</t>
        </is>
      </c>
      <c r="J135" s="51" t="n">
        <v>25</v>
      </c>
      <c r="K135" s="51" t="inlineStr">
        <is>
          <t>강수량 공란</t>
        </is>
      </c>
      <c r="L135" s="46" t="n">
        <v>29.2</v>
      </c>
      <c r="M135" t="inlineStr">
        <is>
          <t>Good</t>
        </is>
      </c>
      <c r="N135" s="87" t="n">
        <v>25</v>
      </c>
      <c r="O135" s="87" t="n">
        <v>0</v>
      </c>
      <c r="P135" s="87" t="n">
        <v>0</v>
      </c>
      <c r="Q135" s="87" t="n">
        <v>0</v>
      </c>
      <c r="R135" s="87" t="n">
        <v>0</v>
      </c>
      <c r="S135" s="47" t="n">
        <v>2.3</v>
      </c>
      <c r="T135" s="47" t="n">
        <v>51.9</v>
      </c>
      <c r="U135" s="47" t="n"/>
      <c r="V135" s="87" t="n">
        <v>0</v>
      </c>
      <c r="W135" s="87" t="n">
        <v>0</v>
      </c>
      <c r="Y135" t="inlineStr">
        <is>
          <t>May</t>
        </is>
      </c>
      <c r="Z135" s="87" t="n">
        <v>2024</v>
      </c>
      <c r="AA135" s="47">
        <f>IF(F135="",0,F135)</f>
        <v/>
      </c>
      <c r="AB135" s="87">
        <f>IF(AA135&gt;=0.1,1,0)</f>
        <v/>
      </c>
      <c r="AC135" s="87" t="n">
        <v>0</v>
      </c>
      <c r="AD135" s="47">
        <f>IF(U135="",0,U135)</f>
        <v/>
      </c>
      <c r="AE135" s="87">
        <f>IF(OR(V135=1,W135=1),1,0)</f>
        <v/>
      </c>
      <c r="AF135" s="87" t="n">
        <v>0</v>
      </c>
      <c r="AG135" t="n">
        <v>11504</v>
      </c>
      <c r="AH135" t="n">
        <v>171029</v>
      </c>
      <c r="AI135" t="n">
        <v>0</v>
      </c>
      <c r="AJ135" s="88">
        <f>IF(OR(AG135&lt;=0,AH135&lt;=0),"",LN(AG135)-LN(AH135))</f>
        <v/>
      </c>
      <c r="AK135" t="n">
        <v>29513</v>
      </c>
      <c r="AL135" t="n">
        <v>153020</v>
      </c>
      <c r="AM135" s="88">
        <f>IF(OR(AK135&lt;=0,AL135&lt;=0),"",LN(AK135)-LN(AL135))</f>
        <v/>
      </c>
      <c r="AN135" t="n">
        <v>11106</v>
      </c>
      <c r="AO135" t="n">
        <v>165647</v>
      </c>
      <c r="AP135" s="88">
        <f>IF(OR(AN135&lt;=0,AO135&lt;=0),"",LN(AN135)-LN(AO135))</f>
        <v/>
      </c>
      <c r="AQ135" t="n">
        <v>11179</v>
      </c>
      <c r="AR135" t="n">
        <v>171029</v>
      </c>
      <c r="AS135" s="88">
        <f>IF(OR(AQ135&lt;=0,AR135&lt;=0),"",LN(AQ135)-LN(AR135))</f>
        <v/>
      </c>
      <c r="AT135" t="n">
        <v>11370</v>
      </c>
      <c r="AU135" t="n">
        <v>170107</v>
      </c>
      <c r="AV135" t="n">
        <v>1132</v>
      </c>
      <c r="AW135" t="n">
        <v>1253</v>
      </c>
      <c r="AX135" t="n">
        <v>10175</v>
      </c>
      <c r="AY135" s="88">
        <f>IF(OR(AT135&lt;=0,AU135&lt;=0),"",LN(AT135)-LN(AU135))</f>
        <v/>
      </c>
      <c r="AZ135" s="46" t="n">
        <v>13.1</v>
      </c>
      <c r="BA135" s="46" t="n">
        <v>30.09</v>
      </c>
      <c r="BB135" s="47" t="n">
        <v>0</v>
      </c>
    </row>
    <row r="136">
      <c r="A136" s="48" t="n">
        <v>45426</v>
      </c>
      <c r="B136" s="49" t="n">
        <v>192259</v>
      </c>
      <c r="C136" s="50" t="n">
        <v>13.4</v>
      </c>
      <c r="D136" s="51" t="inlineStr">
        <is>
          <t>Good</t>
        </is>
      </c>
      <c r="E136" s="52" t="n">
        <v>18.8</v>
      </c>
      <c r="F136" s="52" t="n"/>
      <c r="G136" s="51" t="inlineStr">
        <is>
          <t>Tue</t>
        </is>
      </c>
      <c r="H136" s="51" t="inlineStr">
        <is>
          <t>Weekday</t>
        </is>
      </c>
      <c r="I136" s="51" t="inlineStr">
        <is>
          <t>Spring</t>
        </is>
      </c>
      <c r="J136" s="51" t="n">
        <v>25</v>
      </c>
      <c r="K136" s="51" t="inlineStr">
        <is>
          <t>강수량 공란</t>
        </is>
      </c>
      <c r="L136" s="46" t="n">
        <v>27.2</v>
      </c>
      <c r="M136" t="inlineStr">
        <is>
          <t>Good</t>
        </is>
      </c>
      <c r="N136" s="87" t="n">
        <v>25</v>
      </c>
      <c r="O136" s="87" t="n">
        <v>0</v>
      </c>
      <c r="P136" s="87" t="n">
        <v>0</v>
      </c>
      <c r="Q136" s="87" t="n">
        <v>0</v>
      </c>
      <c r="R136" s="87" t="n">
        <v>0</v>
      </c>
      <c r="S136" s="47" t="n">
        <v>2.4</v>
      </c>
      <c r="T136" s="47" t="n">
        <v>43.3</v>
      </c>
      <c r="U136" s="47" t="n"/>
      <c r="V136" s="87" t="n">
        <v>0</v>
      </c>
      <c r="W136" s="87" t="n">
        <v>0</v>
      </c>
      <c r="Y136" t="inlineStr">
        <is>
          <t>May</t>
        </is>
      </c>
      <c r="Z136" s="87" t="n">
        <v>2024</v>
      </c>
      <c r="AA136" s="47">
        <f>IF(F136="",0,F136)</f>
        <v/>
      </c>
      <c r="AB136" s="87">
        <f>IF(AA136&gt;=0.1,1,0)</f>
        <v/>
      </c>
      <c r="AC136" s="87" t="n">
        <v>0</v>
      </c>
      <c r="AD136" s="47">
        <f>IF(U136="",0,U136)</f>
        <v/>
      </c>
      <c r="AE136" s="87">
        <f>IF(OR(V136=1,W136=1),1,0)</f>
        <v/>
      </c>
      <c r="AF136" s="87" t="n">
        <v>0</v>
      </c>
      <c r="AG136" t="n">
        <v>12378</v>
      </c>
      <c r="AH136" t="n">
        <v>179881</v>
      </c>
      <c r="AI136" t="n">
        <v>0</v>
      </c>
      <c r="AJ136" s="88">
        <f>IF(OR(AG136&lt;=0,AH136&lt;=0),"",LN(AG136)-LN(AH136))</f>
        <v/>
      </c>
      <c r="AK136" t="n">
        <v>30880</v>
      </c>
      <c r="AL136" t="n">
        <v>161379</v>
      </c>
      <c r="AM136" s="88">
        <f>IF(OR(AK136&lt;=0,AL136&lt;=0),"",LN(AK136)-LN(AL136))</f>
        <v/>
      </c>
      <c r="AN136" t="n">
        <v>11996</v>
      </c>
      <c r="AO136" t="n">
        <v>174327</v>
      </c>
      <c r="AP136" s="88">
        <f>IF(OR(AN136&lt;=0,AO136&lt;=0),"",LN(AN136)-LN(AO136))</f>
        <v/>
      </c>
      <c r="AQ136" t="n">
        <v>12006</v>
      </c>
      <c r="AR136" t="n">
        <v>179881</v>
      </c>
      <c r="AS136" s="88">
        <f>IF(OR(AQ136&lt;=0,AR136&lt;=0),"",LN(AQ136)-LN(AR136))</f>
        <v/>
      </c>
      <c r="AT136" t="n">
        <v>11745</v>
      </c>
      <c r="AU136" t="n">
        <v>179342</v>
      </c>
      <c r="AV136" t="n">
        <v>1247</v>
      </c>
      <c r="AW136" t="n">
        <v>1394</v>
      </c>
      <c r="AX136" t="n">
        <v>10900</v>
      </c>
      <c r="AY136" s="88">
        <f>IF(OR(AT136&lt;=0,AU136&lt;=0),"",LN(AT136)-LN(AU136))</f>
        <v/>
      </c>
      <c r="AZ136" s="46" t="n">
        <v>13</v>
      </c>
      <c r="BA136" s="46" t="n">
        <v>30.02</v>
      </c>
      <c r="BB136" s="47" t="n">
        <v>0.1</v>
      </c>
    </row>
    <row r="137">
      <c r="A137" s="48" t="n">
        <v>45427</v>
      </c>
      <c r="B137" s="49" t="n">
        <v>54561</v>
      </c>
      <c r="C137" s="50" t="n">
        <v>7.52</v>
      </c>
      <c r="D137" s="51" t="inlineStr">
        <is>
          <t>Good</t>
        </is>
      </c>
      <c r="E137" s="52" t="n">
        <v>12.6</v>
      </c>
      <c r="F137" s="52" t="n">
        <v>20.6</v>
      </c>
      <c r="G137" s="51" t="inlineStr">
        <is>
          <t>Wed</t>
        </is>
      </c>
      <c r="H137" s="51" t="inlineStr">
        <is>
          <t>Weekday</t>
        </is>
      </c>
      <c r="I137" s="51" t="inlineStr">
        <is>
          <t>Spring</t>
        </is>
      </c>
      <c r="J137" s="51" t="n">
        <v>25</v>
      </c>
      <c r="K137" s="51" t="inlineStr">
        <is>
          <t>OK</t>
        </is>
      </c>
      <c r="L137" s="46" t="n">
        <v>21.48</v>
      </c>
      <c r="M137" t="inlineStr">
        <is>
          <t>Good</t>
        </is>
      </c>
      <c r="N137" s="87" t="n">
        <v>25</v>
      </c>
      <c r="O137" s="87" t="n">
        <v>0</v>
      </c>
      <c r="P137" s="87" t="n">
        <v>0</v>
      </c>
      <c r="Q137" s="87" t="n">
        <v>0</v>
      </c>
      <c r="R137" s="87" t="n">
        <v>0</v>
      </c>
      <c r="S137" s="47" t="n">
        <v>2.7</v>
      </c>
      <c r="T137" s="47" t="n">
        <v>74.3</v>
      </c>
      <c r="U137" s="47" t="n"/>
      <c r="V137" s="87" t="n">
        <v>0</v>
      </c>
      <c r="W137" s="87" t="n">
        <v>1</v>
      </c>
      <c r="X137" t="inlineStr">
        <is>
          <t>부처님오신날</t>
        </is>
      </c>
      <c r="Y137" t="inlineStr">
        <is>
          <t>May</t>
        </is>
      </c>
      <c r="Z137" s="87" t="n">
        <v>2024</v>
      </c>
      <c r="AA137" s="47">
        <f>IF(F137="",0,F137)</f>
        <v/>
      </c>
      <c r="AB137" s="87">
        <f>IF(AA137&gt;=0.1,1,0)</f>
        <v/>
      </c>
      <c r="AC137" s="87" t="n">
        <v>0</v>
      </c>
      <c r="AD137" s="47">
        <f>IF(U137="",0,U137)</f>
        <v/>
      </c>
      <c r="AE137" s="87">
        <f>IF(OR(V137=1,W137=1),1,0)</f>
        <v/>
      </c>
      <c r="AF137" s="87" t="n">
        <v>0</v>
      </c>
      <c r="AG137" t="n">
        <v>3803</v>
      </c>
      <c r="AH137" t="n">
        <v>50758</v>
      </c>
      <c r="AI137" t="n">
        <v>0</v>
      </c>
      <c r="AJ137" s="88">
        <f>IF(OR(AG137&lt;=0,AH137&lt;=0),"",LN(AG137)-LN(AH137))</f>
        <v/>
      </c>
      <c r="AK137" t="n">
        <v>8587</v>
      </c>
      <c r="AL137" t="n">
        <v>45974</v>
      </c>
      <c r="AM137" s="88">
        <f>IF(OR(AK137&lt;=0,AL137&lt;=0),"",LN(AK137)-LN(AL137))</f>
        <v/>
      </c>
      <c r="AN137" t="n">
        <v>3687</v>
      </c>
      <c r="AO137" t="n">
        <v>49206</v>
      </c>
      <c r="AP137" s="88">
        <f>IF(OR(AN137&lt;=0,AO137&lt;=0),"",LN(AN137)-LN(AO137))</f>
        <v/>
      </c>
      <c r="AQ137" t="n">
        <v>3666</v>
      </c>
      <c r="AR137" t="n">
        <v>50758</v>
      </c>
      <c r="AS137" s="88">
        <f>IF(OR(AQ137&lt;=0,AR137&lt;=0),"",LN(AQ137)-LN(AR137))</f>
        <v/>
      </c>
      <c r="AT137" t="n">
        <v>4863</v>
      </c>
      <c r="AU137" t="n">
        <v>49394</v>
      </c>
      <c r="AV137" t="n">
        <v>321</v>
      </c>
      <c r="AW137" t="n">
        <v>615</v>
      </c>
      <c r="AX137" t="n">
        <v>3162</v>
      </c>
      <c r="AY137" s="88">
        <f>IF(OR(AT137&lt;=0,AU137&lt;=0),"",LN(AT137)-LN(AU137))</f>
        <v/>
      </c>
      <c r="AZ137" s="46" t="n">
        <v>3.1</v>
      </c>
      <c r="BA137" s="46" t="n">
        <v>8.35</v>
      </c>
      <c r="BB137" s="47" t="n">
        <v>6.5</v>
      </c>
    </row>
    <row r="138">
      <c r="A138" s="48" t="n">
        <v>45428</v>
      </c>
      <c r="B138" s="49" t="n">
        <v>171716</v>
      </c>
      <c r="C138" s="50" t="n">
        <v>6.16</v>
      </c>
      <c r="D138" s="51" t="inlineStr">
        <is>
          <t>Good</t>
        </is>
      </c>
      <c r="E138" s="52" t="n">
        <v>13.7</v>
      </c>
      <c r="F138" s="52" t="n">
        <v>0.1</v>
      </c>
      <c r="G138" s="51" t="inlineStr">
        <is>
          <t>Thu</t>
        </is>
      </c>
      <c r="H138" s="51" t="inlineStr">
        <is>
          <t>Weekday</t>
        </is>
      </c>
      <c r="I138" s="51" t="inlineStr">
        <is>
          <t>Spring</t>
        </is>
      </c>
      <c r="J138" s="51" t="n">
        <v>25</v>
      </c>
      <c r="K138" s="51" t="inlineStr">
        <is>
          <t>OK</t>
        </is>
      </c>
      <c r="L138" s="46" t="n">
        <v>16.32</v>
      </c>
      <c r="M138" t="inlineStr">
        <is>
          <t>Good</t>
        </is>
      </c>
      <c r="N138" s="87" t="n">
        <v>25</v>
      </c>
      <c r="O138" s="87" t="n">
        <v>0</v>
      </c>
      <c r="P138" s="87" t="n">
        <v>0</v>
      </c>
      <c r="Q138" s="87" t="n">
        <v>0</v>
      </c>
      <c r="R138" s="87" t="n">
        <v>0</v>
      </c>
      <c r="S138" s="47" t="n">
        <v>3.1</v>
      </c>
      <c r="T138" s="47" t="n">
        <v>61.3</v>
      </c>
      <c r="U138" s="47" t="n"/>
      <c r="V138" s="87" t="n">
        <v>0</v>
      </c>
      <c r="W138" s="87" t="n">
        <v>0</v>
      </c>
      <c r="Y138" t="inlineStr">
        <is>
          <t>May</t>
        </is>
      </c>
      <c r="Z138" s="87" t="n">
        <v>2024</v>
      </c>
      <c r="AA138" s="47">
        <f>IF(F138="",0,F138)</f>
        <v/>
      </c>
      <c r="AB138" s="87">
        <f>IF(AA138&gt;=0.1,1,0)</f>
        <v/>
      </c>
      <c r="AC138" s="87" t="n">
        <v>0</v>
      </c>
      <c r="AD138" s="47">
        <f>IF(U138="",0,U138)</f>
        <v/>
      </c>
      <c r="AE138" s="87">
        <f>IF(OR(V138=1,W138=1),1,0)</f>
        <v/>
      </c>
      <c r="AF138" s="87" t="n">
        <v>0</v>
      </c>
      <c r="AG138" t="n">
        <v>10562</v>
      </c>
      <c r="AH138" t="n">
        <v>161154</v>
      </c>
      <c r="AI138" t="n">
        <v>0</v>
      </c>
      <c r="AJ138" s="88">
        <f>IF(OR(AG138&lt;=0,AH138&lt;=0),"",LN(AG138)-LN(AH138))</f>
        <v/>
      </c>
      <c r="AK138" t="n">
        <v>27441</v>
      </c>
      <c r="AL138" t="n">
        <v>144275</v>
      </c>
      <c r="AM138" s="88">
        <f>IF(OR(AK138&lt;=0,AL138&lt;=0),"",LN(AK138)-LN(AL138))</f>
        <v/>
      </c>
      <c r="AN138" t="n">
        <v>10201</v>
      </c>
      <c r="AO138" t="n">
        <v>156226</v>
      </c>
      <c r="AP138" s="88">
        <f>IF(OR(AN138&lt;=0,AO138&lt;=0),"",LN(AN138)-LN(AO138))</f>
        <v/>
      </c>
      <c r="AQ138" t="n">
        <v>10287</v>
      </c>
      <c r="AR138" t="n">
        <v>161154</v>
      </c>
      <c r="AS138" s="88">
        <f>IF(OR(AQ138&lt;=0,AR138&lt;=0),"",LN(AQ138)-LN(AR138))</f>
        <v/>
      </c>
      <c r="AT138" t="n">
        <v>10610</v>
      </c>
      <c r="AU138" t="n">
        <v>160085</v>
      </c>
      <c r="AV138" t="n">
        <v>1076</v>
      </c>
      <c r="AW138" t="n">
        <v>1062</v>
      </c>
      <c r="AX138" t="n">
        <v>9418</v>
      </c>
      <c r="AY138" s="88">
        <f>IF(OR(AT138&lt;=0,AU138&lt;=0),"",LN(AT138)-LN(AU138))</f>
        <v/>
      </c>
      <c r="AZ138" s="46" t="n">
        <v>13.1</v>
      </c>
      <c r="BA138" s="46" t="n">
        <v>31.35</v>
      </c>
      <c r="BB138" s="47" t="n">
        <v>1.5</v>
      </c>
    </row>
    <row r="139">
      <c r="A139" s="48" t="n">
        <v>45429</v>
      </c>
      <c r="B139" s="49" t="n">
        <v>190743</v>
      </c>
      <c r="C139" s="50" t="n">
        <v>18.92</v>
      </c>
      <c r="D139" s="51" t="inlineStr">
        <is>
          <t>Moderate</t>
        </is>
      </c>
      <c r="E139" s="52" t="n">
        <v>18.3</v>
      </c>
      <c r="F139" s="52" t="n"/>
      <c r="G139" s="51" t="inlineStr">
        <is>
          <t>Fri</t>
        </is>
      </c>
      <c r="H139" s="51" t="inlineStr">
        <is>
          <t>Weekday</t>
        </is>
      </c>
      <c r="I139" s="51" t="inlineStr">
        <is>
          <t>Spring</t>
        </is>
      </c>
      <c r="J139" s="51" t="n">
        <v>25</v>
      </c>
      <c r="K139" s="51" t="inlineStr">
        <is>
          <t>강수량 공란</t>
        </is>
      </c>
      <c r="L139" s="46" t="n">
        <v>40.6</v>
      </c>
      <c r="M139" t="inlineStr">
        <is>
          <t>Moderate</t>
        </is>
      </c>
      <c r="N139" s="87" t="n">
        <v>25</v>
      </c>
      <c r="O139" s="87" t="n">
        <v>0</v>
      </c>
      <c r="P139" s="87" t="n">
        <v>0</v>
      </c>
      <c r="Q139" s="87" t="n">
        <v>0</v>
      </c>
      <c r="R139" s="87" t="n">
        <v>0</v>
      </c>
      <c r="S139" s="47" t="n">
        <v>2.2</v>
      </c>
      <c r="T139" s="47" t="n">
        <v>63.6</v>
      </c>
      <c r="U139" s="47" t="n"/>
      <c r="V139" s="87" t="n">
        <v>0</v>
      </c>
      <c r="W139" s="87" t="n">
        <v>0</v>
      </c>
      <c r="Y139" t="inlineStr">
        <is>
          <t>May</t>
        </is>
      </c>
      <c r="Z139" s="87" t="n">
        <v>2024</v>
      </c>
      <c r="AA139" s="47">
        <f>IF(F139="",0,F139)</f>
        <v/>
      </c>
      <c r="AB139" s="87">
        <f>IF(AA139&gt;=0.1,1,0)</f>
        <v/>
      </c>
      <c r="AC139" s="87" t="n">
        <v>0</v>
      </c>
      <c r="AD139" s="47">
        <f>IF(U139="",0,U139)</f>
        <v/>
      </c>
      <c r="AE139" s="87">
        <f>IF(OR(V139=1,W139=1),1,0)</f>
        <v/>
      </c>
      <c r="AF139" s="87" t="n">
        <v>0</v>
      </c>
      <c r="AG139" t="n">
        <v>12269</v>
      </c>
      <c r="AH139" t="n">
        <v>178474</v>
      </c>
      <c r="AI139" t="n">
        <v>0</v>
      </c>
      <c r="AJ139" s="88">
        <f>IF(OR(AG139&lt;=0,AH139&lt;=0),"",LN(AG139)-LN(AH139))</f>
        <v/>
      </c>
      <c r="AK139" t="n">
        <v>30981</v>
      </c>
      <c r="AL139" t="n">
        <v>159762</v>
      </c>
      <c r="AM139" s="88">
        <f>IF(OR(AK139&lt;=0,AL139&lt;=0),"",LN(AK139)-LN(AL139))</f>
        <v/>
      </c>
      <c r="AN139" t="n">
        <v>11900</v>
      </c>
      <c r="AO139" t="n">
        <v>172975</v>
      </c>
      <c r="AP139" s="88">
        <f>IF(OR(AN139&lt;=0,AO139&lt;=0),"",LN(AN139)-LN(AO139))</f>
        <v/>
      </c>
      <c r="AQ139" t="n">
        <v>11930</v>
      </c>
      <c r="AR139" t="n">
        <v>178474</v>
      </c>
      <c r="AS139" s="88">
        <f>IF(OR(AQ139&lt;=0,AR139&lt;=0),"",LN(AQ139)-LN(AR139))</f>
        <v/>
      </c>
      <c r="AT139" t="n">
        <v>11797</v>
      </c>
      <c r="AU139" t="n">
        <v>177795</v>
      </c>
      <c r="AV139" t="n">
        <v>1220</v>
      </c>
      <c r="AW139" t="n">
        <v>1316</v>
      </c>
      <c r="AX139" t="n">
        <v>10858</v>
      </c>
      <c r="AY139" s="88">
        <f>IF(OR(AT139&lt;=0,AU139&lt;=0),"",LN(AT139)-LN(AU139))</f>
        <v/>
      </c>
      <c r="AZ139" s="46" t="n">
        <v>10.8</v>
      </c>
      <c r="BA139" s="46" t="n">
        <v>24.4</v>
      </c>
      <c r="BB139" s="47" t="n">
        <v>3.8</v>
      </c>
    </row>
    <row r="140">
      <c r="A140" s="48" t="n">
        <v>45430</v>
      </c>
      <c r="B140" s="49" t="n">
        <v>169965</v>
      </c>
      <c r="C140" s="50" t="n">
        <v>11.16</v>
      </c>
      <c r="D140" s="51" t="inlineStr">
        <is>
          <t>Good</t>
        </is>
      </c>
      <c r="E140" s="52" t="n">
        <v>20.7</v>
      </c>
      <c r="F140" s="52" t="n"/>
      <c r="G140" s="51" t="inlineStr">
        <is>
          <t>Sat</t>
        </is>
      </c>
      <c r="H140" s="51" t="inlineStr">
        <is>
          <t>Weekend</t>
        </is>
      </c>
      <c r="I140" s="51" t="inlineStr">
        <is>
          <t>Spring</t>
        </is>
      </c>
      <c r="J140" s="51" t="n">
        <v>25</v>
      </c>
      <c r="K140" s="51" t="inlineStr">
        <is>
          <t>강수량 공란</t>
        </is>
      </c>
      <c r="L140" s="46" t="n">
        <v>26.56</v>
      </c>
      <c r="M140" t="inlineStr">
        <is>
          <t>Good</t>
        </is>
      </c>
      <c r="N140" s="87" t="n">
        <v>25</v>
      </c>
      <c r="O140" s="87" t="n">
        <v>0</v>
      </c>
      <c r="P140" s="87" t="n">
        <v>0</v>
      </c>
      <c r="Q140" s="87" t="n">
        <v>0</v>
      </c>
      <c r="R140" s="87" t="n">
        <v>0</v>
      </c>
      <c r="S140" s="47" t="n">
        <v>2</v>
      </c>
      <c r="T140" s="47" t="n">
        <v>65.3</v>
      </c>
      <c r="U140" s="47" t="n"/>
      <c r="V140" s="87" t="n">
        <v>1</v>
      </c>
      <c r="W140" s="87" t="n">
        <v>0</v>
      </c>
      <c r="Y140" t="inlineStr">
        <is>
          <t>May</t>
        </is>
      </c>
      <c r="Z140" s="87" t="n">
        <v>2024</v>
      </c>
      <c r="AA140" s="47">
        <f>IF(F140="",0,F140)</f>
        <v/>
      </c>
      <c r="AB140" s="87">
        <f>IF(AA140&gt;=0.1,1,0)</f>
        <v/>
      </c>
      <c r="AC140" s="87" t="n">
        <v>0</v>
      </c>
      <c r="AD140" s="47">
        <f>IF(U140="",0,U140)</f>
        <v/>
      </c>
      <c r="AE140" s="87">
        <f>IF(OR(V140=1,W140=1),1,0)</f>
        <v/>
      </c>
      <c r="AF140" s="87" t="n">
        <v>0</v>
      </c>
      <c r="AG140" t="n">
        <v>16975</v>
      </c>
      <c r="AH140" t="n">
        <v>152990</v>
      </c>
      <c r="AI140" t="n">
        <v>0</v>
      </c>
      <c r="AJ140" s="88">
        <f>IF(OR(AG140&lt;=0,AH140&lt;=0),"",LN(AG140)-LN(AH140))</f>
        <v/>
      </c>
      <c r="AK140" t="n">
        <v>34860</v>
      </c>
      <c r="AL140" t="n">
        <v>135105</v>
      </c>
      <c r="AM140" s="88">
        <f>IF(OR(AK140&lt;=0,AL140&lt;=0),"",LN(AK140)-LN(AL140))</f>
        <v/>
      </c>
      <c r="AN140" t="n">
        <v>16435</v>
      </c>
      <c r="AO140" t="n">
        <v>148562</v>
      </c>
      <c r="AP140" s="88">
        <f>IF(OR(AN140&lt;=0,AO140&lt;=0),"",LN(AN140)-LN(AO140))</f>
        <v/>
      </c>
      <c r="AQ140" t="n">
        <v>16455</v>
      </c>
      <c r="AR140" t="n">
        <v>152990</v>
      </c>
      <c r="AS140" s="88">
        <f>IF(OR(AQ140&lt;=0,AR140&lt;=0),"",LN(AQ140)-LN(AR140))</f>
        <v/>
      </c>
      <c r="AT140" t="n">
        <v>15103</v>
      </c>
      <c r="AU140" t="n">
        <v>153750</v>
      </c>
      <c r="AV140" t="n">
        <v>1192</v>
      </c>
      <c r="AW140" t="n">
        <v>2653</v>
      </c>
      <c r="AX140" t="n">
        <v>14202</v>
      </c>
      <c r="AY140" s="88">
        <f>IF(OR(AT140&lt;=0,AU140&lt;=0),"",LN(AT140)-LN(AU140))</f>
        <v/>
      </c>
      <c r="AZ140" s="46" t="n">
        <v>11.3</v>
      </c>
      <c r="BA140" s="46" t="n">
        <v>26.88</v>
      </c>
      <c r="BB140" s="47" t="n">
        <v>2.3</v>
      </c>
    </row>
    <row r="141">
      <c r="A141" s="48" t="n">
        <v>45431</v>
      </c>
      <c r="B141" s="49" t="n">
        <v>152131</v>
      </c>
      <c r="C141" s="50" t="n">
        <v>11.24</v>
      </c>
      <c r="D141" s="51" t="inlineStr">
        <is>
          <t>Good</t>
        </is>
      </c>
      <c r="E141" s="52" t="n">
        <v>21.5</v>
      </c>
      <c r="F141" s="52" t="n"/>
      <c r="G141" s="51" t="inlineStr">
        <is>
          <t>Sun</t>
        </is>
      </c>
      <c r="H141" s="51" t="inlineStr">
        <is>
          <t>Weekend</t>
        </is>
      </c>
      <c r="I141" s="51" t="inlineStr">
        <is>
          <t>Spring</t>
        </is>
      </c>
      <c r="J141" s="51" t="n">
        <v>25</v>
      </c>
      <c r="K141" s="51" t="inlineStr">
        <is>
          <t>강수량 공란</t>
        </is>
      </c>
      <c r="L141" s="46" t="n">
        <v>23.48</v>
      </c>
      <c r="M141" t="inlineStr">
        <is>
          <t>Good</t>
        </is>
      </c>
      <c r="N141" s="87" t="n">
        <v>25</v>
      </c>
      <c r="O141" s="87" t="n">
        <v>0</v>
      </c>
      <c r="P141" s="87" t="n">
        <v>0</v>
      </c>
      <c r="Q141" s="87" t="n">
        <v>0</v>
      </c>
      <c r="R141" s="87" t="n">
        <v>0</v>
      </c>
      <c r="S141" s="47" t="n">
        <v>1.9</v>
      </c>
      <c r="T141" s="47" t="n">
        <v>63.1</v>
      </c>
      <c r="U141" s="47" t="n"/>
      <c r="V141" s="87" t="n">
        <v>1</v>
      </c>
      <c r="W141" s="87" t="n">
        <v>0</v>
      </c>
      <c r="Y141" t="inlineStr">
        <is>
          <t>May</t>
        </is>
      </c>
      <c r="Z141" s="87" t="n">
        <v>2024</v>
      </c>
      <c r="AA141" s="47">
        <f>IF(F141="",0,F141)</f>
        <v/>
      </c>
      <c r="AB141" s="87">
        <f>IF(AA141&gt;=0.1,1,0)</f>
        <v/>
      </c>
      <c r="AC141" s="87" t="n">
        <v>0</v>
      </c>
      <c r="AD141" s="47">
        <f>IF(U141="",0,U141)</f>
        <v/>
      </c>
      <c r="AE141" s="87">
        <f>IF(OR(V141=1,W141=1),1,0)</f>
        <v/>
      </c>
      <c r="AF141" s="87" t="n">
        <v>0</v>
      </c>
      <c r="AG141" t="n">
        <v>14822</v>
      </c>
      <c r="AH141" t="n">
        <v>137309</v>
      </c>
      <c r="AI141" t="n">
        <v>0</v>
      </c>
      <c r="AJ141" s="88">
        <f>IF(OR(AG141&lt;=0,AH141&lt;=0),"",LN(AG141)-LN(AH141))</f>
        <v/>
      </c>
      <c r="AK141" t="n">
        <v>30666</v>
      </c>
      <c r="AL141" t="n">
        <v>121465</v>
      </c>
      <c r="AM141" s="88">
        <f>IF(OR(AK141&lt;=0,AL141&lt;=0),"",LN(AK141)-LN(AL141))</f>
        <v/>
      </c>
      <c r="AN141" t="n">
        <v>14384</v>
      </c>
      <c r="AO141" t="n">
        <v>133271</v>
      </c>
      <c r="AP141" s="88">
        <f>IF(OR(AN141&lt;=0,AO141&lt;=0),"",LN(AN141)-LN(AO141))</f>
        <v/>
      </c>
      <c r="AQ141" t="n">
        <v>14315</v>
      </c>
      <c r="AR141" t="n">
        <v>137309</v>
      </c>
      <c r="AS141" s="88">
        <f>IF(OR(AQ141&lt;=0,AR141&lt;=0),"",LN(AQ141)-LN(AR141))</f>
        <v/>
      </c>
      <c r="AT141" t="n">
        <v>15339</v>
      </c>
      <c r="AU141" t="n">
        <v>135865</v>
      </c>
      <c r="AV141" t="n">
        <v>991</v>
      </c>
      <c r="AW141" t="n">
        <v>2584</v>
      </c>
      <c r="AX141" t="n">
        <v>12103</v>
      </c>
      <c r="AY141" s="88">
        <f>IF(OR(AT141&lt;=0,AU141&lt;=0),"",LN(AT141)-LN(AU141))</f>
        <v/>
      </c>
      <c r="AZ141" s="46" t="n">
        <v>12.6</v>
      </c>
      <c r="BA141" s="46" t="n">
        <v>28.99</v>
      </c>
      <c r="BB141" s="47" t="n">
        <v>1.1</v>
      </c>
    </row>
    <row r="142">
      <c r="A142" s="48" t="n">
        <v>45432</v>
      </c>
      <c r="B142" s="49" t="n">
        <v>178251</v>
      </c>
      <c r="C142" s="50" t="n">
        <v>16.08</v>
      </c>
      <c r="D142" s="51" t="inlineStr">
        <is>
          <t>Moderate</t>
        </is>
      </c>
      <c r="E142" s="52" t="n">
        <v>19.4</v>
      </c>
      <c r="F142" s="52" t="n"/>
      <c r="G142" s="51" t="inlineStr">
        <is>
          <t>Mon</t>
        </is>
      </c>
      <c r="H142" s="51" t="inlineStr">
        <is>
          <t>Weekday</t>
        </is>
      </c>
      <c r="I142" s="51" t="inlineStr">
        <is>
          <t>Spring</t>
        </is>
      </c>
      <c r="J142" s="51" t="n">
        <v>25</v>
      </c>
      <c r="K142" s="51" t="inlineStr">
        <is>
          <t>강수량 공란</t>
        </is>
      </c>
      <c r="L142" s="46" t="n">
        <v>30.44</v>
      </c>
      <c r="M142" t="inlineStr">
        <is>
          <t>Moderate</t>
        </is>
      </c>
      <c r="N142" s="87" t="n">
        <v>25</v>
      </c>
      <c r="O142" s="87" t="n">
        <v>0</v>
      </c>
      <c r="P142" s="87" t="n">
        <v>0</v>
      </c>
      <c r="Q142" s="87" t="n">
        <v>0</v>
      </c>
      <c r="R142" s="87" t="n">
        <v>0</v>
      </c>
      <c r="S142" s="47" t="n">
        <v>2.3</v>
      </c>
      <c r="T142" s="47" t="n">
        <v>75</v>
      </c>
      <c r="U142" s="47" t="n"/>
      <c r="V142" s="87" t="n">
        <v>0</v>
      </c>
      <c r="W142" s="87" t="n">
        <v>0</v>
      </c>
      <c r="Y142" t="inlineStr">
        <is>
          <t>May</t>
        </is>
      </c>
      <c r="Z142" s="87" t="n">
        <v>2024</v>
      </c>
      <c r="AA142" s="47">
        <f>IF(F142="",0,F142)</f>
        <v/>
      </c>
      <c r="AB142" s="87">
        <f>IF(AA142&gt;=0.1,1,0)</f>
        <v/>
      </c>
      <c r="AC142" s="87" t="n">
        <v>0</v>
      </c>
      <c r="AD142" s="47">
        <f>IF(U142="",0,U142)</f>
        <v/>
      </c>
      <c r="AE142" s="87">
        <f>IF(OR(V142=1,W142=1),1,0)</f>
        <v/>
      </c>
      <c r="AF142" s="87" t="n">
        <v>0</v>
      </c>
      <c r="AG142" t="n">
        <v>10911</v>
      </c>
      <c r="AH142" t="n">
        <v>167340</v>
      </c>
      <c r="AI142" t="n">
        <v>0</v>
      </c>
      <c r="AJ142" s="88">
        <f>IF(OR(AG142&lt;=0,AH142&lt;=0),"",LN(AG142)-LN(AH142))</f>
        <v/>
      </c>
      <c r="AK142" t="n">
        <v>28162</v>
      </c>
      <c r="AL142" t="n">
        <v>150089</v>
      </c>
      <c r="AM142" s="88">
        <f>IF(OR(AK142&lt;=0,AL142&lt;=0),"",LN(AK142)-LN(AL142))</f>
        <v/>
      </c>
      <c r="AN142" t="n">
        <v>10584</v>
      </c>
      <c r="AO142" t="n">
        <v>161983</v>
      </c>
      <c r="AP142" s="88">
        <f>IF(OR(AN142&lt;=0,AO142&lt;=0),"",LN(AN142)-LN(AO142))</f>
        <v/>
      </c>
      <c r="AQ142" t="n">
        <v>10596</v>
      </c>
      <c r="AR142" t="n">
        <v>167340</v>
      </c>
      <c r="AS142" s="88">
        <f>IF(OR(AQ142&lt;=0,AR142&lt;=0),"",LN(AQ142)-LN(AR142))</f>
        <v/>
      </c>
      <c r="AT142" t="n">
        <v>10794</v>
      </c>
      <c r="AU142" t="n">
        <v>166460</v>
      </c>
      <c r="AV142" t="n">
        <v>1057</v>
      </c>
      <c r="AW142" t="n">
        <v>1070</v>
      </c>
      <c r="AX142" t="n">
        <v>9750</v>
      </c>
      <c r="AY142" s="88">
        <f>IF(OR(AT142&lt;=0,AU142&lt;=0),"",LN(AT142)-LN(AU142))</f>
        <v/>
      </c>
      <c r="AZ142" s="46" t="n">
        <v>0.5</v>
      </c>
      <c r="BA142" s="46" t="n">
        <v>11.45</v>
      </c>
      <c r="BB142" s="47" t="n">
        <v>7.3</v>
      </c>
    </row>
    <row r="143">
      <c r="A143" s="48" t="n">
        <v>45433</v>
      </c>
      <c r="B143" s="49" t="n">
        <v>186294</v>
      </c>
      <c r="C143" s="50" t="n">
        <v>27.12</v>
      </c>
      <c r="D143" s="51" t="inlineStr">
        <is>
          <t>Moderate</t>
        </is>
      </c>
      <c r="E143" s="52" t="n">
        <v>21.7</v>
      </c>
      <c r="F143" s="52" t="n"/>
      <c r="G143" s="51" t="inlineStr">
        <is>
          <t>Tue</t>
        </is>
      </c>
      <c r="H143" s="51" t="inlineStr">
        <is>
          <t>Weekday</t>
        </is>
      </c>
      <c r="I143" s="51" t="inlineStr">
        <is>
          <t>Spring</t>
        </is>
      </c>
      <c r="J143" s="51" t="n">
        <v>25</v>
      </c>
      <c r="K143" s="51" t="inlineStr">
        <is>
          <t>강수량 공란</t>
        </is>
      </c>
      <c r="L143" s="46" t="n">
        <v>43.36</v>
      </c>
      <c r="M143" t="inlineStr">
        <is>
          <t>Moderate</t>
        </is>
      </c>
      <c r="N143" s="87" t="n">
        <v>25</v>
      </c>
      <c r="O143" s="87" t="n">
        <v>0</v>
      </c>
      <c r="P143" s="87" t="n">
        <v>0</v>
      </c>
      <c r="Q143" s="87" t="n">
        <v>0</v>
      </c>
      <c r="R143" s="87" t="n">
        <v>0</v>
      </c>
      <c r="S143" s="47" t="n">
        <v>1.9</v>
      </c>
      <c r="T143" s="47" t="n">
        <v>68.09999999999999</v>
      </c>
      <c r="U143" s="47" t="n"/>
      <c r="V143" s="87" t="n">
        <v>0</v>
      </c>
      <c r="W143" s="87" t="n">
        <v>0</v>
      </c>
      <c r="Y143" t="inlineStr">
        <is>
          <t>May</t>
        </is>
      </c>
      <c r="Z143" s="87" t="n">
        <v>2024</v>
      </c>
      <c r="AA143" s="47">
        <f>IF(F143="",0,F143)</f>
        <v/>
      </c>
      <c r="AB143" s="87">
        <f>IF(AA143&gt;=0.1,1,0)</f>
        <v/>
      </c>
      <c r="AC143" s="87" t="n">
        <v>0</v>
      </c>
      <c r="AD143" s="47">
        <f>IF(U143="",0,U143)</f>
        <v/>
      </c>
      <c r="AE143" s="87">
        <f>IF(OR(V143=1,W143=1),1,0)</f>
        <v/>
      </c>
      <c r="AF143" s="87" t="n">
        <v>0</v>
      </c>
      <c r="AG143" t="n">
        <v>11274</v>
      </c>
      <c r="AH143" t="n">
        <v>175020</v>
      </c>
      <c r="AI143" t="n">
        <v>0</v>
      </c>
      <c r="AJ143" s="88">
        <f>IF(OR(AG143&lt;=0,AH143&lt;=0),"",LN(AG143)-LN(AH143))</f>
        <v/>
      </c>
      <c r="AK143" t="n">
        <v>29131</v>
      </c>
      <c r="AL143" t="n">
        <v>157163</v>
      </c>
      <c r="AM143" s="88">
        <f>IF(OR(AK143&lt;=0,AL143&lt;=0),"",LN(AK143)-LN(AL143))</f>
        <v/>
      </c>
      <c r="AN143" t="n">
        <v>10935</v>
      </c>
      <c r="AO143" t="n">
        <v>169464</v>
      </c>
      <c r="AP143" s="88">
        <f>IF(OR(AN143&lt;=0,AO143&lt;=0),"",LN(AN143)-LN(AO143))</f>
        <v/>
      </c>
      <c r="AQ143" t="n">
        <v>10954</v>
      </c>
      <c r="AR143" t="n">
        <v>175020</v>
      </c>
      <c r="AS143" s="88">
        <f>IF(OR(AQ143&lt;=0,AR143&lt;=0),"",LN(AQ143)-LN(AR143))</f>
        <v/>
      </c>
      <c r="AT143" t="n">
        <v>11298</v>
      </c>
      <c r="AU143" t="n">
        <v>173897</v>
      </c>
      <c r="AV143" t="n">
        <v>1103</v>
      </c>
      <c r="AW143" t="n">
        <v>1167</v>
      </c>
      <c r="AX143" t="n">
        <v>10034</v>
      </c>
      <c r="AY143" s="88">
        <f>IF(OR(AT143&lt;=0,AU143&lt;=0),"",LN(AT143)-LN(AU143))</f>
        <v/>
      </c>
      <c r="AZ143" s="46" t="n">
        <v>9.4</v>
      </c>
      <c r="BA143" s="46" t="n">
        <v>26.37</v>
      </c>
      <c r="BB143" s="47" t="n">
        <v>2.9</v>
      </c>
    </row>
    <row r="144">
      <c r="A144" s="48" t="n">
        <v>45434</v>
      </c>
      <c r="B144" s="49" t="n">
        <v>186670</v>
      </c>
      <c r="C144" s="50" t="n">
        <v>35.28</v>
      </c>
      <c r="D144" s="51" t="inlineStr">
        <is>
          <t>Bad</t>
        </is>
      </c>
      <c r="E144" s="52" t="n">
        <v>20.5</v>
      </c>
      <c r="F144" s="52" t="n"/>
      <c r="G144" s="51" t="inlineStr">
        <is>
          <t>Wed</t>
        </is>
      </c>
      <c r="H144" s="51" t="inlineStr">
        <is>
          <t>Weekday</t>
        </is>
      </c>
      <c r="I144" s="51" t="inlineStr">
        <is>
          <t>Spring</t>
        </is>
      </c>
      <c r="J144" s="51" t="n">
        <v>25</v>
      </c>
      <c r="K144" s="51" t="inlineStr">
        <is>
          <t>강수량 공란</t>
        </is>
      </c>
      <c r="L144" s="46" t="n">
        <v>52.32</v>
      </c>
      <c r="M144" t="inlineStr">
        <is>
          <t>Moderate</t>
        </is>
      </c>
      <c r="N144" s="87" t="n">
        <v>25</v>
      </c>
      <c r="O144" s="87" t="n">
        <v>0</v>
      </c>
      <c r="P144" s="87" t="n">
        <v>0</v>
      </c>
      <c r="Q144" s="87" t="n">
        <v>0</v>
      </c>
      <c r="R144" s="87" t="n">
        <v>0</v>
      </c>
      <c r="S144" s="47" t="n">
        <v>2.3</v>
      </c>
      <c r="T144" s="47" t="n">
        <v>68.90000000000001</v>
      </c>
      <c r="U144" s="47" t="n"/>
      <c r="V144" s="87" t="n">
        <v>0</v>
      </c>
      <c r="W144" s="87" t="n">
        <v>0</v>
      </c>
      <c r="Y144" t="inlineStr">
        <is>
          <t>May</t>
        </is>
      </c>
      <c r="Z144" s="87" t="n">
        <v>2024</v>
      </c>
      <c r="AA144" s="47">
        <f>IF(F144="",0,F144)</f>
        <v/>
      </c>
      <c r="AB144" s="87">
        <f>IF(AA144&gt;=0.1,1,0)</f>
        <v/>
      </c>
      <c r="AC144" s="87" t="n">
        <v>0</v>
      </c>
      <c r="AD144" s="47">
        <f>IF(U144="",0,U144)</f>
        <v/>
      </c>
      <c r="AE144" s="87">
        <f>IF(OR(V144=1,W144=1),1,0)</f>
        <v/>
      </c>
      <c r="AF144" s="87" t="n">
        <v>0</v>
      </c>
      <c r="AG144" t="n">
        <v>10935</v>
      </c>
      <c r="AH144" t="n">
        <v>175735</v>
      </c>
      <c r="AI144" t="n">
        <v>0</v>
      </c>
      <c r="AJ144" s="88">
        <f>IF(OR(AG144&lt;=0,AH144&lt;=0),"",LN(AG144)-LN(AH144))</f>
        <v/>
      </c>
      <c r="AK144" t="n">
        <v>29069</v>
      </c>
      <c r="AL144" t="n">
        <v>157601</v>
      </c>
      <c r="AM144" s="88">
        <f>IF(OR(AK144&lt;=0,AL144&lt;=0),"",LN(AK144)-LN(AL144))</f>
        <v/>
      </c>
      <c r="AN144" t="n">
        <v>10604</v>
      </c>
      <c r="AO144" t="n">
        <v>170065</v>
      </c>
      <c r="AP144" s="88">
        <f>IF(OR(AN144&lt;=0,AO144&lt;=0),"",LN(AN144)-LN(AO144))</f>
        <v/>
      </c>
      <c r="AQ144" t="n">
        <v>10632</v>
      </c>
      <c r="AR144" t="n">
        <v>175735</v>
      </c>
      <c r="AS144" s="88">
        <f>IF(OR(AQ144&lt;=0,AR144&lt;=0),"",LN(AQ144)-LN(AR144))</f>
        <v/>
      </c>
      <c r="AT144" t="n">
        <v>11010</v>
      </c>
      <c r="AU144" t="n">
        <v>174708</v>
      </c>
      <c r="AV144" t="n">
        <v>957</v>
      </c>
      <c r="AW144" t="n">
        <v>1088</v>
      </c>
      <c r="AX144" t="n">
        <v>9758</v>
      </c>
      <c r="AY144" s="88">
        <f>IF(OR(AT144&lt;=0,AU144&lt;=0),"",LN(AT144)-LN(AU144))</f>
        <v/>
      </c>
      <c r="AZ144" s="46" t="n">
        <v>10</v>
      </c>
      <c r="BA144" s="46" t="n">
        <v>27.4</v>
      </c>
      <c r="BB144" s="47" t="n">
        <v>5.8</v>
      </c>
    </row>
    <row r="145">
      <c r="A145" s="48" t="n">
        <v>45435</v>
      </c>
      <c r="B145" s="49" t="n">
        <v>185654</v>
      </c>
      <c r="C145" s="50" t="n">
        <v>18.6</v>
      </c>
      <c r="D145" s="51" t="inlineStr">
        <is>
          <t>Moderate</t>
        </is>
      </c>
      <c r="E145" s="52" t="n">
        <v>20.2</v>
      </c>
      <c r="F145" s="52" t="n"/>
      <c r="G145" s="51" t="inlineStr">
        <is>
          <t>Thu</t>
        </is>
      </c>
      <c r="H145" s="51" t="inlineStr">
        <is>
          <t>Weekday</t>
        </is>
      </c>
      <c r="I145" s="51" t="inlineStr">
        <is>
          <t>Spring</t>
        </is>
      </c>
      <c r="J145" s="51" t="n">
        <v>25</v>
      </c>
      <c r="K145" s="51" t="inlineStr">
        <is>
          <t>강수량 공란</t>
        </is>
      </c>
      <c r="L145" s="46" t="n">
        <v>30.96</v>
      </c>
      <c r="M145" t="inlineStr">
        <is>
          <t>Moderate</t>
        </is>
      </c>
      <c r="N145" s="87" t="n">
        <v>25</v>
      </c>
      <c r="O145" s="87" t="n">
        <v>0</v>
      </c>
      <c r="P145" s="87" t="n">
        <v>0</v>
      </c>
      <c r="Q145" s="87" t="n">
        <v>0</v>
      </c>
      <c r="R145" s="87" t="n">
        <v>0</v>
      </c>
      <c r="S145" s="47" t="n">
        <v>2.5</v>
      </c>
      <c r="T145" s="47" t="n">
        <v>67.90000000000001</v>
      </c>
      <c r="U145" s="47" t="n"/>
      <c r="V145" s="87" t="n">
        <v>0</v>
      </c>
      <c r="W145" s="87" t="n">
        <v>0</v>
      </c>
      <c r="Y145" t="inlineStr">
        <is>
          <t>May</t>
        </is>
      </c>
      <c r="Z145" s="87" t="n">
        <v>2024</v>
      </c>
      <c r="AA145" s="47">
        <f>IF(F145="",0,F145)</f>
        <v/>
      </c>
      <c r="AB145" s="87">
        <f>IF(AA145&gt;=0.1,1,0)</f>
        <v/>
      </c>
      <c r="AC145" s="87" t="n">
        <v>0</v>
      </c>
      <c r="AD145" s="47">
        <f>IF(U145="",0,U145)</f>
        <v/>
      </c>
      <c r="AE145" s="87">
        <f>IF(OR(V145=1,W145=1),1,0)</f>
        <v/>
      </c>
      <c r="AF145" s="87" t="n">
        <v>0</v>
      </c>
      <c r="AG145" t="n">
        <v>11037</v>
      </c>
      <c r="AH145" t="n">
        <v>174617</v>
      </c>
      <c r="AI145" t="n">
        <v>0</v>
      </c>
      <c r="AJ145" s="88">
        <f>IF(OR(AG145&lt;=0,AH145&lt;=0),"",LN(AG145)-LN(AH145))</f>
        <v/>
      </c>
      <c r="AK145" t="n">
        <v>28980</v>
      </c>
      <c r="AL145" t="n">
        <v>156674</v>
      </c>
      <c r="AM145" s="88">
        <f>IF(OR(AK145&lt;=0,AL145&lt;=0),"",LN(AK145)-LN(AL145))</f>
        <v/>
      </c>
      <c r="AN145" t="n">
        <v>10663</v>
      </c>
      <c r="AO145" t="n">
        <v>169115</v>
      </c>
      <c r="AP145" s="88">
        <f>IF(OR(AN145&lt;=0,AO145&lt;=0),"",LN(AN145)-LN(AO145))</f>
        <v/>
      </c>
      <c r="AQ145" t="n">
        <v>10702</v>
      </c>
      <c r="AR145" t="n">
        <v>174617</v>
      </c>
      <c r="AS145" s="88">
        <f>IF(OR(AQ145&lt;=0,AR145&lt;=0),"",LN(AQ145)-LN(AR145))</f>
        <v/>
      </c>
      <c r="AT145" t="n">
        <v>11035</v>
      </c>
      <c r="AU145" t="n">
        <v>173542</v>
      </c>
      <c r="AV145" t="n">
        <v>1075</v>
      </c>
      <c r="AW145" t="n">
        <v>1153</v>
      </c>
      <c r="AX145" t="n">
        <v>9797</v>
      </c>
      <c r="AY145" s="88">
        <f>IF(OR(AT145&lt;=0,AU145&lt;=0),"",LN(AT145)-LN(AU145))</f>
        <v/>
      </c>
      <c r="AZ145" s="46" t="n">
        <v>12.7</v>
      </c>
      <c r="BA145" s="46" t="n">
        <v>30.1</v>
      </c>
      <c r="BB145" s="47" t="n">
        <v>2.4</v>
      </c>
    </row>
    <row r="146">
      <c r="A146" s="48" t="n">
        <v>45436</v>
      </c>
      <c r="B146" s="49" t="n">
        <v>189912</v>
      </c>
      <c r="C146" s="50" t="n">
        <v>24.56</v>
      </c>
      <c r="D146" s="51" t="inlineStr">
        <is>
          <t>Moderate</t>
        </is>
      </c>
      <c r="E146" s="52" t="n">
        <v>20.1</v>
      </c>
      <c r="F146" s="52" t="n"/>
      <c r="G146" s="51" t="inlineStr">
        <is>
          <t>Fri</t>
        </is>
      </c>
      <c r="H146" s="51" t="inlineStr">
        <is>
          <t>Weekday</t>
        </is>
      </c>
      <c r="I146" s="51" t="inlineStr">
        <is>
          <t>Spring</t>
        </is>
      </c>
      <c r="J146" s="51" t="n">
        <v>25</v>
      </c>
      <c r="K146" s="51" t="inlineStr">
        <is>
          <t>강수량 공란</t>
        </is>
      </c>
      <c r="L146" s="46" t="n">
        <v>36.28</v>
      </c>
      <c r="M146" t="inlineStr">
        <is>
          <t>Moderate</t>
        </is>
      </c>
      <c r="N146" s="87" t="n">
        <v>25</v>
      </c>
      <c r="O146" s="87" t="n">
        <v>0</v>
      </c>
      <c r="P146" s="87" t="n">
        <v>0</v>
      </c>
      <c r="Q146" s="87" t="n">
        <v>0</v>
      </c>
      <c r="R146" s="87" t="n">
        <v>0</v>
      </c>
      <c r="S146" s="47" t="n">
        <v>2.1</v>
      </c>
      <c r="T146" s="47" t="n">
        <v>75.09999999999999</v>
      </c>
      <c r="U146" s="47" t="n"/>
      <c r="V146" s="87" t="n">
        <v>0</v>
      </c>
      <c r="W146" s="87" t="n">
        <v>0</v>
      </c>
      <c r="Y146" t="inlineStr">
        <is>
          <t>May</t>
        </is>
      </c>
      <c r="Z146" s="87" t="n">
        <v>2024</v>
      </c>
      <c r="AA146" s="47">
        <f>IF(F146="",0,F146)</f>
        <v/>
      </c>
      <c r="AB146" s="87">
        <f>IF(AA146&gt;=0.1,1,0)</f>
        <v/>
      </c>
      <c r="AC146" s="87" t="n">
        <v>0</v>
      </c>
      <c r="AD146" s="47">
        <f>IF(U146="",0,U146)</f>
        <v/>
      </c>
      <c r="AE146" s="87">
        <f>IF(OR(V146=1,W146=1),1,0)</f>
        <v/>
      </c>
      <c r="AF146" s="87" t="n">
        <v>0</v>
      </c>
      <c r="AG146" t="n">
        <v>11639</v>
      </c>
      <c r="AH146" t="n">
        <v>178273</v>
      </c>
      <c r="AI146" t="n">
        <v>0</v>
      </c>
      <c r="AJ146" s="88">
        <f>IF(OR(AG146&lt;=0,AH146&lt;=0),"",LN(AG146)-LN(AH146))</f>
        <v/>
      </c>
      <c r="AK146" t="n">
        <v>30052</v>
      </c>
      <c r="AL146" t="n">
        <v>159860</v>
      </c>
      <c r="AM146" s="88">
        <f>IF(OR(AK146&lt;=0,AL146&lt;=0),"",LN(AK146)-LN(AL146))</f>
        <v/>
      </c>
      <c r="AN146" t="n">
        <v>11335</v>
      </c>
      <c r="AO146" t="n">
        <v>172794</v>
      </c>
      <c r="AP146" s="88">
        <f>IF(OR(AN146&lt;=0,AO146&lt;=0),"",LN(AN146)-LN(AO146))</f>
        <v/>
      </c>
      <c r="AQ146" t="n">
        <v>11329</v>
      </c>
      <c r="AR146" t="n">
        <v>178273</v>
      </c>
      <c r="AS146" s="88">
        <f>IF(OR(AQ146&lt;=0,AR146&lt;=0),"",LN(AQ146)-LN(AR146))</f>
        <v/>
      </c>
      <c r="AT146" t="n">
        <v>11641</v>
      </c>
      <c r="AU146" t="n">
        <v>177087</v>
      </c>
      <c r="AV146" t="n">
        <v>1189</v>
      </c>
      <c r="AW146" t="n">
        <v>1230</v>
      </c>
      <c r="AX146" t="n">
        <v>10322</v>
      </c>
      <c r="AY146" s="88">
        <f>IF(OR(AT146&lt;=0,AU146&lt;=0),"",LN(AT146)-LN(AU146))</f>
        <v/>
      </c>
      <c r="AZ146" s="46" t="n">
        <v>4.7</v>
      </c>
      <c r="BA146" s="46" t="n">
        <v>20.51</v>
      </c>
      <c r="BB146" s="47" t="n">
        <v>6.6</v>
      </c>
    </row>
    <row r="147">
      <c r="A147" s="48" t="n">
        <v>45437</v>
      </c>
      <c r="B147" s="49" t="n">
        <v>167421</v>
      </c>
      <c r="C147" s="50" t="n">
        <v>18.68</v>
      </c>
      <c r="D147" s="51" t="inlineStr">
        <is>
          <t>Moderate</t>
        </is>
      </c>
      <c r="E147" s="52" t="n">
        <v>21.4</v>
      </c>
      <c r="F147" s="52" t="n"/>
      <c r="G147" s="51" t="inlineStr">
        <is>
          <t>Sat</t>
        </is>
      </c>
      <c r="H147" s="51" t="inlineStr">
        <is>
          <t>Weekend</t>
        </is>
      </c>
      <c r="I147" s="51" t="inlineStr">
        <is>
          <t>Spring</t>
        </is>
      </c>
      <c r="J147" s="51" t="n">
        <v>25</v>
      </c>
      <c r="K147" s="51" t="inlineStr">
        <is>
          <t>강수량 공란</t>
        </is>
      </c>
      <c r="L147" s="46" t="n">
        <v>33.88</v>
      </c>
      <c r="M147" t="inlineStr">
        <is>
          <t>Moderate</t>
        </is>
      </c>
      <c r="N147" s="87" t="n">
        <v>25</v>
      </c>
      <c r="O147" s="87" t="n">
        <v>0</v>
      </c>
      <c r="P147" s="87" t="n">
        <v>0</v>
      </c>
      <c r="Q147" s="87" t="n">
        <v>0</v>
      </c>
      <c r="R147" s="87" t="n">
        <v>0</v>
      </c>
      <c r="S147" s="47" t="n">
        <v>1.8</v>
      </c>
      <c r="T147" s="47" t="n">
        <v>62.8</v>
      </c>
      <c r="U147" s="47" t="n"/>
      <c r="V147" s="87" t="n">
        <v>1</v>
      </c>
      <c r="W147" s="87" t="n">
        <v>0</v>
      </c>
      <c r="Y147" t="inlineStr">
        <is>
          <t>May</t>
        </is>
      </c>
      <c r="Z147" s="87" t="n">
        <v>2024</v>
      </c>
      <c r="AA147" s="47">
        <f>IF(F147="",0,F147)</f>
        <v/>
      </c>
      <c r="AB147" s="87">
        <f>IF(AA147&gt;=0.1,1,0)</f>
        <v/>
      </c>
      <c r="AC147" s="87" t="n">
        <v>0</v>
      </c>
      <c r="AD147" s="47">
        <f>IF(U147="",0,U147)</f>
        <v/>
      </c>
      <c r="AE147" s="87">
        <f>IF(OR(V147=1,W147=1),1,0)</f>
        <v/>
      </c>
      <c r="AF147" s="87" t="n">
        <v>0</v>
      </c>
      <c r="AG147" t="n">
        <v>14684</v>
      </c>
      <c r="AH147" t="n">
        <v>152737</v>
      </c>
      <c r="AI147" t="n">
        <v>0</v>
      </c>
      <c r="AJ147" s="88">
        <f>IF(OR(AG147&lt;=0,AH147&lt;=0),"",LN(AG147)-LN(AH147))</f>
        <v/>
      </c>
      <c r="AK147" t="n">
        <v>31539</v>
      </c>
      <c r="AL147" t="n">
        <v>135882</v>
      </c>
      <c r="AM147" s="88">
        <f>IF(OR(AK147&lt;=0,AL147&lt;=0),"",LN(AK147)-LN(AL147))</f>
        <v/>
      </c>
      <c r="AN147" t="n">
        <v>14281</v>
      </c>
      <c r="AO147" t="n">
        <v>148172</v>
      </c>
      <c r="AP147" s="88">
        <f>IF(OR(AN147&lt;=0,AO147&lt;=0),"",LN(AN147)-LN(AO147))</f>
        <v/>
      </c>
      <c r="AQ147" t="n">
        <v>14270</v>
      </c>
      <c r="AR147" t="n">
        <v>152737</v>
      </c>
      <c r="AS147" s="88">
        <f>IF(OR(AQ147&lt;=0,AR147&lt;=0),"",LN(AQ147)-LN(AR147))</f>
        <v/>
      </c>
      <c r="AT147" t="n">
        <v>14397</v>
      </c>
      <c r="AU147" t="n">
        <v>151946</v>
      </c>
      <c r="AV147" t="n">
        <v>1086</v>
      </c>
      <c r="AW147" t="n">
        <v>2220</v>
      </c>
      <c r="AX147" t="n">
        <v>12363</v>
      </c>
      <c r="AY147" s="88">
        <f>IF(OR(AT147&lt;=0,AU147&lt;=0),"",LN(AT147)-LN(AU147))</f>
        <v/>
      </c>
      <c r="AZ147" s="46" t="n">
        <v>2.3</v>
      </c>
      <c r="BA147" s="46" t="n">
        <v>17.34</v>
      </c>
      <c r="BB147" s="47" t="n">
        <v>7.8</v>
      </c>
    </row>
    <row r="148">
      <c r="A148" s="48" t="n">
        <v>45438</v>
      </c>
      <c r="B148" s="49" t="n">
        <v>62694</v>
      </c>
      <c r="C148" s="50" t="n">
        <v>12.88</v>
      </c>
      <c r="D148" s="51" t="inlineStr">
        <is>
          <t>Good</t>
        </is>
      </c>
      <c r="E148" s="52" t="n">
        <v>19.9</v>
      </c>
      <c r="F148" s="52" t="n">
        <v>8.699999999999999</v>
      </c>
      <c r="G148" s="51" t="inlineStr">
        <is>
          <t>Sun</t>
        </is>
      </c>
      <c r="H148" s="51" t="inlineStr">
        <is>
          <t>Weekend</t>
        </is>
      </c>
      <c r="I148" s="51" t="inlineStr">
        <is>
          <t>Spring</t>
        </is>
      </c>
      <c r="J148" s="51" t="n">
        <v>25</v>
      </c>
      <c r="K148" s="51" t="inlineStr">
        <is>
          <t>OK</t>
        </is>
      </c>
      <c r="L148" s="46" t="n">
        <v>23.64</v>
      </c>
      <c r="M148" t="inlineStr">
        <is>
          <t>Good</t>
        </is>
      </c>
      <c r="N148" s="87" t="n">
        <v>25</v>
      </c>
      <c r="O148" s="87" t="n">
        <v>0</v>
      </c>
      <c r="P148" s="87" t="n">
        <v>0</v>
      </c>
      <c r="Q148" s="87" t="n">
        <v>0</v>
      </c>
      <c r="R148" s="87" t="n">
        <v>0</v>
      </c>
      <c r="S148" s="47" t="n">
        <v>2.7</v>
      </c>
      <c r="T148" s="47" t="n">
        <v>74.3</v>
      </c>
      <c r="U148" s="47" t="n"/>
      <c r="V148" s="87" t="n">
        <v>1</v>
      </c>
      <c r="W148" s="87" t="n">
        <v>0</v>
      </c>
      <c r="Y148" t="inlineStr">
        <is>
          <t>May</t>
        </is>
      </c>
      <c r="Z148" s="87" t="n">
        <v>2024</v>
      </c>
      <c r="AA148" s="47">
        <f>IF(F148="",0,F148)</f>
        <v/>
      </c>
      <c r="AB148" s="87">
        <f>IF(AA148&gt;=0.1,1,0)</f>
        <v/>
      </c>
      <c r="AC148" s="87" t="n">
        <v>0</v>
      </c>
      <c r="AD148" s="47">
        <f>IF(U148="",0,U148)</f>
        <v/>
      </c>
      <c r="AE148" s="87">
        <f>IF(OR(V148=1,W148=1),1,0)</f>
        <v/>
      </c>
      <c r="AF148" s="87" t="n">
        <v>0</v>
      </c>
      <c r="AG148" t="n">
        <v>4515</v>
      </c>
      <c r="AH148" t="n">
        <v>58179</v>
      </c>
      <c r="AI148" t="n">
        <v>0</v>
      </c>
      <c r="AJ148" s="88">
        <f>IF(OR(AG148&lt;=0,AH148&lt;=0),"",LN(AG148)-LN(AH148))</f>
        <v/>
      </c>
      <c r="AK148" t="n">
        <v>10346</v>
      </c>
      <c r="AL148" t="n">
        <v>52348</v>
      </c>
      <c r="AM148" s="88">
        <f>IF(OR(AK148&lt;=0,AL148&lt;=0),"",LN(AK148)-LN(AL148))</f>
        <v/>
      </c>
      <c r="AN148" t="n">
        <v>4384</v>
      </c>
      <c r="AO148" t="n">
        <v>56567</v>
      </c>
      <c r="AP148" s="88">
        <f>IF(OR(AN148&lt;=0,AO148&lt;=0),"",LN(AN148)-LN(AO148))</f>
        <v/>
      </c>
      <c r="AQ148" t="n">
        <v>4371</v>
      </c>
      <c r="AR148" t="n">
        <v>58179</v>
      </c>
      <c r="AS148" s="88">
        <f>IF(OR(AQ148&lt;=0,AR148&lt;=0),"",LN(AQ148)-LN(AR148))</f>
        <v/>
      </c>
      <c r="AT148" t="n">
        <v>5539</v>
      </c>
      <c r="AU148" t="n">
        <v>56783</v>
      </c>
      <c r="AV148" t="n">
        <v>371</v>
      </c>
      <c r="AW148" t="n">
        <v>699</v>
      </c>
      <c r="AX148" t="n">
        <v>3788</v>
      </c>
      <c r="AY148" s="88">
        <f>IF(OR(AT148&lt;=0,AU148&lt;=0),"",LN(AT148)-LN(AU148))</f>
        <v/>
      </c>
      <c r="AZ148" s="46" t="n">
        <v>3.1</v>
      </c>
      <c r="BA148" s="46" t="n">
        <v>10.2</v>
      </c>
      <c r="BB148" s="47" t="n">
        <v>9</v>
      </c>
    </row>
    <row r="149">
      <c r="A149" s="48" t="n">
        <v>45439</v>
      </c>
      <c r="B149" s="49" t="n">
        <v>179250</v>
      </c>
      <c r="C149" s="50" t="n">
        <v>9.720000000000001</v>
      </c>
      <c r="D149" s="51" t="inlineStr">
        <is>
          <t>Good</t>
        </is>
      </c>
      <c r="E149" s="52" t="n">
        <v>18.5</v>
      </c>
      <c r="F149" s="52" t="n"/>
      <c r="G149" s="51" t="inlineStr">
        <is>
          <t>Mon</t>
        </is>
      </c>
      <c r="H149" s="51" t="inlineStr">
        <is>
          <t>Weekday</t>
        </is>
      </c>
      <c r="I149" s="51" t="inlineStr">
        <is>
          <t>Spring</t>
        </is>
      </c>
      <c r="J149" s="51" t="n">
        <v>25</v>
      </c>
      <c r="K149" s="51" t="inlineStr">
        <is>
          <t>강수량 공란</t>
        </is>
      </c>
      <c r="L149" s="46" t="n">
        <v>25.72</v>
      </c>
      <c r="M149" t="inlineStr">
        <is>
          <t>Good</t>
        </is>
      </c>
      <c r="N149" s="87" t="n">
        <v>25</v>
      </c>
      <c r="O149" s="87" t="n">
        <v>0</v>
      </c>
      <c r="P149" s="87" t="n">
        <v>0</v>
      </c>
      <c r="Q149" s="87" t="n">
        <v>0</v>
      </c>
      <c r="R149" s="87" t="n">
        <v>0</v>
      </c>
      <c r="S149" s="47" t="n">
        <v>3.3</v>
      </c>
      <c r="T149" s="47" t="n">
        <v>63.4</v>
      </c>
      <c r="U149" s="47" t="n"/>
      <c r="V149" s="87" t="n">
        <v>0</v>
      </c>
      <c r="W149" s="87" t="n">
        <v>0</v>
      </c>
      <c r="Y149" t="inlineStr">
        <is>
          <t>May</t>
        </is>
      </c>
      <c r="Z149" s="87" t="n">
        <v>2024</v>
      </c>
      <c r="AA149" s="47">
        <f>IF(F149="",0,F149)</f>
        <v/>
      </c>
      <c r="AB149" s="87">
        <f>IF(AA149&gt;=0.1,1,0)</f>
        <v/>
      </c>
      <c r="AC149" s="87" t="n">
        <v>0</v>
      </c>
      <c r="AD149" s="47">
        <f>IF(U149="",0,U149)</f>
        <v/>
      </c>
      <c r="AE149" s="87">
        <f>IF(OR(V149=1,W149=1),1,0)</f>
        <v/>
      </c>
      <c r="AF149" s="87" t="n">
        <v>0</v>
      </c>
      <c r="AG149" t="n">
        <v>10865</v>
      </c>
      <c r="AH149" t="n">
        <v>168385</v>
      </c>
      <c r="AI149" t="n">
        <v>0</v>
      </c>
      <c r="AJ149" s="88">
        <f>IF(OR(AG149&lt;=0,AH149&lt;=0),"",LN(AG149)-LN(AH149))</f>
        <v/>
      </c>
      <c r="AK149" t="n">
        <v>28133</v>
      </c>
      <c r="AL149" t="n">
        <v>151117</v>
      </c>
      <c r="AM149" s="88">
        <f>IF(OR(AK149&lt;=0,AL149&lt;=0),"",LN(AK149)-LN(AL149))</f>
        <v/>
      </c>
      <c r="AN149" t="n">
        <v>10500</v>
      </c>
      <c r="AO149" t="n">
        <v>163117</v>
      </c>
      <c r="AP149" s="88">
        <f>IF(OR(AN149&lt;=0,AO149&lt;=0),"",LN(AN149)-LN(AO149))</f>
        <v/>
      </c>
      <c r="AQ149" t="n">
        <v>10575</v>
      </c>
      <c r="AR149" t="n">
        <v>168385</v>
      </c>
      <c r="AS149" s="88">
        <f>IF(OR(AQ149&lt;=0,AR149&lt;=0),"",LN(AQ149)-LN(AR149))</f>
        <v/>
      </c>
      <c r="AT149" t="n">
        <v>11355</v>
      </c>
      <c r="AU149" t="n">
        <v>166871</v>
      </c>
      <c r="AV149" t="n">
        <v>1026</v>
      </c>
      <c r="AW149" t="n">
        <v>1121</v>
      </c>
      <c r="AX149" t="n">
        <v>9659</v>
      </c>
      <c r="AY149" s="88">
        <f>IF(OR(AT149&lt;=0,AU149&lt;=0),"",LN(AT149)-LN(AU149))</f>
        <v/>
      </c>
      <c r="AZ149" s="46" t="n">
        <v>9.9</v>
      </c>
      <c r="BA149" s="46" t="n">
        <v>26.89</v>
      </c>
      <c r="BB149" s="47" t="n">
        <v>3.3</v>
      </c>
    </row>
    <row r="150">
      <c r="A150" s="48" t="n">
        <v>45440</v>
      </c>
      <c r="B150" s="49" t="n">
        <v>193341</v>
      </c>
      <c r="C150" s="50" t="n">
        <v>6.76</v>
      </c>
      <c r="D150" s="51" t="inlineStr">
        <is>
          <t>Good</t>
        </is>
      </c>
      <c r="E150" s="52" t="n">
        <v>20.4</v>
      </c>
      <c r="F150" s="52" t="n"/>
      <c r="G150" s="51" t="inlineStr">
        <is>
          <t>Tue</t>
        </is>
      </c>
      <c r="H150" s="51" t="inlineStr">
        <is>
          <t>Weekday</t>
        </is>
      </c>
      <c r="I150" s="51" t="inlineStr">
        <is>
          <t>Spring</t>
        </is>
      </c>
      <c r="J150" s="51" t="n">
        <v>25</v>
      </c>
      <c r="K150" s="51" t="inlineStr">
        <is>
          <t>강수량 공란</t>
        </is>
      </c>
      <c r="L150" s="46" t="n">
        <v>16.12</v>
      </c>
      <c r="M150" t="inlineStr">
        <is>
          <t>Good</t>
        </is>
      </c>
      <c r="N150" s="87" t="n">
        <v>25</v>
      </c>
      <c r="O150" s="87" t="n">
        <v>0</v>
      </c>
      <c r="P150" s="87" t="n">
        <v>0</v>
      </c>
      <c r="Q150" s="87" t="n">
        <v>0</v>
      </c>
      <c r="R150" s="87" t="n">
        <v>0</v>
      </c>
      <c r="S150" s="47" t="n">
        <v>2.5</v>
      </c>
      <c r="T150" s="47" t="n">
        <v>54.8</v>
      </c>
      <c r="U150" s="47" t="n"/>
      <c r="V150" s="87" t="n">
        <v>0</v>
      </c>
      <c r="W150" s="87" t="n">
        <v>0</v>
      </c>
      <c r="Y150" t="inlineStr">
        <is>
          <t>May</t>
        </is>
      </c>
      <c r="Z150" s="87" t="n">
        <v>2024</v>
      </c>
      <c r="AA150" s="47">
        <f>IF(F150="",0,F150)</f>
        <v/>
      </c>
      <c r="AB150" s="87">
        <f>IF(AA150&gt;=0.1,1,0)</f>
        <v/>
      </c>
      <c r="AC150" s="87" t="n">
        <v>0</v>
      </c>
      <c r="AD150" s="47">
        <f>IF(U150="",0,U150)</f>
        <v/>
      </c>
      <c r="AE150" s="87">
        <f>IF(OR(V150=1,W150=1),1,0)</f>
        <v/>
      </c>
      <c r="AF150" s="87" t="n">
        <v>0</v>
      </c>
      <c r="AG150" t="n">
        <v>12430</v>
      </c>
      <c r="AH150" t="n">
        <v>180911</v>
      </c>
      <c r="AI150" t="n">
        <v>0</v>
      </c>
      <c r="AJ150" s="88">
        <f>IF(OR(AG150&lt;=0,AH150&lt;=0),"",LN(AG150)-LN(AH150))</f>
        <v/>
      </c>
      <c r="AK150" t="n">
        <v>31142</v>
      </c>
      <c r="AL150" t="n">
        <v>162199</v>
      </c>
      <c r="AM150" s="88">
        <f>IF(OR(AK150&lt;=0,AL150&lt;=0),"",LN(AK150)-LN(AL150))</f>
        <v/>
      </c>
      <c r="AN150" t="n">
        <v>12075</v>
      </c>
      <c r="AO150" t="n">
        <v>175402</v>
      </c>
      <c r="AP150" s="88">
        <f>IF(OR(AN150&lt;=0,AO150&lt;=0),"",LN(AN150)-LN(AO150))</f>
        <v/>
      </c>
      <c r="AQ150" t="n">
        <v>12057</v>
      </c>
      <c r="AR150" t="n">
        <v>180911</v>
      </c>
      <c r="AS150" s="88">
        <f>IF(OR(AQ150&lt;=0,AR150&lt;=0),"",LN(AQ150)-LN(AR150))</f>
        <v/>
      </c>
      <c r="AT150" t="n">
        <v>11788</v>
      </c>
      <c r="AU150" t="n">
        <v>180397</v>
      </c>
      <c r="AV150" t="n">
        <v>1159</v>
      </c>
      <c r="AW150" t="n">
        <v>1357</v>
      </c>
      <c r="AX150" t="n">
        <v>11011</v>
      </c>
      <c r="AY150" s="88">
        <f>IF(OR(AT150&lt;=0,AU150&lt;=0),"",LN(AT150)-LN(AU150))</f>
        <v/>
      </c>
      <c r="AZ150" s="46" t="n">
        <v>11.1</v>
      </c>
      <c r="BA150" s="46" t="n">
        <v>27.55</v>
      </c>
      <c r="BB150" s="47" t="n">
        <v>1.9</v>
      </c>
    </row>
    <row r="151">
      <c r="A151" s="48" t="n">
        <v>45441</v>
      </c>
      <c r="B151" s="49" t="n">
        <v>189814</v>
      </c>
      <c r="C151" s="50" t="n">
        <v>11.6</v>
      </c>
      <c r="D151" s="51" t="inlineStr">
        <is>
          <t>Good</t>
        </is>
      </c>
      <c r="E151" s="52" t="n">
        <v>21.2</v>
      </c>
      <c r="F151" s="52" t="n"/>
      <c r="G151" s="51" t="inlineStr">
        <is>
          <t>Wed</t>
        </is>
      </c>
      <c r="H151" s="51" t="inlineStr">
        <is>
          <t>Weekday</t>
        </is>
      </c>
      <c r="I151" s="51" t="inlineStr">
        <is>
          <t>Spring</t>
        </is>
      </c>
      <c r="J151" s="51" t="n">
        <v>25</v>
      </c>
      <c r="K151" s="51" t="inlineStr">
        <is>
          <t>강수량 공란</t>
        </is>
      </c>
      <c r="L151" s="46" t="n">
        <v>24.12</v>
      </c>
      <c r="M151" t="inlineStr">
        <is>
          <t>Good</t>
        </is>
      </c>
      <c r="N151" s="87" t="n">
        <v>25</v>
      </c>
      <c r="O151" s="87" t="n">
        <v>0</v>
      </c>
      <c r="P151" s="87" t="n">
        <v>0</v>
      </c>
      <c r="Q151" s="87" t="n">
        <v>0</v>
      </c>
      <c r="R151" s="87" t="n">
        <v>0</v>
      </c>
      <c r="S151" s="47" t="n">
        <v>2.1</v>
      </c>
      <c r="T151" s="47" t="n">
        <v>51.6</v>
      </c>
      <c r="U151" s="47" t="n"/>
      <c r="V151" s="87" t="n">
        <v>0</v>
      </c>
      <c r="W151" s="87" t="n">
        <v>0</v>
      </c>
      <c r="Y151" t="inlineStr">
        <is>
          <t>May</t>
        </is>
      </c>
      <c r="Z151" s="87" t="n">
        <v>2024</v>
      </c>
      <c r="AA151" s="47">
        <f>IF(F151="",0,F151)</f>
        <v/>
      </c>
      <c r="AB151" s="87">
        <f>IF(AA151&gt;=0.1,1,0)</f>
        <v/>
      </c>
      <c r="AC151" s="87" t="n">
        <v>0</v>
      </c>
      <c r="AD151" s="47">
        <f>IF(U151="",0,U151)</f>
        <v/>
      </c>
      <c r="AE151" s="87">
        <f>IF(OR(V151=1,W151=1),1,0)</f>
        <v/>
      </c>
      <c r="AF151" s="87" t="n">
        <v>0</v>
      </c>
      <c r="AG151" t="n">
        <v>11618</v>
      </c>
      <c r="AH151" t="n">
        <v>178196</v>
      </c>
      <c r="AI151" t="n">
        <v>0</v>
      </c>
      <c r="AJ151" s="88">
        <f>IF(OR(AG151&lt;=0,AH151&lt;=0),"",LN(AG151)-LN(AH151))</f>
        <v/>
      </c>
      <c r="AK151" t="n">
        <v>29914</v>
      </c>
      <c r="AL151" t="n">
        <v>159900</v>
      </c>
      <c r="AM151" s="88">
        <f>IF(OR(AK151&lt;=0,AL151&lt;=0),"",LN(AK151)-LN(AL151))</f>
        <v/>
      </c>
      <c r="AN151" t="n">
        <v>11234</v>
      </c>
      <c r="AO151" t="n">
        <v>172796</v>
      </c>
      <c r="AP151" s="88">
        <f>IF(OR(AN151&lt;=0,AO151&lt;=0),"",LN(AN151)-LN(AO151))</f>
        <v/>
      </c>
      <c r="AQ151" t="n">
        <v>11290</v>
      </c>
      <c r="AR151" t="n">
        <v>178196</v>
      </c>
      <c r="AS151" s="88">
        <f>IF(OR(AQ151&lt;=0,AR151&lt;=0),"",LN(AQ151)-LN(AR151))</f>
        <v/>
      </c>
      <c r="AT151" t="n">
        <v>11332</v>
      </c>
      <c r="AU151" t="n">
        <v>177396</v>
      </c>
      <c r="AV151" t="n">
        <v>1087</v>
      </c>
      <c r="AW151" t="n">
        <v>1155</v>
      </c>
      <c r="AX151" t="n">
        <v>10391</v>
      </c>
      <c r="AY151" s="88">
        <f>IF(OR(AT151&lt;=0,AU151&lt;=0),"",LN(AT151)-LN(AU151))</f>
        <v/>
      </c>
      <c r="AZ151" s="46" t="n">
        <v>13.2</v>
      </c>
      <c r="BA151" s="46" t="n">
        <v>29.38</v>
      </c>
      <c r="BB151" s="47" t="n">
        <v>2.8</v>
      </c>
    </row>
    <row r="152">
      <c r="A152" s="48" t="n">
        <v>45442</v>
      </c>
      <c r="B152" s="49" t="n">
        <v>187446</v>
      </c>
      <c r="C152" s="50" t="n">
        <v>14.56</v>
      </c>
      <c r="D152" s="51" t="inlineStr">
        <is>
          <t>Good</t>
        </is>
      </c>
      <c r="E152" s="52" t="n">
        <v>20.7</v>
      </c>
      <c r="F152" s="52" t="n"/>
      <c r="G152" s="51" t="inlineStr">
        <is>
          <t>Thu</t>
        </is>
      </c>
      <c r="H152" s="51" t="inlineStr">
        <is>
          <t>Weekday</t>
        </is>
      </c>
      <c r="I152" s="51" t="inlineStr">
        <is>
          <t>Spring</t>
        </is>
      </c>
      <c r="J152" s="51" t="n">
        <v>25</v>
      </c>
      <c r="K152" s="51" t="inlineStr">
        <is>
          <t>강수량 공란</t>
        </is>
      </c>
      <c r="L152" s="46" t="n">
        <v>27.04</v>
      </c>
      <c r="M152" t="inlineStr">
        <is>
          <t>Good</t>
        </is>
      </c>
      <c r="N152" s="87" t="n">
        <v>25</v>
      </c>
      <c r="O152" s="87" t="n">
        <v>0</v>
      </c>
      <c r="P152" s="87" t="n">
        <v>0</v>
      </c>
      <c r="Q152" s="87" t="n">
        <v>0</v>
      </c>
      <c r="R152" s="87" t="n">
        <v>0</v>
      </c>
      <c r="S152" s="47" t="n">
        <v>1.6</v>
      </c>
      <c r="T152" s="47" t="n">
        <v>49.1</v>
      </c>
      <c r="U152" s="47" t="n"/>
      <c r="V152" s="87" t="n">
        <v>0</v>
      </c>
      <c r="W152" s="87" t="n">
        <v>0</v>
      </c>
      <c r="Y152" t="inlineStr">
        <is>
          <t>May</t>
        </is>
      </c>
      <c r="Z152" s="87" t="n">
        <v>2024</v>
      </c>
      <c r="AA152" s="47">
        <f>IF(F152="",0,F152)</f>
        <v/>
      </c>
      <c r="AB152" s="87">
        <f>IF(AA152&gt;=0.1,1,0)</f>
        <v/>
      </c>
      <c r="AC152" s="87" t="n">
        <v>0</v>
      </c>
      <c r="AD152" s="47">
        <f>IF(U152="",0,U152)</f>
        <v/>
      </c>
      <c r="AE152" s="87">
        <f>IF(OR(V152=1,W152=1),1,0)</f>
        <v/>
      </c>
      <c r="AF152" s="87" t="n">
        <v>0</v>
      </c>
      <c r="AG152" t="n">
        <v>10993</v>
      </c>
      <c r="AH152" t="n">
        <v>176453</v>
      </c>
      <c r="AI152" t="n">
        <v>0</v>
      </c>
      <c r="AJ152" s="88">
        <f>IF(OR(AG152&lt;=0,AH152&lt;=0),"",LN(AG152)-LN(AH152))</f>
        <v/>
      </c>
      <c r="AK152" t="n">
        <v>28720</v>
      </c>
      <c r="AL152" t="n">
        <v>158726</v>
      </c>
      <c r="AM152" s="88">
        <f>IF(OR(AK152&lt;=0,AL152&lt;=0),"",LN(AK152)-LN(AL152))</f>
        <v/>
      </c>
      <c r="AN152" t="n">
        <v>10655</v>
      </c>
      <c r="AO152" t="n">
        <v>170855</v>
      </c>
      <c r="AP152" s="88">
        <f>IF(OR(AN152&lt;=0,AO152&lt;=0),"",LN(AN152)-LN(AO152))</f>
        <v/>
      </c>
      <c r="AQ152" t="n">
        <v>10679</v>
      </c>
      <c r="AR152" t="n">
        <v>176453</v>
      </c>
      <c r="AS152" s="88">
        <f>IF(OR(AQ152&lt;=0,AR152&lt;=0),"",LN(AQ152)-LN(AR152))</f>
        <v/>
      </c>
      <c r="AT152" t="n">
        <v>10916</v>
      </c>
      <c r="AU152" t="n">
        <v>175549</v>
      </c>
      <c r="AV152" t="n">
        <v>981</v>
      </c>
      <c r="AW152" t="n">
        <v>1068</v>
      </c>
      <c r="AX152" t="n">
        <v>9879</v>
      </c>
      <c r="AY152" s="88">
        <f>IF(OR(AT152&lt;=0,AU152&lt;=0),"",LN(AT152)-LN(AU152))</f>
        <v/>
      </c>
      <c r="AZ152" s="46" t="n">
        <v>0.6</v>
      </c>
      <c r="BA152" s="46" t="n">
        <v>12.97</v>
      </c>
      <c r="BB152" s="47" t="n">
        <v>8.5</v>
      </c>
    </row>
    <row r="153">
      <c r="A153" s="48" t="n">
        <v>45443</v>
      </c>
      <c r="B153" s="49" t="n">
        <v>186890</v>
      </c>
      <c r="C153" s="50" t="n">
        <v>13.24</v>
      </c>
      <c r="D153" s="51" t="inlineStr">
        <is>
          <t>Good</t>
        </is>
      </c>
      <c r="E153" s="52" t="n">
        <v>20.4</v>
      </c>
      <c r="F153" s="52" t="n">
        <v>1</v>
      </c>
      <c r="G153" s="51" t="inlineStr">
        <is>
          <t>Fri</t>
        </is>
      </c>
      <c r="H153" s="51" t="inlineStr">
        <is>
          <t>Weekday</t>
        </is>
      </c>
      <c r="I153" s="51" t="inlineStr">
        <is>
          <t>Spring</t>
        </is>
      </c>
      <c r="J153" s="51" t="n">
        <v>25</v>
      </c>
      <c r="K153" s="51" t="inlineStr">
        <is>
          <t>OK</t>
        </is>
      </c>
      <c r="L153" s="46" t="n">
        <v>23.6</v>
      </c>
      <c r="M153" t="inlineStr">
        <is>
          <t>Good</t>
        </is>
      </c>
      <c r="N153" s="87" t="n">
        <v>25</v>
      </c>
      <c r="O153" s="87" t="n">
        <v>0</v>
      </c>
      <c r="P153" s="87" t="n">
        <v>0</v>
      </c>
      <c r="Q153" s="87" t="n">
        <v>0</v>
      </c>
      <c r="R153" s="87" t="n">
        <v>0</v>
      </c>
      <c r="S153" s="47" t="n">
        <v>2.6</v>
      </c>
      <c r="T153" s="47" t="n">
        <v>60</v>
      </c>
      <c r="U153" s="47" t="n"/>
      <c r="V153" s="87" t="n">
        <v>0</v>
      </c>
      <c r="W153" s="87" t="n">
        <v>0</v>
      </c>
      <c r="Y153" t="inlineStr">
        <is>
          <t>May</t>
        </is>
      </c>
      <c r="Z153" s="87" t="n">
        <v>2024</v>
      </c>
      <c r="AA153" s="47">
        <f>IF(F153="",0,F153)</f>
        <v/>
      </c>
      <c r="AB153" s="87">
        <f>IF(AA153&gt;=0.1,1,0)</f>
        <v/>
      </c>
      <c r="AC153" s="87" t="n">
        <v>0</v>
      </c>
      <c r="AD153" s="47">
        <f>IF(U153="",0,U153)</f>
        <v/>
      </c>
      <c r="AE153" s="87">
        <f>IF(OR(V153=1,W153=1),1,0)</f>
        <v/>
      </c>
      <c r="AF153" s="87" t="n">
        <v>0</v>
      </c>
      <c r="AG153" t="n">
        <v>11339</v>
      </c>
      <c r="AH153" t="n">
        <v>175551</v>
      </c>
      <c r="AI153" t="n">
        <v>0</v>
      </c>
      <c r="AJ153" s="88">
        <f>IF(OR(AG153&lt;=0,AH153&lt;=0),"",LN(AG153)-LN(AH153))</f>
        <v/>
      </c>
      <c r="AK153" t="n">
        <v>29267</v>
      </c>
      <c r="AL153" t="n">
        <v>157623</v>
      </c>
      <c r="AM153" s="88">
        <f>IF(OR(AK153&lt;=0,AL153&lt;=0),"",LN(AK153)-LN(AL153))</f>
        <v/>
      </c>
      <c r="AN153" t="n">
        <v>10991</v>
      </c>
      <c r="AO153" t="n">
        <v>170102</v>
      </c>
      <c r="AP153" s="88">
        <f>IF(OR(AN153&lt;=0,AO153&lt;=0),"",LN(AN153)-LN(AO153))</f>
        <v/>
      </c>
      <c r="AQ153" t="n">
        <v>11016</v>
      </c>
      <c r="AR153" t="n">
        <v>175551</v>
      </c>
      <c r="AS153" s="88">
        <f>IF(OR(AQ153&lt;=0,AR153&lt;=0),"",LN(AQ153)-LN(AR153))</f>
        <v/>
      </c>
      <c r="AT153" t="n">
        <v>11586</v>
      </c>
      <c r="AU153" t="n">
        <v>174260</v>
      </c>
      <c r="AV153" t="n">
        <v>1049</v>
      </c>
      <c r="AW153" t="n">
        <v>1189</v>
      </c>
      <c r="AX153" t="n">
        <v>10074</v>
      </c>
      <c r="AY153" s="88">
        <f>IF(OR(AT153&lt;=0,AU153&lt;=0),"",LN(AT153)-LN(AU153))</f>
        <v/>
      </c>
      <c r="AZ153" s="46" t="n">
        <v>11.8</v>
      </c>
      <c r="BA153" s="46" t="n">
        <v>30.31</v>
      </c>
      <c r="BB153" s="47" t="n">
        <v>3.3</v>
      </c>
    </row>
    <row r="154">
      <c r="A154" s="48" t="n">
        <v>45444</v>
      </c>
      <c r="B154" s="49" t="n">
        <v>167882</v>
      </c>
      <c r="C154" s="50" t="n">
        <v>13.76</v>
      </c>
      <c r="D154" s="51" t="inlineStr">
        <is>
          <t>Good</t>
        </is>
      </c>
      <c r="E154" s="52" t="n">
        <v>20.7</v>
      </c>
      <c r="F154" s="52" t="n">
        <v>0</v>
      </c>
      <c r="G154" s="51" t="inlineStr">
        <is>
          <t>Sat</t>
        </is>
      </c>
      <c r="H154" s="51" t="inlineStr">
        <is>
          <t>Weekend</t>
        </is>
      </c>
      <c r="I154" s="51" t="inlineStr">
        <is>
          <t>Summer</t>
        </is>
      </c>
      <c r="J154" s="51" t="n">
        <v>25</v>
      </c>
      <c r="K154" s="51" t="inlineStr">
        <is>
          <t>OK</t>
        </is>
      </c>
      <c r="L154" s="46" t="n">
        <v>27.76</v>
      </c>
      <c r="M154" t="inlineStr">
        <is>
          <t>Good</t>
        </is>
      </c>
      <c r="N154" s="87" t="n">
        <v>25</v>
      </c>
      <c r="O154" s="87" t="n">
        <v>0</v>
      </c>
      <c r="P154" s="87" t="n">
        <v>0</v>
      </c>
      <c r="Q154" s="87" t="n">
        <v>0</v>
      </c>
      <c r="R154" s="87" t="n">
        <v>0</v>
      </c>
      <c r="S154" s="47" t="n">
        <v>2.8</v>
      </c>
      <c r="T154" s="47" t="n">
        <v>61.3</v>
      </c>
      <c r="U154" s="47" t="n"/>
      <c r="V154" s="87" t="n">
        <v>1</v>
      </c>
      <c r="W154" s="87" t="n">
        <v>0</v>
      </c>
      <c r="Y154" t="inlineStr">
        <is>
          <t>Jun</t>
        </is>
      </c>
      <c r="Z154" s="87" t="n">
        <v>2024</v>
      </c>
      <c r="AA154" s="47">
        <f>IF(F154="",0,F154)</f>
        <v/>
      </c>
      <c r="AB154" s="87">
        <f>IF(AA154&gt;=0.1,1,0)</f>
        <v/>
      </c>
      <c r="AC154" s="87" t="n">
        <v>1</v>
      </c>
      <c r="AD154" s="47">
        <f>IF(U154="",0,U154)</f>
        <v/>
      </c>
      <c r="AE154" s="87">
        <f>IF(OR(V154=1,W154=1),1,0)</f>
        <v/>
      </c>
      <c r="AF154" s="87" t="n">
        <v>0</v>
      </c>
      <c r="AG154" t="n">
        <v>15266</v>
      </c>
      <c r="AH154" t="n">
        <v>152616</v>
      </c>
      <c r="AI154" t="n">
        <v>0</v>
      </c>
      <c r="AJ154" s="88">
        <f>IF(OR(AG154&lt;=0,AH154&lt;=0),"",LN(AG154)-LN(AH154))</f>
        <v/>
      </c>
      <c r="AK154" t="n">
        <v>32073</v>
      </c>
      <c r="AL154" t="n">
        <v>135809</v>
      </c>
      <c r="AM154" s="88">
        <f>IF(OR(AK154&lt;=0,AL154&lt;=0),"",LN(AK154)-LN(AL154))</f>
        <v/>
      </c>
      <c r="AN154" t="n">
        <v>14790</v>
      </c>
      <c r="AO154" t="n">
        <v>147971</v>
      </c>
      <c r="AP154" s="88">
        <f>IF(OR(AN154&lt;=0,AO154&lt;=0),"",LN(AN154)-LN(AO154))</f>
        <v/>
      </c>
      <c r="AQ154" t="n">
        <v>14771</v>
      </c>
      <c r="AR154" t="n">
        <v>152616</v>
      </c>
      <c r="AS154" s="88">
        <f>IF(OR(AQ154&lt;=0,AR154&lt;=0),"",LN(AQ154)-LN(AR154))</f>
        <v/>
      </c>
      <c r="AT154" t="n">
        <v>14564</v>
      </c>
      <c r="AU154" t="n">
        <v>152161</v>
      </c>
      <c r="AV154" t="n">
        <v>1157</v>
      </c>
      <c r="AW154" t="n">
        <v>2211</v>
      </c>
      <c r="AX154" t="n">
        <v>12886</v>
      </c>
      <c r="AY154" s="88">
        <f>IF(OR(AT154&lt;=0,AU154&lt;=0),"",LN(AT154)-LN(AU154))</f>
        <v/>
      </c>
      <c r="AZ154" s="46" t="n">
        <v>9.4</v>
      </c>
      <c r="BA154" s="46" t="n">
        <v>27.02</v>
      </c>
      <c r="BB154" s="47" t="n">
        <v>4.3</v>
      </c>
    </row>
    <row r="155">
      <c r="A155" s="48" t="n">
        <v>45445</v>
      </c>
      <c r="B155" s="49" t="n">
        <v>154179</v>
      </c>
      <c r="C155" s="50" t="n">
        <v>9.720000000000001</v>
      </c>
      <c r="D155" s="51" t="inlineStr">
        <is>
          <t>Good</t>
        </is>
      </c>
      <c r="E155" s="52" t="n">
        <v>20.4</v>
      </c>
      <c r="F155" s="52" t="n"/>
      <c r="G155" s="51" t="inlineStr">
        <is>
          <t>Sun</t>
        </is>
      </c>
      <c r="H155" s="51" t="inlineStr">
        <is>
          <t>Weekend</t>
        </is>
      </c>
      <c r="I155" s="51" t="inlineStr">
        <is>
          <t>Summer</t>
        </is>
      </c>
      <c r="J155" s="51" t="n">
        <v>25</v>
      </c>
      <c r="K155" s="51" t="inlineStr">
        <is>
          <t>강수량 공란</t>
        </is>
      </c>
      <c r="L155" s="46" t="n">
        <v>20.84</v>
      </c>
      <c r="M155" t="inlineStr">
        <is>
          <t>Good</t>
        </is>
      </c>
      <c r="N155" s="87" t="n">
        <v>25</v>
      </c>
      <c r="O155" s="87" t="n">
        <v>0</v>
      </c>
      <c r="P155" s="87" t="n">
        <v>0</v>
      </c>
      <c r="Q155" s="87" t="n">
        <v>0</v>
      </c>
      <c r="R155" s="87" t="n">
        <v>0</v>
      </c>
      <c r="S155" s="47" t="n">
        <v>2.7</v>
      </c>
      <c r="T155" s="47" t="n">
        <v>51.9</v>
      </c>
      <c r="U155" s="47" t="n"/>
      <c r="V155" s="87" t="n">
        <v>1</v>
      </c>
      <c r="W155" s="87" t="n">
        <v>0</v>
      </c>
      <c r="Y155" t="inlineStr">
        <is>
          <t>Jun</t>
        </is>
      </c>
      <c r="Z155" s="87" t="n">
        <v>2024</v>
      </c>
      <c r="AA155" s="47">
        <f>IF(F155="",0,F155)</f>
        <v/>
      </c>
      <c r="AB155" s="87">
        <f>IF(AA155&gt;=0.1,1,0)</f>
        <v/>
      </c>
      <c r="AC155" s="87" t="n">
        <v>0</v>
      </c>
      <c r="AD155" s="47">
        <f>IF(U155="",0,U155)</f>
        <v/>
      </c>
      <c r="AE155" s="87">
        <f>IF(OR(V155=1,W155=1),1,0)</f>
        <v/>
      </c>
      <c r="AF155" s="87" t="n">
        <v>0</v>
      </c>
      <c r="AG155" t="n">
        <v>14525</v>
      </c>
      <c r="AH155" t="n">
        <v>139654</v>
      </c>
      <c r="AI155" t="n">
        <v>0</v>
      </c>
      <c r="AJ155" s="88">
        <f>IF(OR(AG155&lt;=0,AH155&lt;=0),"",LN(AG155)-LN(AH155))</f>
        <v/>
      </c>
      <c r="AK155" t="n">
        <v>30204</v>
      </c>
      <c r="AL155" t="n">
        <v>123975</v>
      </c>
      <c r="AM155" s="88">
        <f>IF(OR(AK155&lt;=0,AL155&lt;=0),"",LN(AK155)-LN(AL155))</f>
        <v/>
      </c>
      <c r="AN155" t="n">
        <v>14059</v>
      </c>
      <c r="AO155" t="n">
        <v>135401</v>
      </c>
      <c r="AP155" s="88">
        <f>IF(OR(AN155&lt;=0,AO155&lt;=0),"",LN(AN155)-LN(AO155))</f>
        <v/>
      </c>
      <c r="AQ155" t="n">
        <v>14067</v>
      </c>
      <c r="AR155" t="n">
        <v>139654</v>
      </c>
      <c r="AS155" s="88">
        <f>IF(OR(AQ155&lt;=0,AR155&lt;=0),"",LN(AQ155)-LN(AR155))</f>
        <v/>
      </c>
      <c r="AT155" t="n">
        <v>15298</v>
      </c>
      <c r="AU155" t="n">
        <v>137934</v>
      </c>
      <c r="AV155" t="n">
        <v>944</v>
      </c>
      <c r="AW155" t="n">
        <v>2431</v>
      </c>
      <c r="AX155" t="n">
        <v>11974</v>
      </c>
      <c r="AY155" s="88">
        <f>IF(OR(AT155&lt;=0,AU155&lt;=0),"",LN(AT155)-LN(AU155))</f>
        <v/>
      </c>
      <c r="AZ155" s="46" t="n">
        <v>12.4</v>
      </c>
      <c r="BA155" s="46" t="n">
        <v>28.7</v>
      </c>
      <c r="BB155" s="47" t="n">
        <v>1.3</v>
      </c>
    </row>
    <row r="156">
      <c r="A156" s="48" t="n">
        <v>45446</v>
      </c>
      <c r="B156" s="49" t="n">
        <v>187320</v>
      </c>
      <c r="C156" s="50" t="n">
        <v>6.84</v>
      </c>
      <c r="D156" s="51" t="inlineStr">
        <is>
          <t>Good</t>
        </is>
      </c>
      <c r="E156" s="52" t="n">
        <v>22.2</v>
      </c>
      <c r="F156" s="52" t="n"/>
      <c r="G156" s="51" t="inlineStr">
        <is>
          <t>Mon</t>
        </is>
      </c>
      <c r="H156" s="51" t="inlineStr">
        <is>
          <t>Weekday</t>
        </is>
      </c>
      <c r="I156" s="51" t="inlineStr">
        <is>
          <t>Summer</t>
        </is>
      </c>
      <c r="J156" s="51" t="n">
        <v>25</v>
      </c>
      <c r="K156" s="51" t="inlineStr">
        <is>
          <t>강수량 공란</t>
        </is>
      </c>
      <c r="L156" s="46" t="n">
        <v>13.88</v>
      </c>
      <c r="M156" t="inlineStr">
        <is>
          <t>Good</t>
        </is>
      </c>
      <c r="N156" s="87" t="n">
        <v>25</v>
      </c>
      <c r="O156" s="87" t="n">
        <v>0</v>
      </c>
      <c r="P156" s="87" t="n">
        <v>0</v>
      </c>
      <c r="Q156" s="87" t="n">
        <v>0</v>
      </c>
      <c r="R156" s="87" t="n">
        <v>0</v>
      </c>
      <c r="S156" s="47" t="n">
        <v>2.4</v>
      </c>
      <c r="T156" s="47" t="n">
        <v>47.4</v>
      </c>
      <c r="U156" s="47" t="n"/>
      <c r="V156" s="87" t="n">
        <v>0</v>
      </c>
      <c r="W156" s="87" t="n">
        <v>0</v>
      </c>
      <c r="Y156" t="inlineStr">
        <is>
          <t>Jun</t>
        </is>
      </c>
      <c r="Z156" s="87" t="n">
        <v>2024</v>
      </c>
      <c r="AA156" s="47">
        <f>IF(F156="",0,F156)</f>
        <v/>
      </c>
      <c r="AB156" s="87">
        <f>IF(AA156&gt;=0.1,1,0)</f>
        <v/>
      </c>
      <c r="AC156" s="87" t="n">
        <v>0</v>
      </c>
      <c r="AD156" s="47">
        <f>IF(U156="",0,U156)</f>
        <v/>
      </c>
      <c r="AE156" s="87">
        <f>IF(OR(V156=1,W156=1),1,0)</f>
        <v/>
      </c>
      <c r="AF156" s="87" t="n">
        <v>0</v>
      </c>
      <c r="AG156" t="n">
        <v>11575</v>
      </c>
      <c r="AH156" t="n">
        <v>175745</v>
      </c>
      <c r="AI156" t="n">
        <v>0</v>
      </c>
      <c r="AJ156" s="88">
        <f>IF(OR(AG156&lt;=0,AH156&lt;=0),"",LN(AG156)-LN(AH156))</f>
        <v/>
      </c>
      <c r="AK156" t="n">
        <v>29727</v>
      </c>
      <c r="AL156" t="n">
        <v>157593</v>
      </c>
      <c r="AM156" s="88">
        <f>IF(OR(AK156&lt;=0,AL156&lt;=0),"",LN(AK156)-LN(AL156))</f>
        <v/>
      </c>
      <c r="AN156" t="n">
        <v>11189</v>
      </c>
      <c r="AO156" t="n">
        <v>170186</v>
      </c>
      <c r="AP156" s="88">
        <f>IF(OR(AN156&lt;=0,AO156&lt;=0),"",LN(AN156)-LN(AO156))</f>
        <v/>
      </c>
      <c r="AQ156" t="n">
        <v>11257</v>
      </c>
      <c r="AR156" t="n">
        <v>175745</v>
      </c>
      <c r="AS156" s="88">
        <f>IF(OR(AQ156&lt;=0,AR156&lt;=0),"",LN(AQ156)-LN(AR156))</f>
        <v/>
      </c>
      <c r="AT156" t="n">
        <v>11555</v>
      </c>
      <c r="AU156" t="n">
        <v>174742</v>
      </c>
      <c r="AV156" t="n">
        <v>1025</v>
      </c>
      <c r="AW156" t="n">
        <v>1250</v>
      </c>
      <c r="AX156" t="n">
        <v>10258</v>
      </c>
      <c r="AY156" s="88">
        <f>IF(OR(AT156&lt;=0,AU156&lt;=0),"",LN(AT156)-LN(AU156))</f>
        <v/>
      </c>
      <c r="AZ156" s="46" t="n">
        <v>11.2</v>
      </c>
      <c r="BA156" s="46" t="n">
        <v>29.95</v>
      </c>
      <c r="BB156" s="47" t="n">
        <v>1</v>
      </c>
    </row>
    <row r="157">
      <c r="A157" s="48" t="n">
        <v>45447</v>
      </c>
      <c r="B157" s="49" t="n">
        <v>194251</v>
      </c>
      <c r="C157" s="50" t="n">
        <v>8.16</v>
      </c>
      <c r="D157" s="51" t="inlineStr">
        <is>
          <t>Good</t>
        </is>
      </c>
      <c r="E157" s="52" t="n">
        <v>22.8</v>
      </c>
      <c r="F157" s="52" t="n"/>
      <c r="G157" s="51" t="inlineStr">
        <is>
          <t>Tue</t>
        </is>
      </c>
      <c r="H157" s="51" t="inlineStr">
        <is>
          <t>Weekday</t>
        </is>
      </c>
      <c r="I157" s="51" t="inlineStr">
        <is>
          <t>Summer</t>
        </is>
      </c>
      <c r="J157" s="51" t="n">
        <v>25</v>
      </c>
      <c r="K157" s="51" t="inlineStr">
        <is>
          <t>강수량 공란</t>
        </is>
      </c>
      <c r="L157" s="46" t="n">
        <v>17.36</v>
      </c>
      <c r="M157" t="inlineStr">
        <is>
          <t>Good</t>
        </is>
      </c>
      <c r="N157" s="87" t="n">
        <v>25</v>
      </c>
      <c r="O157" s="87" t="n">
        <v>0</v>
      </c>
      <c r="P157" s="87" t="n">
        <v>0</v>
      </c>
      <c r="Q157" s="87" t="n">
        <v>0</v>
      </c>
      <c r="R157" s="87" t="n">
        <v>0</v>
      </c>
      <c r="S157" s="47" t="n">
        <v>2.4</v>
      </c>
      <c r="T157" s="47" t="n">
        <v>42.1</v>
      </c>
      <c r="U157" s="47" t="n"/>
      <c r="V157" s="87" t="n">
        <v>0</v>
      </c>
      <c r="W157" s="87" t="n">
        <v>0</v>
      </c>
      <c r="Y157" t="inlineStr">
        <is>
          <t>Jun</t>
        </is>
      </c>
      <c r="Z157" s="87" t="n">
        <v>2024</v>
      </c>
      <c r="AA157" s="47">
        <f>IF(F157="",0,F157)</f>
        <v/>
      </c>
      <c r="AB157" s="87">
        <f>IF(AA157&gt;=0.1,1,0)</f>
        <v/>
      </c>
      <c r="AC157" s="87" t="n">
        <v>0</v>
      </c>
      <c r="AD157" s="47">
        <f>IF(U157="",0,U157)</f>
        <v/>
      </c>
      <c r="AE157" s="87">
        <f>IF(OR(V157=1,W157=1),1,0)</f>
        <v/>
      </c>
      <c r="AF157" s="87" t="n">
        <v>0</v>
      </c>
      <c r="AG157" t="n">
        <v>11478</v>
      </c>
      <c r="AH157" t="n">
        <v>182773</v>
      </c>
      <c r="AI157" t="n">
        <v>0</v>
      </c>
      <c r="AJ157" s="88">
        <f>IF(OR(AG157&lt;=0,AH157&lt;=0),"",LN(AG157)-LN(AH157))</f>
        <v/>
      </c>
      <c r="AK157" t="n">
        <v>30016</v>
      </c>
      <c r="AL157" t="n">
        <v>164235</v>
      </c>
      <c r="AM157" s="88">
        <f>IF(OR(AK157&lt;=0,AL157&lt;=0),"",LN(AK157)-LN(AL157))</f>
        <v/>
      </c>
      <c r="AN157" t="n">
        <v>11079</v>
      </c>
      <c r="AO157" t="n">
        <v>177041</v>
      </c>
      <c r="AP157" s="88">
        <f>IF(OR(AN157&lt;=0,AO157&lt;=0),"",LN(AN157)-LN(AO157))</f>
        <v/>
      </c>
      <c r="AQ157" t="n">
        <v>11137</v>
      </c>
      <c r="AR157" t="n">
        <v>182773</v>
      </c>
      <c r="AS157" s="88">
        <f>IF(OR(AQ157&lt;=0,AR157&lt;=0),"",LN(AQ157)-LN(AR157))</f>
        <v/>
      </c>
      <c r="AT157" t="n">
        <v>11740</v>
      </c>
      <c r="AU157" t="n">
        <v>181485</v>
      </c>
      <c r="AV157" t="n">
        <v>1024</v>
      </c>
      <c r="AW157" t="n">
        <v>1105</v>
      </c>
      <c r="AX157" t="n">
        <v>10300</v>
      </c>
      <c r="AY157" s="88">
        <f>IF(OR(AT157&lt;=0,AU157&lt;=0),"",LN(AT157)-LN(AU157))</f>
        <v/>
      </c>
      <c r="AZ157" s="46" t="n">
        <v>13.5</v>
      </c>
      <c r="BA157" s="46" t="n">
        <v>31.17</v>
      </c>
      <c r="BB157" s="47" t="n">
        <v>0.1</v>
      </c>
    </row>
    <row r="158">
      <c r="A158" s="48" t="n">
        <v>45448</v>
      </c>
      <c r="B158" s="49" t="n">
        <v>193161</v>
      </c>
      <c r="C158" s="50" t="n">
        <v>21.68</v>
      </c>
      <c r="D158" s="51" t="inlineStr">
        <is>
          <t>Moderate</t>
        </is>
      </c>
      <c r="E158" s="52" t="n">
        <v>23.6</v>
      </c>
      <c r="F158" s="52" t="n"/>
      <c r="G158" s="51" t="inlineStr">
        <is>
          <t>Wed</t>
        </is>
      </c>
      <c r="H158" s="51" t="inlineStr">
        <is>
          <t>Weekday</t>
        </is>
      </c>
      <c r="I158" s="51" t="inlineStr">
        <is>
          <t>Summer</t>
        </is>
      </c>
      <c r="J158" s="51" t="n">
        <v>25</v>
      </c>
      <c r="K158" s="51" t="inlineStr">
        <is>
          <t>강수량 공란</t>
        </is>
      </c>
      <c r="L158" s="46" t="n">
        <v>38.32</v>
      </c>
      <c r="M158" t="inlineStr">
        <is>
          <t>Moderate</t>
        </is>
      </c>
      <c r="N158" s="87" t="n">
        <v>25</v>
      </c>
      <c r="O158" s="87" t="n">
        <v>0</v>
      </c>
      <c r="P158" s="87" t="n">
        <v>0</v>
      </c>
      <c r="Q158" s="87" t="n">
        <v>0</v>
      </c>
      <c r="R158" s="87" t="n">
        <v>0</v>
      </c>
      <c r="S158" s="47" t="n">
        <v>1.9</v>
      </c>
      <c r="T158" s="47" t="n">
        <v>53.9</v>
      </c>
      <c r="U158" s="47" t="n"/>
      <c r="V158" s="87" t="n">
        <v>0</v>
      </c>
      <c r="W158" s="87" t="n">
        <v>0</v>
      </c>
      <c r="Y158" t="inlineStr">
        <is>
          <t>Jun</t>
        </is>
      </c>
      <c r="Z158" s="87" t="n">
        <v>2024</v>
      </c>
      <c r="AA158" s="47">
        <f>IF(F158="",0,F158)</f>
        <v/>
      </c>
      <c r="AB158" s="87">
        <f>IF(AA158&gt;=0.1,1,0)</f>
        <v/>
      </c>
      <c r="AC158" s="87" t="n">
        <v>0</v>
      </c>
      <c r="AD158" s="47">
        <f>IF(U158="",0,U158)</f>
        <v/>
      </c>
      <c r="AE158" s="87">
        <f>IF(OR(V158=1,W158=1),1,0)</f>
        <v/>
      </c>
      <c r="AF158" s="87" t="n">
        <v>0</v>
      </c>
      <c r="AG158" t="n">
        <v>11299</v>
      </c>
      <c r="AH158" t="n">
        <v>181862</v>
      </c>
      <c r="AI158" t="n">
        <v>0</v>
      </c>
      <c r="AJ158" s="88">
        <f>IF(OR(AG158&lt;=0,AH158&lt;=0),"",LN(AG158)-LN(AH158))</f>
        <v/>
      </c>
      <c r="AK158" t="n">
        <v>29597</v>
      </c>
      <c r="AL158" t="n">
        <v>163564</v>
      </c>
      <c r="AM158" s="88">
        <f>IF(OR(AK158&lt;=0,AL158&lt;=0),"",LN(AK158)-LN(AL158))</f>
        <v/>
      </c>
      <c r="AN158" t="n">
        <v>10940</v>
      </c>
      <c r="AO158" t="n">
        <v>175977</v>
      </c>
      <c r="AP158" s="88">
        <f>IF(OR(AN158&lt;=0,AO158&lt;=0),"",LN(AN158)-LN(AO158))</f>
        <v/>
      </c>
      <c r="AQ158" t="n">
        <v>10968</v>
      </c>
      <c r="AR158" t="n">
        <v>181862</v>
      </c>
      <c r="AS158" s="88">
        <f>IF(OR(AQ158&lt;=0,AR158&lt;=0),"",LN(AQ158)-LN(AR158))</f>
        <v/>
      </c>
      <c r="AT158" t="n">
        <v>11731</v>
      </c>
      <c r="AU158" t="n">
        <v>180278</v>
      </c>
      <c r="AV158" t="n">
        <v>1162</v>
      </c>
      <c r="AW158" t="n">
        <v>1131</v>
      </c>
      <c r="AX158" t="n">
        <v>10080</v>
      </c>
      <c r="AY158" s="88">
        <f>IF(OR(AT158&lt;=0,AU158&lt;=0),"",LN(AT158)-LN(AU158))</f>
        <v/>
      </c>
      <c r="AZ158" s="46" t="n">
        <v>10.4</v>
      </c>
      <c r="BA158" s="46" t="n">
        <v>25.14</v>
      </c>
      <c r="BB158" s="47" t="n">
        <v>5.4</v>
      </c>
    </row>
    <row r="159">
      <c r="A159" s="48" t="n">
        <v>45449</v>
      </c>
      <c r="B159" s="49" t="n">
        <v>150186</v>
      </c>
      <c r="C159" s="50" t="n">
        <v>27.72</v>
      </c>
      <c r="D159" s="51" t="inlineStr">
        <is>
          <t>Moderate</t>
        </is>
      </c>
      <c r="E159" s="52" t="n">
        <v>24.1</v>
      </c>
      <c r="F159" s="52" t="n"/>
      <c r="G159" s="51" t="inlineStr">
        <is>
          <t>Thu</t>
        </is>
      </c>
      <c r="H159" s="51" t="inlineStr">
        <is>
          <t>Weekday</t>
        </is>
      </c>
      <c r="I159" s="51" t="inlineStr">
        <is>
          <t>Summer</t>
        </is>
      </c>
      <c r="J159" s="51" t="n">
        <v>25</v>
      </c>
      <c r="K159" s="51" t="inlineStr">
        <is>
          <t>강수량 공란</t>
        </is>
      </c>
      <c r="L159" s="46" t="n">
        <v>42.12</v>
      </c>
      <c r="M159" t="inlineStr">
        <is>
          <t>Moderate</t>
        </is>
      </c>
      <c r="N159" s="87" t="n">
        <v>25</v>
      </c>
      <c r="O159" s="87" t="n">
        <v>0</v>
      </c>
      <c r="P159" s="87" t="n">
        <v>0</v>
      </c>
      <c r="Q159" s="87" t="n">
        <v>0</v>
      </c>
      <c r="R159" s="87" t="n">
        <v>0</v>
      </c>
      <c r="S159" s="47" t="n">
        <v>2</v>
      </c>
      <c r="T159" s="47" t="n">
        <v>54.3</v>
      </c>
      <c r="U159" s="47" t="n"/>
      <c r="V159" s="87" t="n">
        <v>0</v>
      </c>
      <c r="W159" s="87" t="n">
        <v>1</v>
      </c>
      <c r="X159" t="inlineStr">
        <is>
          <t>현충일</t>
        </is>
      </c>
      <c r="Y159" t="inlineStr">
        <is>
          <t>Jun</t>
        </is>
      </c>
      <c r="Z159" s="87" t="n">
        <v>2024</v>
      </c>
      <c r="AA159" s="47">
        <f>IF(F159="",0,F159)</f>
        <v/>
      </c>
      <c r="AB159" s="87">
        <f>IF(AA159&gt;=0.1,1,0)</f>
        <v/>
      </c>
      <c r="AC159" s="87" t="n">
        <v>0</v>
      </c>
      <c r="AD159" s="47">
        <f>IF(U159="",0,U159)</f>
        <v/>
      </c>
      <c r="AE159" s="87">
        <f>IF(OR(V159=1,W159=1),1,0)</f>
        <v/>
      </c>
      <c r="AF159" s="87" t="n">
        <v>0</v>
      </c>
      <c r="AG159" t="n">
        <v>12613</v>
      </c>
      <c r="AH159" t="n">
        <v>137573</v>
      </c>
      <c r="AI159" t="n">
        <v>0</v>
      </c>
      <c r="AJ159" s="88">
        <f>IF(OR(AG159&lt;=0,AH159&lt;=0),"",LN(AG159)-LN(AH159))</f>
        <v/>
      </c>
      <c r="AK159" t="n">
        <v>27426</v>
      </c>
      <c r="AL159" t="n">
        <v>122760</v>
      </c>
      <c r="AM159" s="88">
        <f>IF(OR(AK159&lt;=0,AL159&lt;=0),"",LN(AK159)-LN(AL159))</f>
        <v/>
      </c>
      <c r="AN159" t="n">
        <v>12226</v>
      </c>
      <c r="AO159" t="n">
        <v>133338</v>
      </c>
      <c r="AP159" s="88">
        <f>IF(OR(AN159&lt;=0,AO159&lt;=0),"",LN(AN159)-LN(AO159))</f>
        <v/>
      </c>
      <c r="AQ159" t="n">
        <v>12252</v>
      </c>
      <c r="AR159" t="n">
        <v>137573</v>
      </c>
      <c r="AS159" s="88">
        <f>IF(OR(AQ159&lt;=0,AR159&lt;=0),"",LN(AQ159)-LN(AR159))</f>
        <v/>
      </c>
      <c r="AT159" t="n">
        <v>14243</v>
      </c>
      <c r="AU159" t="n">
        <v>135117</v>
      </c>
      <c r="AV159" t="n">
        <v>830</v>
      </c>
      <c r="AW159" t="n">
        <v>2059</v>
      </c>
      <c r="AX159" t="n">
        <v>10459</v>
      </c>
      <c r="AY159" s="88">
        <f>IF(OR(AT159&lt;=0,AU159&lt;=0),"",LN(AT159)-LN(AU159))</f>
        <v/>
      </c>
      <c r="AZ159" s="46" t="n">
        <v>9.300000000000001</v>
      </c>
      <c r="BA159" s="46" t="n">
        <v>24.47</v>
      </c>
      <c r="BB159" s="47" t="n">
        <v>3.4</v>
      </c>
    </row>
    <row r="160">
      <c r="A160" s="48" t="n">
        <v>45450</v>
      </c>
      <c r="B160" s="49" t="n">
        <v>176149</v>
      </c>
      <c r="C160" s="50" t="n">
        <v>18.84</v>
      </c>
      <c r="D160" s="51" t="inlineStr">
        <is>
          <t>Moderate</t>
        </is>
      </c>
      <c r="E160" s="52" t="n">
        <v>23.1</v>
      </c>
      <c r="F160" s="52" t="n">
        <v>0.8</v>
      </c>
      <c r="G160" s="51" t="inlineStr">
        <is>
          <t>Fri</t>
        </is>
      </c>
      <c r="H160" s="51" t="inlineStr">
        <is>
          <t>Weekday</t>
        </is>
      </c>
      <c r="I160" s="51" t="inlineStr">
        <is>
          <t>Summer</t>
        </is>
      </c>
      <c r="J160" s="51" t="n">
        <v>25</v>
      </c>
      <c r="K160" s="51" t="inlineStr">
        <is>
          <t>OK</t>
        </is>
      </c>
      <c r="L160" s="46" t="n">
        <v>30.96</v>
      </c>
      <c r="M160" t="inlineStr">
        <is>
          <t>Moderate</t>
        </is>
      </c>
      <c r="N160" s="87" t="n">
        <v>25</v>
      </c>
      <c r="O160" s="87" t="n">
        <v>0</v>
      </c>
      <c r="P160" s="87" t="n">
        <v>0</v>
      </c>
      <c r="Q160" s="87" t="n">
        <v>0</v>
      </c>
      <c r="R160" s="87" t="n">
        <v>0</v>
      </c>
      <c r="S160" s="47" t="n">
        <v>1.9</v>
      </c>
      <c r="T160" s="47" t="n">
        <v>54.3</v>
      </c>
      <c r="U160" s="47" t="n"/>
      <c r="V160" s="87" t="n">
        <v>0</v>
      </c>
      <c r="W160" s="87" t="n">
        <v>0</v>
      </c>
      <c r="Y160" t="inlineStr">
        <is>
          <t>Jun</t>
        </is>
      </c>
      <c r="Z160" s="87" t="n">
        <v>2024</v>
      </c>
      <c r="AA160" s="47">
        <f>IF(F160="",0,F160)</f>
        <v/>
      </c>
      <c r="AB160" s="87">
        <f>IF(AA160&gt;=0.1,1,0)</f>
        <v/>
      </c>
      <c r="AC160" s="87" t="n">
        <v>0</v>
      </c>
      <c r="AD160" s="47">
        <f>IF(U160="",0,U160)</f>
        <v/>
      </c>
      <c r="AE160" s="87">
        <f>IF(OR(V160=1,W160=1),1,0)</f>
        <v/>
      </c>
      <c r="AF160" s="87" t="n">
        <v>0</v>
      </c>
      <c r="AG160" t="n">
        <v>10808</v>
      </c>
      <c r="AH160" t="n">
        <v>165341</v>
      </c>
      <c r="AI160" t="n">
        <v>0</v>
      </c>
      <c r="AJ160" s="88">
        <f>IF(OR(AG160&lt;=0,AH160&lt;=0),"",LN(AG160)-LN(AH160))</f>
        <v/>
      </c>
      <c r="AK160" t="n">
        <v>27891</v>
      </c>
      <c r="AL160" t="n">
        <v>148258</v>
      </c>
      <c r="AM160" s="88">
        <f>IF(OR(AK160&lt;=0,AL160&lt;=0),"",LN(AK160)-LN(AL160))</f>
        <v/>
      </c>
      <c r="AN160" t="n">
        <v>10479</v>
      </c>
      <c r="AO160" t="n">
        <v>159963</v>
      </c>
      <c r="AP160" s="88">
        <f>IF(OR(AN160&lt;=0,AO160&lt;=0),"",LN(AN160)-LN(AO160))</f>
        <v/>
      </c>
      <c r="AQ160" t="n">
        <v>10510</v>
      </c>
      <c r="AR160" t="n">
        <v>165341</v>
      </c>
      <c r="AS160" s="88">
        <f>IF(OR(AQ160&lt;=0,AR160&lt;=0),"",LN(AQ160)-LN(AR160))</f>
        <v/>
      </c>
      <c r="AT160" t="n">
        <v>12274</v>
      </c>
      <c r="AU160" t="n">
        <v>162924</v>
      </c>
      <c r="AV160" t="n">
        <v>959</v>
      </c>
      <c r="AW160" t="n">
        <v>1213</v>
      </c>
      <c r="AX160" t="n">
        <v>9517</v>
      </c>
      <c r="AY160" s="88">
        <f>IF(OR(AT160&lt;=0,AU160&lt;=0),"",LN(AT160)-LN(AU160))</f>
        <v/>
      </c>
      <c r="AZ160" s="46" t="n">
        <v>7.1</v>
      </c>
      <c r="BA160" s="46" t="n">
        <v>20.41</v>
      </c>
      <c r="BB160" s="47" t="n">
        <v>8</v>
      </c>
    </row>
    <row r="161">
      <c r="A161" s="48" t="n">
        <v>45451</v>
      </c>
      <c r="B161" s="49" t="n">
        <v>108167</v>
      </c>
      <c r="C161" s="50" t="n">
        <v>16.48</v>
      </c>
      <c r="D161" s="51" t="inlineStr">
        <is>
          <t>Moderate</t>
        </is>
      </c>
      <c r="E161" s="52" t="n">
        <v>20.3</v>
      </c>
      <c r="F161" s="52" t="n">
        <v>16.9</v>
      </c>
      <c r="G161" s="51" t="inlineStr">
        <is>
          <t>Sat</t>
        </is>
      </c>
      <c r="H161" s="51" t="inlineStr">
        <is>
          <t>Weekend</t>
        </is>
      </c>
      <c r="I161" s="51" t="inlineStr">
        <is>
          <t>Summer</t>
        </is>
      </c>
      <c r="J161" s="51" t="n">
        <v>25</v>
      </c>
      <c r="K161" s="51" t="inlineStr">
        <is>
          <t>OK</t>
        </is>
      </c>
      <c r="L161" s="46" t="n">
        <v>23.12</v>
      </c>
      <c r="M161" t="inlineStr">
        <is>
          <t>Good</t>
        </is>
      </c>
      <c r="N161" s="87" t="n">
        <v>25</v>
      </c>
      <c r="O161" s="87" t="n">
        <v>0</v>
      </c>
      <c r="P161" s="87" t="n">
        <v>0</v>
      </c>
      <c r="Q161" s="87" t="n">
        <v>0</v>
      </c>
      <c r="R161" s="87" t="n">
        <v>0</v>
      </c>
      <c r="S161" s="47" t="n">
        <v>1.6</v>
      </c>
      <c r="T161" s="47" t="n">
        <v>79.5</v>
      </c>
      <c r="U161" s="47" t="n"/>
      <c r="V161" s="87" t="n">
        <v>1</v>
      </c>
      <c r="W161" s="87" t="n">
        <v>0</v>
      </c>
      <c r="Y161" t="inlineStr">
        <is>
          <t>Jun</t>
        </is>
      </c>
      <c r="Z161" s="87" t="n">
        <v>2024</v>
      </c>
      <c r="AA161" s="47">
        <f>IF(F161="",0,F161)</f>
        <v/>
      </c>
      <c r="AB161" s="87">
        <f>IF(AA161&gt;=0.1,1,0)</f>
        <v/>
      </c>
      <c r="AC161" s="87" t="n">
        <v>0</v>
      </c>
      <c r="AD161" s="47">
        <f>IF(U161="",0,U161)</f>
        <v/>
      </c>
      <c r="AE161" s="87">
        <f>IF(OR(V161=1,W161=1),1,0)</f>
        <v/>
      </c>
      <c r="AF161" s="87" t="n">
        <v>0</v>
      </c>
      <c r="AG161" t="n">
        <v>9081</v>
      </c>
      <c r="AH161" t="n">
        <v>99086</v>
      </c>
      <c r="AI161" t="n">
        <v>0</v>
      </c>
      <c r="AJ161" s="88">
        <f>IF(OR(AG161&lt;=0,AH161&lt;=0),"",LN(AG161)-LN(AH161))</f>
        <v/>
      </c>
      <c r="AK161" t="n">
        <v>19740</v>
      </c>
      <c r="AL161" t="n">
        <v>88427</v>
      </c>
      <c r="AM161" s="88">
        <f>IF(OR(AK161&lt;=0,AL161&lt;=0),"",LN(AK161)-LN(AL161))</f>
        <v/>
      </c>
      <c r="AN161" t="n">
        <v>8738</v>
      </c>
      <c r="AO161" t="n">
        <v>96095</v>
      </c>
      <c r="AP161" s="88">
        <f>IF(OR(AN161&lt;=0,AO161&lt;=0),"",LN(AN161)-LN(AO161))</f>
        <v/>
      </c>
      <c r="AQ161" t="n">
        <v>8773</v>
      </c>
      <c r="AR161" t="n">
        <v>99086</v>
      </c>
      <c r="AS161" s="88">
        <f>IF(OR(AQ161&lt;=0,AR161&lt;=0),"",LN(AQ161)-LN(AR161))</f>
        <v/>
      </c>
      <c r="AT161" t="n">
        <v>10608</v>
      </c>
      <c r="AU161" t="n">
        <v>96909</v>
      </c>
      <c r="AV161" t="n">
        <v>650</v>
      </c>
      <c r="AW161" t="n">
        <v>1474</v>
      </c>
      <c r="AX161" t="n">
        <v>7537</v>
      </c>
      <c r="AY161" s="88">
        <f>IF(OR(AT161&lt;=0,AU161&lt;=0),"",LN(AT161)-LN(AU161))</f>
        <v/>
      </c>
      <c r="AZ161" s="46" t="n">
        <v>2.5</v>
      </c>
      <c r="BA161" s="46" t="n">
        <v>9.699999999999999</v>
      </c>
      <c r="BB161" s="47" t="n">
        <v>7.4</v>
      </c>
    </row>
    <row r="162">
      <c r="A162" s="48" t="n">
        <v>45452</v>
      </c>
      <c r="B162" s="49" t="n">
        <v>144223</v>
      </c>
      <c r="C162" s="50" t="n">
        <v>18.12</v>
      </c>
      <c r="D162" s="51" t="inlineStr">
        <is>
          <t>Moderate</t>
        </is>
      </c>
      <c r="E162" s="52" t="n">
        <v>22.9</v>
      </c>
      <c r="F162" s="52" t="n"/>
      <c r="G162" s="51" t="inlineStr">
        <is>
          <t>Sun</t>
        </is>
      </c>
      <c r="H162" s="51" t="inlineStr">
        <is>
          <t>Weekend</t>
        </is>
      </c>
      <c r="I162" s="51" t="inlineStr">
        <is>
          <t>Summer</t>
        </is>
      </c>
      <c r="J162" s="51" t="n">
        <v>25</v>
      </c>
      <c r="K162" s="51" t="inlineStr">
        <is>
          <t>강수량 공란</t>
        </is>
      </c>
      <c r="L162" s="46" t="n">
        <v>28.08</v>
      </c>
      <c r="M162" t="inlineStr">
        <is>
          <t>Good</t>
        </is>
      </c>
      <c r="N162" s="87" t="n">
        <v>25</v>
      </c>
      <c r="O162" s="87" t="n">
        <v>0</v>
      </c>
      <c r="P162" s="87" t="n">
        <v>0</v>
      </c>
      <c r="Q162" s="87" t="n">
        <v>0</v>
      </c>
      <c r="R162" s="87" t="n">
        <v>0</v>
      </c>
      <c r="S162" s="47" t="n">
        <v>1.8</v>
      </c>
      <c r="T162" s="47" t="n">
        <v>68.90000000000001</v>
      </c>
      <c r="U162" s="47" t="n"/>
      <c r="V162" s="87" t="n">
        <v>1</v>
      </c>
      <c r="W162" s="87" t="n">
        <v>0</v>
      </c>
      <c r="Y162" t="inlineStr">
        <is>
          <t>Jun</t>
        </is>
      </c>
      <c r="Z162" s="87" t="n">
        <v>2024</v>
      </c>
      <c r="AA162" s="47">
        <f>IF(F162="",0,F162)</f>
        <v/>
      </c>
      <c r="AB162" s="87">
        <f>IF(AA162&gt;=0.1,1,0)</f>
        <v/>
      </c>
      <c r="AC162" s="87" t="n">
        <v>0</v>
      </c>
      <c r="AD162" s="47">
        <f>IF(U162="",0,U162)</f>
        <v/>
      </c>
      <c r="AE162" s="87">
        <f>IF(OR(V162=1,W162=1),1,0)</f>
        <v/>
      </c>
      <c r="AF162" s="87" t="n">
        <v>0</v>
      </c>
      <c r="AG162" t="n">
        <v>12519</v>
      </c>
      <c r="AH162" t="n">
        <v>131704</v>
      </c>
      <c r="AI162" t="n">
        <v>0</v>
      </c>
      <c r="AJ162" s="88">
        <f>IF(OR(AG162&lt;=0,AH162&lt;=0),"",LN(AG162)-LN(AH162))</f>
        <v/>
      </c>
      <c r="AK162" t="n">
        <v>26773</v>
      </c>
      <c r="AL162" t="n">
        <v>117450</v>
      </c>
      <c r="AM162" s="88">
        <f>IF(OR(AK162&lt;=0,AL162&lt;=0),"",LN(AK162)-LN(AL162))</f>
        <v/>
      </c>
      <c r="AN162" t="n">
        <v>12080</v>
      </c>
      <c r="AO162" t="n">
        <v>127763</v>
      </c>
      <c r="AP162" s="88">
        <f>IF(OR(AN162&lt;=0,AO162&lt;=0),"",LN(AN162)-LN(AO162))</f>
        <v/>
      </c>
      <c r="AQ162" t="n">
        <v>12112</v>
      </c>
      <c r="AR162" t="n">
        <v>131704</v>
      </c>
      <c r="AS162" s="88">
        <f>IF(OR(AQ162&lt;=0,AR162&lt;=0),"",LN(AQ162)-LN(AR162))</f>
        <v/>
      </c>
      <c r="AT162" t="n">
        <v>14885</v>
      </c>
      <c r="AU162" t="n">
        <v>128620</v>
      </c>
      <c r="AV162" t="n">
        <v>718</v>
      </c>
      <c r="AW162" t="n">
        <v>2121</v>
      </c>
      <c r="AX162" t="n">
        <v>10325</v>
      </c>
      <c r="AY162" s="88">
        <f>IF(OR(AT162&lt;=0,AU162&lt;=0),"",LN(AT162)-LN(AU162))</f>
        <v/>
      </c>
      <c r="AZ162" s="46" t="n">
        <v>12.3</v>
      </c>
      <c r="BA162" s="46" t="n">
        <v>28.38</v>
      </c>
      <c r="BB162" s="47" t="n">
        <v>4.5</v>
      </c>
    </row>
    <row r="163">
      <c r="A163" s="48" t="n">
        <v>45453</v>
      </c>
      <c r="B163" s="49" t="n">
        <v>184809</v>
      </c>
      <c r="C163" s="50" t="n">
        <v>27.88</v>
      </c>
      <c r="D163" s="51" t="inlineStr">
        <is>
          <t>Moderate</t>
        </is>
      </c>
      <c r="E163" s="52" t="n">
        <v>24.7</v>
      </c>
      <c r="F163" s="52" t="n"/>
      <c r="G163" s="51" t="inlineStr">
        <is>
          <t>Mon</t>
        </is>
      </c>
      <c r="H163" s="51" t="inlineStr">
        <is>
          <t>Weekday</t>
        </is>
      </c>
      <c r="I163" s="51" t="inlineStr">
        <is>
          <t>Summer</t>
        </is>
      </c>
      <c r="J163" s="51" t="n">
        <v>25</v>
      </c>
      <c r="K163" s="51" t="inlineStr">
        <is>
          <t>강수량 공란</t>
        </is>
      </c>
      <c r="L163" s="46" t="n">
        <v>46.48</v>
      </c>
      <c r="M163" t="inlineStr">
        <is>
          <t>Moderate</t>
        </is>
      </c>
      <c r="N163" s="87" t="n">
        <v>25</v>
      </c>
      <c r="O163" s="87" t="n">
        <v>0</v>
      </c>
      <c r="P163" s="87" t="n">
        <v>0</v>
      </c>
      <c r="Q163" s="87" t="n">
        <v>0</v>
      </c>
      <c r="R163" s="87" t="n">
        <v>0</v>
      </c>
      <c r="S163" s="47" t="n">
        <v>2.2</v>
      </c>
      <c r="T163" s="47" t="n">
        <v>66.3</v>
      </c>
      <c r="U163" s="47" t="n"/>
      <c r="V163" s="87" t="n">
        <v>0</v>
      </c>
      <c r="W163" s="87" t="n">
        <v>0</v>
      </c>
      <c r="Y163" t="inlineStr">
        <is>
          <t>Jun</t>
        </is>
      </c>
      <c r="Z163" s="87" t="n">
        <v>2024</v>
      </c>
      <c r="AA163" s="47">
        <f>IF(F163="",0,F163)</f>
        <v/>
      </c>
      <c r="AB163" s="87">
        <f>IF(AA163&gt;=0.1,1,0)</f>
        <v/>
      </c>
      <c r="AC163" s="87" t="n">
        <v>0</v>
      </c>
      <c r="AD163" s="47">
        <f>IF(U163="",0,U163)</f>
        <v/>
      </c>
      <c r="AE163" s="87">
        <f>IF(OR(V163=1,W163=1),1,0)</f>
        <v/>
      </c>
      <c r="AF163" s="87" t="n">
        <v>0</v>
      </c>
      <c r="AG163" t="n">
        <v>10614</v>
      </c>
      <c r="AH163" t="n">
        <v>174195</v>
      </c>
      <c r="AI163" t="n">
        <v>0</v>
      </c>
      <c r="AJ163" s="88">
        <f>IF(OR(AG163&lt;=0,AH163&lt;=0),"",LN(AG163)-LN(AH163))</f>
        <v/>
      </c>
      <c r="AK163" t="n">
        <v>28284</v>
      </c>
      <c r="AL163" t="n">
        <v>156525</v>
      </c>
      <c r="AM163" s="88">
        <f>IF(OR(AK163&lt;=0,AL163&lt;=0),"",LN(AK163)-LN(AL163))</f>
        <v/>
      </c>
      <c r="AN163" t="n">
        <v>10294</v>
      </c>
      <c r="AO163" t="n">
        <v>168579</v>
      </c>
      <c r="AP163" s="88">
        <f>IF(OR(AN163&lt;=0,AO163&lt;=0),"",LN(AN163)-LN(AO163))</f>
        <v/>
      </c>
      <c r="AQ163" t="n">
        <v>10329</v>
      </c>
      <c r="AR163" t="n">
        <v>174195</v>
      </c>
      <c r="AS163" s="88">
        <f>IF(OR(AQ163&lt;=0,AR163&lt;=0),"",LN(AQ163)-LN(AR163))</f>
        <v/>
      </c>
      <c r="AT163" t="n">
        <v>11554</v>
      </c>
      <c r="AU163" t="n">
        <v>172348</v>
      </c>
      <c r="AV163" t="n">
        <v>914</v>
      </c>
      <c r="AW163" t="n">
        <v>1049</v>
      </c>
      <c r="AX163" t="n">
        <v>9502</v>
      </c>
      <c r="AY163" s="88">
        <f>IF(OR(AT163&lt;=0,AU163&lt;=0),"",LN(AT163)-LN(AU163))</f>
        <v/>
      </c>
      <c r="AZ163" s="46" t="n">
        <v>11.9</v>
      </c>
      <c r="BA163" s="46" t="n">
        <v>26.57</v>
      </c>
      <c r="BB163" s="47" t="n">
        <v>1.4</v>
      </c>
    </row>
    <row r="164">
      <c r="A164" s="48" t="n">
        <v>45454</v>
      </c>
      <c r="B164" s="49" t="n">
        <v>185339</v>
      </c>
      <c r="C164" s="50" t="n">
        <v>36.28</v>
      </c>
      <c r="D164" s="51" t="inlineStr">
        <is>
          <t>Bad</t>
        </is>
      </c>
      <c r="E164" s="52" t="n">
        <v>25.4</v>
      </c>
      <c r="F164" s="52" t="n"/>
      <c r="G164" s="51" t="inlineStr">
        <is>
          <t>Tue</t>
        </is>
      </c>
      <c r="H164" s="51" t="inlineStr">
        <is>
          <t>Weekday</t>
        </is>
      </c>
      <c r="I164" s="51" t="inlineStr">
        <is>
          <t>Summer</t>
        </is>
      </c>
      <c r="J164" s="51" t="n">
        <v>25</v>
      </c>
      <c r="K164" s="51" t="inlineStr">
        <is>
          <t>강수량 공란</t>
        </is>
      </c>
      <c r="L164" s="46" t="n">
        <v>59.72</v>
      </c>
      <c r="M164" t="inlineStr">
        <is>
          <t>Moderate</t>
        </is>
      </c>
      <c r="N164" s="87" t="n">
        <v>25</v>
      </c>
      <c r="O164" s="87" t="n">
        <v>0</v>
      </c>
      <c r="P164" s="87" t="n">
        <v>0</v>
      </c>
      <c r="Q164" s="87" t="n">
        <v>0</v>
      </c>
      <c r="R164" s="87" t="n">
        <v>0</v>
      </c>
      <c r="S164" s="47" t="n">
        <v>2.4</v>
      </c>
      <c r="T164" s="47" t="n">
        <v>62.4</v>
      </c>
      <c r="U164" s="47" t="n"/>
      <c r="V164" s="87" t="n">
        <v>0</v>
      </c>
      <c r="W164" s="87" t="n">
        <v>0</v>
      </c>
      <c r="Y164" t="inlineStr">
        <is>
          <t>Jun</t>
        </is>
      </c>
      <c r="Z164" s="87" t="n">
        <v>2024</v>
      </c>
      <c r="AA164" s="47">
        <f>IF(F164="",0,F164)</f>
        <v/>
      </c>
      <c r="AB164" s="87">
        <f>IF(AA164&gt;=0.1,1,0)</f>
        <v/>
      </c>
      <c r="AC164" s="87" t="n">
        <v>0</v>
      </c>
      <c r="AD164" s="47">
        <f>IF(U164="",0,U164)</f>
        <v/>
      </c>
      <c r="AE164" s="87">
        <f>IF(OR(V164=1,W164=1),1,0)</f>
        <v/>
      </c>
      <c r="AF164" s="87" t="n">
        <v>0</v>
      </c>
      <c r="AG164" t="n">
        <v>10365</v>
      </c>
      <c r="AH164" t="n">
        <v>174974</v>
      </c>
      <c r="AI164" t="n">
        <v>0</v>
      </c>
      <c r="AJ164" s="88">
        <f>IF(OR(AG164&lt;=0,AH164&lt;=0),"",LN(AG164)-LN(AH164))</f>
        <v/>
      </c>
      <c r="AK164" t="n">
        <v>27788</v>
      </c>
      <c r="AL164" t="n">
        <v>157551</v>
      </c>
      <c r="AM164" s="88">
        <f>IF(OR(AK164&lt;=0,AL164&lt;=0),"",LN(AK164)-LN(AL164))</f>
        <v/>
      </c>
      <c r="AN164" t="n">
        <v>10071</v>
      </c>
      <c r="AO164" t="n">
        <v>169314</v>
      </c>
      <c r="AP164" s="88">
        <f>IF(OR(AN164&lt;=0,AO164&lt;=0),"",LN(AN164)-LN(AO164))</f>
        <v/>
      </c>
      <c r="AQ164" t="n">
        <v>10053</v>
      </c>
      <c r="AR164" t="n">
        <v>174974</v>
      </c>
      <c r="AS164" s="88">
        <f>IF(OR(AQ164&lt;=0,AR164&lt;=0),"",LN(AQ164)-LN(AR164))</f>
        <v/>
      </c>
      <c r="AT164" t="n">
        <v>11049</v>
      </c>
      <c r="AU164" t="n">
        <v>173266</v>
      </c>
      <c r="AV164" t="n">
        <v>1023</v>
      </c>
      <c r="AW164" t="n">
        <v>1000</v>
      </c>
      <c r="AX164" t="n">
        <v>9303</v>
      </c>
      <c r="AY164" s="88">
        <f>IF(OR(AT164&lt;=0,AU164&lt;=0),"",LN(AT164)-LN(AU164))</f>
        <v/>
      </c>
      <c r="AZ164" s="46" t="n">
        <v>10.2</v>
      </c>
      <c r="BA164" s="46" t="n">
        <v>27.17</v>
      </c>
      <c r="BB164" s="47" t="n">
        <v>5.1</v>
      </c>
    </row>
    <row r="165">
      <c r="A165" s="48" t="n">
        <v>45455</v>
      </c>
      <c r="B165" s="49" t="n">
        <v>185735</v>
      </c>
      <c r="C165" s="50" t="n">
        <v>16.44</v>
      </c>
      <c r="D165" s="51" t="inlineStr">
        <is>
          <t>Moderate</t>
        </is>
      </c>
      <c r="E165" s="52" t="n">
        <v>24.8</v>
      </c>
      <c r="F165" s="52" t="n"/>
      <c r="G165" s="51" t="inlineStr">
        <is>
          <t>Wed</t>
        </is>
      </c>
      <c r="H165" s="51" t="inlineStr">
        <is>
          <t>Weekday</t>
        </is>
      </c>
      <c r="I165" s="51" t="inlineStr">
        <is>
          <t>Summer</t>
        </is>
      </c>
      <c r="J165" s="51" t="n">
        <v>25</v>
      </c>
      <c r="K165" s="51" t="inlineStr">
        <is>
          <t>강수량 공란</t>
        </is>
      </c>
      <c r="L165" s="46" t="n">
        <v>30.92</v>
      </c>
      <c r="M165" t="inlineStr">
        <is>
          <t>Moderate</t>
        </is>
      </c>
      <c r="N165" s="87" t="n">
        <v>25</v>
      </c>
      <c r="O165" s="87" t="n">
        <v>0</v>
      </c>
      <c r="P165" s="87" t="n">
        <v>0</v>
      </c>
      <c r="Q165" s="87" t="n">
        <v>0</v>
      </c>
      <c r="R165" s="87" t="n">
        <v>0</v>
      </c>
      <c r="S165" s="47" t="n">
        <v>2.1</v>
      </c>
      <c r="T165" s="47" t="n">
        <v>60.8</v>
      </c>
      <c r="U165" s="47" t="n"/>
      <c r="V165" s="87" t="n">
        <v>0</v>
      </c>
      <c r="W165" s="87" t="n">
        <v>0</v>
      </c>
      <c r="Y165" t="inlineStr">
        <is>
          <t>Jun</t>
        </is>
      </c>
      <c r="Z165" s="87" t="n">
        <v>2024</v>
      </c>
      <c r="AA165" s="47">
        <f>IF(F165="",0,F165)</f>
        <v/>
      </c>
      <c r="AB165" s="87">
        <f>IF(AA165&gt;=0.1,1,0)</f>
        <v/>
      </c>
      <c r="AC165" s="87" t="n">
        <v>0</v>
      </c>
      <c r="AD165" s="47">
        <f>IF(U165="",0,U165)</f>
        <v/>
      </c>
      <c r="AE165" s="87">
        <f>IF(OR(V165=1,W165=1),1,0)</f>
        <v/>
      </c>
      <c r="AF165" s="87" t="n">
        <v>0</v>
      </c>
      <c r="AG165" t="n">
        <v>10637</v>
      </c>
      <c r="AH165" t="n">
        <v>175098</v>
      </c>
      <c r="AI165" t="n">
        <v>0</v>
      </c>
      <c r="AJ165" s="88">
        <f>IF(OR(AG165&lt;=0,AH165&lt;=0),"",LN(AG165)-LN(AH165))</f>
        <v/>
      </c>
      <c r="AK165" t="n">
        <v>28318</v>
      </c>
      <c r="AL165" t="n">
        <v>157417</v>
      </c>
      <c r="AM165" s="88">
        <f>IF(OR(AK165&lt;=0,AL165&lt;=0),"",LN(AK165)-LN(AL165))</f>
        <v/>
      </c>
      <c r="AN165" t="n">
        <v>10344</v>
      </c>
      <c r="AO165" t="n">
        <v>169389</v>
      </c>
      <c r="AP165" s="88">
        <f>IF(OR(AN165&lt;=0,AO165&lt;=0),"",LN(AN165)-LN(AO165))</f>
        <v/>
      </c>
      <c r="AQ165" t="n">
        <v>10343</v>
      </c>
      <c r="AR165" t="n">
        <v>175098</v>
      </c>
      <c r="AS165" s="88">
        <f>IF(OR(AQ165&lt;=0,AR165&lt;=0),"",LN(AQ165)-LN(AR165))</f>
        <v/>
      </c>
      <c r="AT165" t="n">
        <v>11173</v>
      </c>
      <c r="AU165" t="n">
        <v>173547</v>
      </c>
      <c r="AV165" t="n">
        <v>1022</v>
      </c>
      <c r="AW165" t="n">
        <v>995</v>
      </c>
      <c r="AX165" t="n">
        <v>9578</v>
      </c>
      <c r="AY165" s="88">
        <f>IF(OR(AT165&lt;=0,AU165&lt;=0),"",LN(AT165)-LN(AU165))</f>
        <v/>
      </c>
      <c r="AZ165" s="46" t="n">
        <v>11.3</v>
      </c>
      <c r="BA165" s="46" t="n">
        <v>27.73</v>
      </c>
      <c r="BB165" s="47" t="n">
        <v>4.1</v>
      </c>
    </row>
    <row r="166">
      <c r="A166" s="48" t="n">
        <v>45456</v>
      </c>
      <c r="B166" s="49" t="n">
        <v>180565</v>
      </c>
      <c r="C166" s="50" t="n">
        <v>16.48</v>
      </c>
      <c r="D166" s="51" t="inlineStr">
        <is>
          <t>Moderate</t>
        </is>
      </c>
      <c r="E166" s="52" t="n">
        <v>26.4</v>
      </c>
      <c r="F166" s="52" t="n"/>
      <c r="G166" s="51" t="inlineStr">
        <is>
          <t>Thu</t>
        </is>
      </c>
      <c r="H166" s="51" t="inlineStr">
        <is>
          <t>Weekday</t>
        </is>
      </c>
      <c r="I166" s="51" t="inlineStr">
        <is>
          <t>Summer</t>
        </is>
      </c>
      <c r="J166" s="51" t="n">
        <v>25</v>
      </c>
      <c r="K166" s="51" t="inlineStr">
        <is>
          <t>강수량 공란</t>
        </is>
      </c>
      <c r="L166" s="46" t="n">
        <v>31.16</v>
      </c>
      <c r="M166" t="inlineStr">
        <is>
          <t>Moderate</t>
        </is>
      </c>
      <c r="N166" s="87" t="n">
        <v>25</v>
      </c>
      <c r="O166" s="87" t="n">
        <v>0</v>
      </c>
      <c r="P166" s="87" t="n">
        <v>0</v>
      </c>
      <c r="Q166" s="87" t="n">
        <v>0</v>
      </c>
      <c r="R166" s="87" t="n">
        <v>0</v>
      </c>
      <c r="S166" s="47" t="n">
        <v>1.8</v>
      </c>
      <c r="T166" s="47" t="n">
        <v>51.4</v>
      </c>
      <c r="U166" s="47" t="n"/>
      <c r="V166" s="87" t="n">
        <v>0</v>
      </c>
      <c r="W166" s="87" t="n">
        <v>0</v>
      </c>
      <c r="Y166" t="inlineStr">
        <is>
          <t>Jun</t>
        </is>
      </c>
      <c r="Z166" s="87" t="n">
        <v>2024</v>
      </c>
      <c r="AA166" s="47">
        <f>IF(F166="",0,F166)</f>
        <v/>
      </c>
      <c r="AB166" s="87">
        <f>IF(AA166&gt;=0.1,1,0)</f>
        <v/>
      </c>
      <c r="AC166" s="87" t="n">
        <v>0</v>
      </c>
      <c r="AD166" s="47">
        <f>IF(U166="",0,U166)</f>
        <v/>
      </c>
      <c r="AE166" s="87">
        <f>IF(OR(V166=1,W166=1),1,0)</f>
        <v/>
      </c>
      <c r="AF166" s="87" t="n">
        <v>0</v>
      </c>
      <c r="AG166" t="n">
        <v>10128</v>
      </c>
      <c r="AH166" t="n">
        <v>170437</v>
      </c>
      <c r="AI166" t="n">
        <v>0</v>
      </c>
      <c r="AJ166" s="88">
        <f>IF(OR(AG166&lt;=0,AH166&lt;=0),"",LN(AG166)-LN(AH166))</f>
        <v/>
      </c>
      <c r="AK166" t="n">
        <v>27268</v>
      </c>
      <c r="AL166" t="n">
        <v>153297</v>
      </c>
      <c r="AM166" s="88">
        <f>IF(OR(AK166&lt;=0,AL166&lt;=0),"",LN(AK166)-LN(AL166))</f>
        <v/>
      </c>
      <c r="AN166" t="n">
        <v>9810</v>
      </c>
      <c r="AO166" t="n">
        <v>164827</v>
      </c>
      <c r="AP166" s="88">
        <f>IF(OR(AN166&lt;=0,AO166&lt;=0),"",LN(AN166)-LN(AO166))</f>
        <v/>
      </c>
      <c r="AQ166" t="n">
        <v>9827</v>
      </c>
      <c r="AR166" t="n">
        <v>170437</v>
      </c>
      <c r="AS166" s="88">
        <f>IF(OR(AQ166&lt;=0,AR166&lt;=0),"",LN(AQ166)-LN(AR166))</f>
        <v/>
      </c>
      <c r="AT166" t="n">
        <v>10702</v>
      </c>
      <c r="AU166" t="n">
        <v>168925</v>
      </c>
      <c r="AV166" t="n">
        <v>939</v>
      </c>
      <c r="AW166" t="n">
        <v>945</v>
      </c>
      <c r="AX166" t="n">
        <v>9124</v>
      </c>
      <c r="AY166" s="88">
        <f>IF(OR(AT166&lt;=0,AU166&lt;=0),"",LN(AT166)-LN(AU166))</f>
        <v/>
      </c>
      <c r="AZ166" s="46" t="n">
        <v>13.3</v>
      </c>
      <c r="BA166" s="46" t="n">
        <v>29.8</v>
      </c>
      <c r="BB166" s="47" t="n">
        <v>0.9</v>
      </c>
    </row>
    <row r="167">
      <c r="A167" s="48" t="n">
        <v>45457</v>
      </c>
      <c r="B167" s="49" t="n">
        <v>184771</v>
      </c>
      <c r="C167" s="50" t="n">
        <v>20.2</v>
      </c>
      <c r="D167" s="51" t="inlineStr">
        <is>
          <t>Moderate</t>
        </is>
      </c>
      <c r="E167" s="52" t="n">
        <v>26.3</v>
      </c>
      <c r="F167" s="52" t="n"/>
      <c r="G167" s="51" t="inlineStr">
        <is>
          <t>Fri</t>
        </is>
      </c>
      <c r="H167" s="51" t="inlineStr">
        <is>
          <t>Weekday</t>
        </is>
      </c>
      <c r="I167" s="51" t="inlineStr">
        <is>
          <t>Summer</t>
        </is>
      </c>
      <c r="J167" s="51" t="n">
        <v>25</v>
      </c>
      <c r="K167" s="51" t="inlineStr">
        <is>
          <t>강수량 공란</t>
        </is>
      </c>
      <c r="L167" s="46" t="n">
        <v>34.4</v>
      </c>
      <c r="M167" t="inlineStr">
        <is>
          <t>Moderate</t>
        </is>
      </c>
      <c r="N167" s="87" t="n">
        <v>25</v>
      </c>
      <c r="O167" s="87" t="n">
        <v>0</v>
      </c>
      <c r="P167" s="87" t="n">
        <v>0</v>
      </c>
      <c r="Q167" s="87" t="n">
        <v>0</v>
      </c>
      <c r="R167" s="87" t="n">
        <v>0</v>
      </c>
      <c r="S167" s="47" t="n">
        <v>2.3</v>
      </c>
      <c r="T167" s="47" t="n">
        <v>56</v>
      </c>
      <c r="U167" s="47" t="n"/>
      <c r="V167" s="87" t="n">
        <v>0</v>
      </c>
      <c r="W167" s="87" t="n">
        <v>0</v>
      </c>
      <c r="Y167" t="inlineStr">
        <is>
          <t>Jun</t>
        </is>
      </c>
      <c r="Z167" s="87" t="n">
        <v>2024</v>
      </c>
      <c r="AA167" s="47">
        <f>IF(F167="",0,F167)</f>
        <v/>
      </c>
      <c r="AB167" s="87">
        <f>IF(AA167&gt;=0.1,1,0)</f>
        <v/>
      </c>
      <c r="AC167" s="87" t="n">
        <v>0</v>
      </c>
      <c r="AD167" s="47">
        <f>IF(U167="",0,U167)</f>
        <v/>
      </c>
      <c r="AE167" s="87">
        <f>IF(OR(V167=1,W167=1),1,0)</f>
        <v/>
      </c>
      <c r="AF167" s="87" t="n">
        <v>0</v>
      </c>
      <c r="AG167" t="n">
        <v>10937</v>
      </c>
      <c r="AH167" t="n">
        <v>173834</v>
      </c>
      <c r="AI167" t="n">
        <v>0</v>
      </c>
      <c r="AJ167" s="88">
        <f>IF(OR(AG167&lt;=0,AH167&lt;=0),"",LN(AG167)-LN(AH167))</f>
        <v/>
      </c>
      <c r="AK167" t="n">
        <v>28396</v>
      </c>
      <c r="AL167" t="n">
        <v>156375</v>
      </c>
      <c r="AM167" s="88">
        <f>IF(OR(AK167&lt;=0,AL167&lt;=0),"",LN(AK167)-LN(AL167))</f>
        <v/>
      </c>
      <c r="AN167" t="n">
        <v>10617</v>
      </c>
      <c r="AO167" t="n">
        <v>167953</v>
      </c>
      <c r="AP167" s="88">
        <f>IF(OR(AN167&lt;=0,AO167&lt;=0),"",LN(AN167)-LN(AO167))</f>
        <v/>
      </c>
      <c r="AQ167" t="n">
        <v>10622</v>
      </c>
      <c r="AR167" t="n">
        <v>173834</v>
      </c>
      <c r="AS167" s="88">
        <f>IF(OR(AQ167&lt;=0,AR167&lt;=0),"",LN(AQ167)-LN(AR167))</f>
        <v/>
      </c>
      <c r="AT167" t="n">
        <v>11506</v>
      </c>
      <c r="AU167" t="n">
        <v>172227</v>
      </c>
      <c r="AV167" t="n">
        <v>1039</v>
      </c>
      <c r="AW167" t="n">
        <v>1090</v>
      </c>
      <c r="AX167" t="n">
        <v>9787</v>
      </c>
      <c r="AY167" s="88">
        <f>IF(OR(AT167&lt;=0,AU167&lt;=0),"",LN(AT167)-LN(AU167))</f>
        <v/>
      </c>
      <c r="AZ167" s="46" t="n">
        <v>9.1</v>
      </c>
      <c r="BA167" s="46" t="n">
        <v>24.24</v>
      </c>
      <c r="BB167" s="47" t="n">
        <v>5.6</v>
      </c>
    </row>
    <row r="168">
      <c r="A168" s="48" t="n">
        <v>45458</v>
      </c>
      <c r="B168" s="49" t="n">
        <v>135545</v>
      </c>
      <c r="C168" s="50" t="n">
        <v>18.32</v>
      </c>
      <c r="D168" s="51" t="inlineStr">
        <is>
          <t>Moderate</t>
        </is>
      </c>
      <c r="E168" s="52" t="n">
        <v>24.2</v>
      </c>
      <c r="F168" s="52" t="n">
        <v>6.1</v>
      </c>
      <c r="G168" s="51" t="inlineStr">
        <is>
          <t>Sat</t>
        </is>
      </c>
      <c r="H168" s="51" t="inlineStr">
        <is>
          <t>Weekend</t>
        </is>
      </c>
      <c r="I168" s="51" t="inlineStr">
        <is>
          <t>Summer</t>
        </is>
      </c>
      <c r="J168" s="51" t="n">
        <v>25</v>
      </c>
      <c r="K168" s="51" t="inlineStr">
        <is>
          <t>OK</t>
        </is>
      </c>
      <c r="L168" s="46" t="n">
        <v>25.2</v>
      </c>
      <c r="M168" t="inlineStr">
        <is>
          <t>Good</t>
        </is>
      </c>
      <c r="N168" s="87" t="n">
        <v>25</v>
      </c>
      <c r="O168" s="87" t="n">
        <v>0</v>
      </c>
      <c r="P168" s="87" t="n">
        <v>0</v>
      </c>
      <c r="Q168" s="87" t="n">
        <v>0</v>
      </c>
      <c r="R168" s="87" t="n">
        <v>0</v>
      </c>
      <c r="S168" s="47" t="n">
        <v>1.9</v>
      </c>
      <c r="T168" s="47" t="n">
        <v>72.3</v>
      </c>
      <c r="U168" s="47" t="n"/>
      <c r="V168" s="87" t="n">
        <v>1</v>
      </c>
      <c r="W168" s="87" t="n">
        <v>0</v>
      </c>
      <c r="Y168" t="inlineStr">
        <is>
          <t>Jun</t>
        </is>
      </c>
      <c r="Z168" s="87" t="n">
        <v>2024</v>
      </c>
      <c r="AA168" s="47">
        <f>IF(F168="",0,F168)</f>
        <v/>
      </c>
      <c r="AB168" s="87">
        <f>IF(AA168&gt;=0.1,1,0)</f>
        <v/>
      </c>
      <c r="AC168" s="87" t="n">
        <v>0</v>
      </c>
      <c r="AD168" s="47">
        <f>IF(U168="",0,U168)</f>
        <v/>
      </c>
      <c r="AE168" s="87">
        <f>IF(OR(V168=1,W168=1),1,0)</f>
        <v/>
      </c>
      <c r="AF168" s="87" t="n">
        <v>0</v>
      </c>
      <c r="AG168" t="n">
        <v>9948</v>
      </c>
      <c r="AH168" t="n">
        <v>125597</v>
      </c>
      <c r="AI168" t="n">
        <v>0</v>
      </c>
      <c r="AJ168" s="88">
        <f>IF(OR(AG168&lt;=0,AH168&lt;=0),"",LN(AG168)-LN(AH168))</f>
        <v/>
      </c>
      <c r="AK168" t="n">
        <v>23076</v>
      </c>
      <c r="AL168" t="n">
        <v>112469</v>
      </c>
      <c r="AM168" s="88">
        <f>IF(OR(AK168&lt;=0,AL168&lt;=0),"",LN(AK168)-LN(AL168))</f>
        <v/>
      </c>
      <c r="AN168" t="n">
        <v>9609</v>
      </c>
      <c r="AO168" t="n">
        <v>121578</v>
      </c>
      <c r="AP168" s="88">
        <f>IF(OR(AN168&lt;=0,AO168&lt;=0),"",LN(AN168)-LN(AO168))</f>
        <v/>
      </c>
      <c r="AQ168" t="n">
        <v>9627</v>
      </c>
      <c r="AR168" t="n">
        <v>125597</v>
      </c>
      <c r="AS168" s="88">
        <f>IF(OR(AQ168&lt;=0,AR168&lt;=0),"",LN(AQ168)-LN(AR168))</f>
        <v/>
      </c>
      <c r="AT168" t="n">
        <v>11989</v>
      </c>
      <c r="AU168" t="n">
        <v>122790</v>
      </c>
      <c r="AV168" t="n">
        <v>769</v>
      </c>
      <c r="AW168" t="n">
        <v>1484</v>
      </c>
      <c r="AX168" t="n">
        <v>8378</v>
      </c>
      <c r="AY168" s="88">
        <f>IF(OR(AT168&lt;=0,AU168&lt;=0),"",LN(AT168)-LN(AU168))</f>
        <v/>
      </c>
      <c r="AZ168" s="46" t="n">
        <v>3.4</v>
      </c>
      <c r="BA168" s="46" t="n">
        <v>15.71</v>
      </c>
      <c r="BB168" s="47" t="n">
        <v>6.5</v>
      </c>
    </row>
    <row r="169">
      <c r="A169" s="48" t="n">
        <v>45459</v>
      </c>
      <c r="B169" s="49" t="n">
        <v>138902</v>
      </c>
      <c r="C169" s="50" t="n">
        <v>12.72</v>
      </c>
      <c r="D169" s="51" t="inlineStr">
        <is>
          <t>Good</t>
        </is>
      </c>
      <c r="E169" s="52" t="n">
        <v>24.3</v>
      </c>
      <c r="F169" s="52" t="n"/>
      <c r="G169" s="51" t="inlineStr">
        <is>
          <t>Sun</t>
        </is>
      </c>
      <c r="H169" s="51" t="inlineStr">
        <is>
          <t>Weekend</t>
        </is>
      </c>
      <c r="I169" s="51" t="inlineStr">
        <is>
          <t>Summer</t>
        </is>
      </c>
      <c r="J169" s="51" t="n">
        <v>25</v>
      </c>
      <c r="K169" s="51" t="inlineStr">
        <is>
          <t>강수량 공란</t>
        </is>
      </c>
      <c r="L169" s="46" t="n">
        <v>21.88</v>
      </c>
      <c r="M169" t="inlineStr">
        <is>
          <t>Good</t>
        </is>
      </c>
      <c r="N169" s="87" t="n">
        <v>25</v>
      </c>
      <c r="O169" s="87" t="n">
        <v>0</v>
      </c>
      <c r="P169" s="87" t="n">
        <v>0</v>
      </c>
      <c r="Q169" s="87" t="n">
        <v>0</v>
      </c>
      <c r="R169" s="87" t="n">
        <v>0</v>
      </c>
      <c r="S169" s="47" t="n">
        <v>2.8</v>
      </c>
      <c r="T169" s="47" t="n">
        <v>58.4</v>
      </c>
      <c r="U169" s="47" t="n"/>
      <c r="V169" s="87" t="n">
        <v>1</v>
      </c>
      <c r="W169" s="87" t="n">
        <v>0</v>
      </c>
      <c r="Y169" t="inlineStr">
        <is>
          <t>Jun</t>
        </is>
      </c>
      <c r="Z169" s="87" t="n">
        <v>2024</v>
      </c>
      <c r="AA169" s="47">
        <f>IF(F169="",0,F169)</f>
        <v/>
      </c>
      <c r="AB169" s="87">
        <f>IF(AA169&gt;=0.1,1,0)</f>
        <v/>
      </c>
      <c r="AC169" s="87" t="n">
        <v>0</v>
      </c>
      <c r="AD169" s="47">
        <f>IF(U169="",0,U169)</f>
        <v/>
      </c>
      <c r="AE169" s="87">
        <f>IF(OR(V169=1,W169=1),1,0)</f>
        <v/>
      </c>
      <c r="AF169" s="87" t="n">
        <v>0</v>
      </c>
      <c r="AG169" t="n">
        <v>11368</v>
      </c>
      <c r="AH169" t="n">
        <v>127534</v>
      </c>
      <c r="AI169" t="n">
        <v>0</v>
      </c>
      <c r="AJ169" s="88">
        <f>IF(OR(AG169&lt;=0,AH169&lt;=0),"",LN(AG169)-LN(AH169))</f>
        <v/>
      </c>
      <c r="AK169" t="n">
        <v>25142</v>
      </c>
      <c r="AL169" t="n">
        <v>113760</v>
      </c>
      <c r="AM169" s="88">
        <f>IF(OR(AK169&lt;=0,AL169&lt;=0),"",LN(AK169)-LN(AL169))</f>
        <v/>
      </c>
      <c r="AN169" t="n">
        <v>11043</v>
      </c>
      <c r="AO169" t="n">
        <v>123512</v>
      </c>
      <c r="AP169" s="88">
        <f>IF(OR(AN169&lt;=0,AO169&lt;=0),"",LN(AN169)-LN(AO169))</f>
        <v/>
      </c>
      <c r="AQ169" t="n">
        <v>10980</v>
      </c>
      <c r="AR169" t="n">
        <v>127534</v>
      </c>
      <c r="AS169" s="88">
        <f>IF(OR(AQ169&lt;=0,AR169&lt;=0),"",LN(AQ169)-LN(AR169))</f>
        <v/>
      </c>
      <c r="AT169" t="n">
        <v>13893</v>
      </c>
      <c r="AU169" t="n">
        <v>124248</v>
      </c>
      <c r="AV169" t="n">
        <v>764</v>
      </c>
      <c r="AW169" t="n">
        <v>1889</v>
      </c>
      <c r="AX169" t="n">
        <v>9388</v>
      </c>
      <c r="AY169" s="88">
        <f>IF(OR(AT169&lt;=0,AU169&lt;=0),"",LN(AT169)-LN(AU169))</f>
        <v/>
      </c>
      <c r="AZ169" s="46" t="n">
        <v>13.2</v>
      </c>
      <c r="BA169" s="46" t="n">
        <v>30.02</v>
      </c>
      <c r="BB169" s="47" t="n">
        <v>0.9</v>
      </c>
    </row>
    <row r="170">
      <c r="A170" s="48" t="n">
        <v>45460</v>
      </c>
      <c r="B170" s="49" t="n">
        <v>183972</v>
      </c>
      <c r="C170" s="50" t="n">
        <v>11.24</v>
      </c>
      <c r="D170" s="51" t="inlineStr">
        <is>
          <t>Good</t>
        </is>
      </c>
      <c r="E170" s="52" t="n">
        <v>24.8</v>
      </c>
      <c r="F170" s="52" t="n"/>
      <c r="G170" s="51" t="inlineStr">
        <is>
          <t>Mon</t>
        </is>
      </c>
      <c r="H170" s="51" t="inlineStr">
        <is>
          <t>Weekday</t>
        </is>
      </c>
      <c r="I170" s="51" t="inlineStr">
        <is>
          <t>Summer</t>
        </is>
      </c>
      <c r="J170" s="51" t="n">
        <v>25</v>
      </c>
      <c r="K170" s="51" t="inlineStr">
        <is>
          <t>강수량 공란</t>
        </is>
      </c>
      <c r="L170" s="46" t="n">
        <v>20.84</v>
      </c>
      <c r="M170" t="inlineStr">
        <is>
          <t>Good</t>
        </is>
      </c>
      <c r="N170" s="87" t="n">
        <v>25</v>
      </c>
      <c r="O170" s="87" t="n">
        <v>0</v>
      </c>
      <c r="P170" s="87" t="n">
        <v>0</v>
      </c>
      <c r="Q170" s="87" t="n">
        <v>0</v>
      </c>
      <c r="R170" s="87" t="n">
        <v>0</v>
      </c>
      <c r="S170" s="47" t="n">
        <v>2.4</v>
      </c>
      <c r="T170" s="47" t="n">
        <v>48.4</v>
      </c>
      <c r="U170" s="47" t="n"/>
      <c r="V170" s="87" t="n">
        <v>0</v>
      </c>
      <c r="W170" s="87" t="n">
        <v>0</v>
      </c>
      <c r="Y170" t="inlineStr">
        <is>
          <t>Jun</t>
        </is>
      </c>
      <c r="Z170" s="87" t="n">
        <v>2024</v>
      </c>
      <c r="AA170" s="47">
        <f>IF(F170="",0,F170)</f>
        <v/>
      </c>
      <c r="AB170" s="87">
        <f>IF(AA170&gt;=0.1,1,0)</f>
        <v/>
      </c>
      <c r="AC170" s="87" t="n">
        <v>0</v>
      </c>
      <c r="AD170" s="47">
        <f>IF(U170="",0,U170)</f>
        <v/>
      </c>
      <c r="AE170" s="87">
        <f>IF(OR(V170=1,W170=1),1,0)</f>
        <v/>
      </c>
      <c r="AF170" s="87" t="n">
        <v>0</v>
      </c>
      <c r="AG170" t="n">
        <v>10761</v>
      </c>
      <c r="AH170" t="n">
        <v>173211</v>
      </c>
      <c r="AI170" t="n">
        <v>0</v>
      </c>
      <c r="AJ170" s="88">
        <f>IF(OR(AG170&lt;=0,AH170&lt;=0),"",LN(AG170)-LN(AH170))</f>
        <v/>
      </c>
      <c r="AK170" t="n">
        <v>28631</v>
      </c>
      <c r="AL170" t="n">
        <v>155341</v>
      </c>
      <c r="AM170" s="88">
        <f>IF(OR(AK170&lt;=0,AL170&lt;=0),"",LN(AK170)-LN(AL170))</f>
        <v/>
      </c>
      <c r="AN170" t="n">
        <v>10422</v>
      </c>
      <c r="AO170" t="n">
        <v>167526</v>
      </c>
      <c r="AP170" s="88">
        <f>IF(OR(AN170&lt;=0,AO170&lt;=0),"",LN(AN170)-LN(AO170))</f>
        <v/>
      </c>
      <c r="AQ170" t="n">
        <v>10439</v>
      </c>
      <c r="AR170" t="n">
        <v>173211</v>
      </c>
      <c r="AS170" s="88">
        <f>IF(OR(AQ170&lt;=0,AR170&lt;=0),"",LN(AQ170)-LN(AR170))</f>
        <v/>
      </c>
      <c r="AT170" t="n">
        <v>11754</v>
      </c>
      <c r="AU170" t="n">
        <v>171284</v>
      </c>
      <c r="AV170" t="n">
        <v>939</v>
      </c>
      <c r="AW170" t="n">
        <v>1094</v>
      </c>
      <c r="AX170" t="n">
        <v>9594</v>
      </c>
      <c r="AY170" s="88">
        <f>IF(OR(AT170&lt;=0,AU170&lt;=0),"",LN(AT170)-LN(AU170))</f>
        <v/>
      </c>
      <c r="AZ170" s="46" t="n">
        <v>13.1</v>
      </c>
      <c r="BA170" s="46" t="n">
        <v>28.17</v>
      </c>
      <c r="BB170" s="47" t="n">
        <v>4.6</v>
      </c>
    </row>
    <row r="171">
      <c r="A171" s="48" t="n">
        <v>45461</v>
      </c>
      <c r="B171" s="49" t="n">
        <v>185037</v>
      </c>
      <c r="C171" s="50" t="n">
        <v>14.28</v>
      </c>
      <c r="D171" s="51" t="inlineStr">
        <is>
          <t>Good</t>
        </is>
      </c>
      <c r="E171" s="52" t="n">
        <v>26</v>
      </c>
      <c r="F171" s="52" t="n"/>
      <c r="G171" s="51" t="inlineStr">
        <is>
          <t>Tue</t>
        </is>
      </c>
      <c r="H171" s="51" t="inlineStr">
        <is>
          <t>Weekday</t>
        </is>
      </c>
      <c r="I171" s="51" t="inlineStr">
        <is>
          <t>Summer</t>
        </is>
      </c>
      <c r="J171" s="51" t="n">
        <v>25</v>
      </c>
      <c r="K171" s="51" t="inlineStr">
        <is>
          <t>강수량 공란</t>
        </is>
      </c>
      <c r="L171" s="46" t="n">
        <v>25.8</v>
      </c>
      <c r="M171" t="inlineStr">
        <is>
          <t>Good</t>
        </is>
      </c>
      <c r="N171" s="87" t="n">
        <v>25</v>
      </c>
      <c r="O171" s="87" t="n">
        <v>0</v>
      </c>
      <c r="P171" s="87" t="n">
        <v>0</v>
      </c>
      <c r="Q171" s="87" t="n">
        <v>0</v>
      </c>
      <c r="R171" s="87" t="n">
        <v>0</v>
      </c>
      <c r="S171" s="47" t="n">
        <v>2.1</v>
      </c>
      <c r="T171" s="47" t="n">
        <v>59.5</v>
      </c>
      <c r="U171" s="47" t="n"/>
      <c r="V171" s="87" t="n">
        <v>0</v>
      </c>
      <c r="W171" s="87" t="n">
        <v>0</v>
      </c>
      <c r="Y171" t="inlineStr">
        <is>
          <t>Jun</t>
        </is>
      </c>
      <c r="Z171" s="87" t="n">
        <v>2024</v>
      </c>
      <c r="AA171" s="47">
        <f>IF(F171="",0,F171)</f>
        <v/>
      </c>
      <c r="AB171" s="87">
        <f>IF(AA171&gt;=0.1,1,0)</f>
        <v/>
      </c>
      <c r="AC171" s="87" t="n">
        <v>0</v>
      </c>
      <c r="AD171" s="47">
        <f>IF(U171="",0,U171)</f>
        <v/>
      </c>
      <c r="AE171" s="87">
        <f>IF(OR(V171=1,W171=1),1,0)</f>
        <v/>
      </c>
      <c r="AF171" s="87" t="n">
        <v>0</v>
      </c>
      <c r="AG171" t="n">
        <v>10641</v>
      </c>
      <c r="AH171" t="n">
        <v>174396</v>
      </c>
      <c r="AI171" t="n">
        <v>0</v>
      </c>
      <c r="AJ171" s="88">
        <f>IF(OR(AG171&lt;=0,AH171&lt;=0),"",LN(AG171)-LN(AH171))</f>
        <v/>
      </c>
      <c r="AK171" t="n">
        <v>28250</v>
      </c>
      <c r="AL171" t="n">
        <v>156787</v>
      </c>
      <c r="AM171" s="88">
        <f>IF(OR(AK171&lt;=0,AL171&lt;=0),"",LN(AK171)-LN(AL171))</f>
        <v/>
      </c>
      <c r="AN171" t="n">
        <v>10331</v>
      </c>
      <c r="AO171" t="n">
        <v>168657</v>
      </c>
      <c r="AP171" s="88">
        <f>IF(OR(AN171&lt;=0,AO171&lt;=0),"",LN(AN171)-LN(AO171))</f>
        <v/>
      </c>
      <c r="AQ171" t="n">
        <v>10332</v>
      </c>
      <c r="AR171" t="n">
        <v>174396</v>
      </c>
      <c r="AS171" s="88">
        <f>IF(OR(AQ171&lt;=0,AR171&lt;=0),"",LN(AQ171)-LN(AR171))</f>
        <v/>
      </c>
      <c r="AT171" t="n">
        <v>11202</v>
      </c>
      <c r="AU171" t="n">
        <v>172847</v>
      </c>
      <c r="AV171" t="n">
        <v>988</v>
      </c>
      <c r="AW171" t="n">
        <v>1032</v>
      </c>
      <c r="AX171" t="n">
        <v>9551</v>
      </c>
      <c r="AY171" s="88">
        <f>IF(OR(AT171&lt;=0,AU171&lt;=0),"",LN(AT171)-LN(AU171))</f>
        <v/>
      </c>
      <c r="AZ171" s="46" t="n">
        <v>13.4</v>
      </c>
      <c r="BA171" s="46" t="n">
        <v>29.22</v>
      </c>
      <c r="BB171" s="47" t="n">
        <v>0</v>
      </c>
    </row>
    <row r="172">
      <c r="A172" s="48" t="n">
        <v>45462</v>
      </c>
      <c r="B172" s="49" t="n">
        <v>176976</v>
      </c>
      <c r="C172" s="50" t="n">
        <v>26</v>
      </c>
      <c r="D172" s="51" t="inlineStr">
        <is>
          <t>Moderate</t>
        </is>
      </c>
      <c r="E172" s="52" t="n">
        <v>28.8</v>
      </c>
      <c r="F172" s="52" t="n"/>
      <c r="G172" s="51" t="inlineStr">
        <is>
          <t>Wed</t>
        </is>
      </c>
      <c r="H172" s="51" t="inlineStr">
        <is>
          <t>Weekday</t>
        </is>
      </c>
      <c r="I172" s="51" t="inlineStr">
        <is>
          <t>Summer</t>
        </is>
      </c>
      <c r="J172" s="51" t="n">
        <v>25</v>
      </c>
      <c r="K172" s="51" t="inlineStr">
        <is>
          <t>강수량 공란</t>
        </is>
      </c>
      <c r="L172" s="46" t="n">
        <v>41.48</v>
      </c>
      <c r="M172" t="inlineStr">
        <is>
          <t>Moderate</t>
        </is>
      </c>
      <c r="N172" s="87" t="n">
        <v>25</v>
      </c>
      <c r="O172" s="87" t="n">
        <v>0</v>
      </c>
      <c r="P172" s="87" t="n">
        <v>0</v>
      </c>
      <c r="Q172" s="87" t="n">
        <v>0</v>
      </c>
      <c r="R172" s="87" t="n">
        <v>0</v>
      </c>
      <c r="S172" s="47" t="n">
        <v>1.6</v>
      </c>
      <c r="T172" s="47" t="n">
        <v>54.3</v>
      </c>
      <c r="U172" s="47" t="n"/>
      <c r="V172" s="87" t="n">
        <v>0</v>
      </c>
      <c r="W172" s="87" t="n">
        <v>0</v>
      </c>
      <c r="Y172" t="inlineStr">
        <is>
          <t>Jun</t>
        </is>
      </c>
      <c r="Z172" s="87" t="n">
        <v>2024</v>
      </c>
      <c r="AA172" s="47">
        <f>IF(F172="",0,F172)</f>
        <v/>
      </c>
      <c r="AB172" s="87">
        <f>IF(AA172&gt;=0.1,1,0)</f>
        <v/>
      </c>
      <c r="AC172" s="87" t="n">
        <v>0</v>
      </c>
      <c r="AD172" s="47">
        <f>IF(U172="",0,U172)</f>
        <v/>
      </c>
      <c r="AE172" s="87">
        <f>IF(OR(V172=1,W172=1),1,0)</f>
        <v/>
      </c>
      <c r="AF172" s="87" t="n">
        <v>0</v>
      </c>
      <c r="AG172" t="n">
        <v>9508</v>
      </c>
      <c r="AH172" t="n">
        <v>167468</v>
      </c>
      <c r="AI172" t="n">
        <v>0</v>
      </c>
      <c r="AJ172" s="88">
        <f>IF(OR(AG172&lt;=0,AH172&lt;=0),"",LN(AG172)-LN(AH172))</f>
        <v/>
      </c>
      <c r="AK172" t="n">
        <v>26188</v>
      </c>
      <c r="AL172" t="n">
        <v>150788</v>
      </c>
      <c r="AM172" s="88">
        <f>IF(OR(AK172&lt;=0,AL172&lt;=0),"",LN(AK172)-LN(AL172))</f>
        <v/>
      </c>
      <c r="AN172" t="n">
        <v>9191</v>
      </c>
      <c r="AO172" t="n">
        <v>161781</v>
      </c>
      <c r="AP172" s="88">
        <f>IF(OR(AN172&lt;=0,AO172&lt;=0),"",LN(AN172)-LN(AO172))</f>
        <v/>
      </c>
      <c r="AQ172" t="n">
        <v>9266</v>
      </c>
      <c r="AR172" t="n">
        <v>167468</v>
      </c>
      <c r="AS172" s="88">
        <f>IF(OR(AQ172&lt;=0,AR172&lt;=0),"",LN(AQ172)-LN(AR172))</f>
        <v/>
      </c>
      <c r="AT172" t="n">
        <v>10700</v>
      </c>
      <c r="AU172" t="n">
        <v>165412</v>
      </c>
      <c r="AV172" t="n">
        <v>867</v>
      </c>
      <c r="AW172" t="n">
        <v>913</v>
      </c>
      <c r="AX172" t="n">
        <v>8535</v>
      </c>
      <c r="AY172" s="88">
        <f>IF(OR(AT172&lt;=0,AU172&lt;=0),"",LN(AT172)-LN(AU172))</f>
        <v/>
      </c>
      <c r="AZ172" s="46" t="n">
        <v>13</v>
      </c>
      <c r="BA172" s="46" t="n">
        <v>28.25</v>
      </c>
      <c r="BB172" s="47" t="n">
        <v>3.3</v>
      </c>
    </row>
    <row r="173">
      <c r="A173" s="48" t="n">
        <v>45463</v>
      </c>
      <c r="B173" s="49" t="n">
        <v>176280</v>
      </c>
      <c r="C173" s="50" t="n">
        <v>27.8</v>
      </c>
      <c r="D173" s="51" t="inlineStr">
        <is>
          <t>Moderate</t>
        </is>
      </c>
      <c r="E173" s="52" t="n">
        <v>29.4</v>
      </c>
      <c r="F173" s="52" t="n"/>
      <c r="G173" s="51" t="inlineStr">
        <is>
          <t>Thu</t>
        </is>
      </c>
      <c r="H173" s="51" t="inlineStr">
        <is>
          <t>Weekday</t>
        </is>
      </c>
      <c r="I173" s="51" t="inlineStr">
        <is>
          <t>Summer</t>
        </is>
      </c>
      <c r="J173" s="51" t="n">
        <v>25</v>
      </c>
      <c r="K173" s="51" t="inlineStr">
        <is>
          <t>강수량 공란</t>
        </is>
      </c>
      <c r="L173" s="46" t="n">
        <v>41.68</v>
      </c>
      <c r="M173" t="inlineStr">
        <is>
          <t>Moderate</t>
        </is>
      </c>
      <c r="N173" s="87" t="n">
        <v>25</v>
      </c>
      <c r="O173" s="87" t="n">
        <v>0</v>
      </c>
      <c r="P173" s="87" t="n">
        <v>0</v>
      </c>
      <c r="Q173" s="87" t="n">
        <v>0</v>
      </c>
      <c r="R173" s="87" t="n">
        <v>0</v>
      </c>
      <c r="S173" s="47" t="n">
        <v>2</v>
      </c>
      <c r="T173" s="47" t="n">
        <v>45.1</v>
      </c>
      <c r="U173" s="47" t="n"/>
      <c r="V173" s="87" t="n">
        <v>0</v>
      </c>
      <c r="W173" s="87" t="n">
        <v>0</v>
      </c>
      <c r="Y173" t="inlineStr">
        <is>
          <t>Jun</t>
        </is>
      </c>
      <c r="Z173" s="87" t="n">
        <v>2024</v>
      </c>
      <c r="AA173" s="47">
        <f>IF(F173="",0,F173)</f>
        <v/>
      </c>
      <c r="AB173" s="87">
        <f>IF(AA173&gt;=0.1,1,0)</f>
        <v/>
      </c>
      <c r="AC173" s="87" t="n">
        <v>0</v>
      </c>
      <c r="AD173" s="47">
        <f>IF(U173="",0,U173)</f>
        <v/>
      </c>
      <c r="AE173" s="87">
        <f>IF(OR(V173=1,W173=1),1,0)</f>
        <v/>
      </c>
      <c r="AF173" s="87" t="n">
        <v>0</v>
      </c>
      <c r="AG173" t="n">
        <v>10079</v>
      </c>
      <c r="AH173" t="n">
        <v>166201</v>
      </c>
      <c r="AI173" t="n">
        <v>0</v>
      </c>
      <c r="AJ173" s="88">
        <f>IF(OR(AG173&lt;=0,AH173&lt;=0),"",LN(AG173)-LN(AH173))</f>
        <v/>
      </c>
      <c r="AK173" t="n">
        <v>26562</v>
      </c>
      <c r="AL173" t="n">
        <v>149718</v>
      </c>
      <c r="AM173" s="88">
        <f>IF(OR(AK173&lt;=0,AL173&lt;=0),"",LN(AK173)-LN(AL173))</f>
        <v/>
      </c>
      <c r="AN173" t="n">
        <v>9791</v>
      </c>
      <c r="AO173" t="n">
        <v>160603</v>
      </c>
      <c r="AP173" s="88">
        <f>IF(OR(AN173&lt;=0,AO173&lt;=0),"",LN(AN173)-LN(AO173))</f>
        <v/>
      </c>
      <c r="AQ173" t="n">
        <v>9791</v>
      </c>
      <c r="AR173" t="n">
        <v>166201</v>
      </c>
      <c r="AS173" s="88">
        <f>IF(OR(AQ173&lt;=0,AR173&lt;=0),"",LN(AQ173)-LN(AR173))</f>
        <v/>
      </c>
      <c r="AT173" t="n">
        <v>10535</v>
      </c>
      <c r="AU173" t="n">
        <v>164801</v>
      </c>
      <c r="AV173" t="n">
        <v>951</v>
      </c>
      <c r="AW173" t="n">
        <v>974</v>
      </c>
      <c r="AX173" t="n">
        <v>9052</v>
      </c>
      <c r="AY173" s="88">
        <f>IF(OR(AT173&lt;=0,AU173&lt;=0),"",LN(AT173)-LN(AU173))</f>
        <v/>
      </c>
      <c r="AZ173" s="46" t="n">
        <v>12.1</v>
      </c>
      <c r="BA173" s="46" t="n">
        <v>25.99</v>
      </c>
      <c r="BB173" s="47" t="n">
        <v>2.8</v>
      </c>
    </row>
    <row r="174">
      <c r="A174" s="48" t="n">
        <v>45464</v>
      </c>
      <c r="B174" s="49" t="n">
        <v>181228</v>
      </c>
      <c r="C174" s="50" t="n">
        <v>22.2</v>
      </c>
      <c r="D174" s="51" t="inlineStr">
        <is>
          <t>Moderate</t>
        </is>
      </c>
      <c r="E174" s="52" t="n">
        <v>28.1</v>
      </c>
      <c r="F174" s="52" t="n"/>
      <c r="G174" s="51" t="inlineStr">
        <is>
          <t>Fri</t>
        </is>
      </c>
      <c r="H174" s="51" t="inlineStr">
        <is>
          <t>Weekday</t>
        </is>
      </c>
      <c r="I174" s="51" t="inlineStr">
        <is>
          <t>Summer</t>
        </is>
      </c>
      <c r="J174" s="51" t="n">
        <v>25</v>
      </c>
      <c r="K174" s="51" t="inlineStr">
        <is>
          <t>강수량 공란</t>
        </is>
      </c>
      <c r="L174" s="46" t="n">
        <v>36.72</v>
      </c>
      <c r="M174" t="inlineStr">
        <is>
          <t>Moderate</t>
        </is>
      </c>
      <c r="N174" s="87" t="n">
        <v>25</v>
      </c>
      <c r="O174" s="87" t="n">
        <v>0</v>
      </c>
      <c r="P174" s="87" t="n">
        <v>0</v>
      </c>
      <c r="Q174" s="87" t="n">
        <v>0</v>
      </c>
      <c r="R174" s="87" t="n">
        <v>0</v>
      </c>
      <c r="S174" s="47" t="n">
        <v>2</v>
      </c>
      <c r="T174" s="47" t="n">
        <v>49.8</v>
      </c>
      <c r="U174" s="47" t="n"/>
      <c r="V174" s="87" t="n">
        <v>0</v>
      </c>
      <c r="W174" s="87" t="n">
        <v>0</v>
      </c>
      <c r="Y174" t="inlineStr">
        <is>
          <t>Jun</t>
        </is>
      </c>
      <c r="Z174" s="87" t="n">
        <v>2024</v>
      </c>
      <c r="AA174" s="47">
        <f>IF(F174="",0,F174)</f>
        <v/>
      </c>
      <c r="AB174" s="87">
        <f>IF(AA174&gt;=0.1,1,0)</f>
        <v/>
      </c>
      <c r="AC174" s="87" t="n">
        <v>0</v>
      </c>
      <c r="AD174" s="47">
        <f>IF(U174="",0,U174)</f>
        <v/>
      </c>
      <c r="AE174" s="87">
        <f>IF(OR(V174=1,W174=1),1,0)</f>
        <v/>
      </c>
      <c r="AF174" s="87" t="n">
        <v>0</v>
      </c>
      <c r="AG174" t="n">
        <v>10531</v>
      </c>
      <c r="AH174" t="n">
        <v>170697</v>
      </c>
      <c r="AI174" t="n">
        <v>0</v>
      </c>
      <c r="AJ174" s="88">
        <f>IF(OR(AG174&lt;=0,AH174&lt;=0),"",LN(AG174)-LN(AH174))</f>
        <v/>
      </c>
      <c r="AK174" t="n">
        <v>27584</v>
      </c>
      <c r="AL174" t="n">
        <v>153644</v>
      </c>
      <c r="AM174" s="88">
        <f>IF(OR(AK174&lt;=0,AL174&lt;=0),"",LN(AK174)-LN(AL174))</f>
        <v/>
      </c>
      <c r="AN174" t="n">
        <v>10223</v>
      </c>
      <c r="AO174" t="n">
        <v>164996</v>
      </c>
      <c r="AP174" s="88">
        <f>IF(OR(AN174&lt;=0,AO174&lt;=0),"",LN(AN174)-LN(AO174))</f>
        <v/>
      </c>
      <c r="AQ174" t="n">
        <v>10231</v>
      </c>
      <c r="AR174" t="n">
        <v>170697</v>
      </c>
      <c r="AS174" s="88">
        <f>IF(OR(AQ174&lt;=0,AR174&lt;=0),"",LN(AQ174)-LN(AR174))</f>
        <v/>
      </c>
      <c r="AT174" t="n">
        <v>11257</v>
      </c>
      <c r="AU174" t="n">
        <v>169007</v>
      </c>
      <c r="AV174" t="n">
        <v>964</v>
      </c>
      <c r="AW174" t="n">
        <v>1079</v>
      </c>
      <c r="AX174" t="n">
        <v>9387</v>
      </c>
      <c r="AY174" s="88">
        <f>IF(OR(AT174&lt;=0,AU174&lt;=0),"",LN(AT174)-LN(AU174))</f>
        <v/>
      </c>
      <c r="AZ174" s="46" t="n">
        <v>10.3</v>
      </c>
      <c r="BA174" s="46" t="n">
        <v>24.75</v>
      </c>
      <c r="BB174" s="47" t="n">
        <v>5.8</v>
      </c>
    </row>
    <row r="175">
      <c r="A175" s="48" t="n">
        <v>45465</v>
      </c>
      <c r="B175" s="49" t="n">
        <v>60126</v>
      </c>
      <c r="C175" s="50" t="n">
        <v>21</v>
      </c>
      <c r="D175" s="51" t="inlineStr">
        <is>
          <t>Moderate</t>
        </is>
      </c>
      <c r="E175" s="52" t="n">
        <v>24.2</v>
      </c>
      <c r="F175" s="52" t="n">
        <v>16.5</v>
      </c>
      <c r="G175" s="51" t="inlineStr">
        <is>
          <t>Sat</t>
        </is>
      </c>
      <c r="H175" s="51" t="inlineStr">
        <is>
          <t>Weekend</t>
        </is>
      </c>
      <c r="I175" s="51" t="inlineStr">
        <is>
          <t>Summer</t>
        </is>
      </c>
      <c r="J175" s="51" t="n">
        <v>25</v>
      </c>
      <c r="K175" s="51" t="inlineStr">
        <is>
          <t>OK</t>
        </is>
      </c>
      <c r="L175" s="46" t="n">
        <v>28.4</v>
      </c>
      <c r="M175" t="inlineStr">
        <is>
          <t>Good</t>
        </is>
      </c>
      <c r="N175" s="87" t="n">
        <v>25</v>
      </c>
      <c r="O175" s="87" t="n">
        <v>0</v>
      </c>
      <c r="P175" s="87" t="n">
        <v>0</v>
      </c>
      <c r="Q175" s="87" t="n">
        <v>0</v>
      </c>
      <c r="R175" s="87" t="n">
        <v>0</v>
      </c>
      <c r="S175" s="47" t="n">
        <v>2</v>
      </c>
      <c r="T175" s="47" t="n">
        <v>80.59999999999999</v>
      </c>
      <c r="U175" s="47" t="n"/>
      <c r="V175" s="87" t="n">
        <v>1</v>
      </c>
      <c r="W175" s="87" t="n">
        <v>0</v>
      </c>
      <c r="Y175" t="inlineStr">
        <is>
          <t>Jun</t>
        </is>
      </c>
      <c r="Z175" s="87" t="n">
        <v>2024</v>
      </c>
      <c r="AA175" s="47">
        <f>IF(F175="",0,F175)</f>
        <v/>
      </c>
      <c r="AB175" s="87">
        <f>IF(AA175&gt;=0.1,1,0)</f>
        <v/>
      </c>
      <c r="AC175" s="87" t="n">
        <v>0</v>
      </c>
      <c r="AD175" s="47">
        <f>IF(U175="",0,U175)</f>
        <v/>
      </c>
      <c r="AE175" s="87">
        <f>IF(OR(V175=1,W175=1),1,0)</f>
        <v/>
      </c>
      <c r="AF175" s="87" t="n">
        <v>0</v>
      </c>
      <c r="AG175" t="n">
        <v>3748</v>
      </c>
      <c r="AH175" t="n">
        <v>56378</v>
      </c>
      <c r="AI175" t="n">
        <v>0</v>
      </c>
      <c r="AJ175" s="88">
        <f>IF(OR(AG175&lt;=0,AH175&lt;=0),"",LN(AG175)-LN(AH175))</f>
        <v/>
      </c>
      <c r="AK175" t="n">
        <v>9068</v>
      </c>
      <c r="AL175" t="n">
        <v>51058</v>
      </c>
      <c r="AM175" s="88">
        <f>IF(OR(AK175&lt;=0,AL175&lt;=0),"",LN(AK175)-LN(AL175))</f>
        <v/>
      </c>
      <c r="AN175" t="n">
        <v>3627</v>
      </c>
      <c r="AO175" t="n">
        <v>54519</v>
      </c>
      <c r="AP175" s="88">
        <f>IF(OR(AN175&lt;=0,AO175&lt;=0),"",LN(AN175)-LN(AO175))</f>
        <v/>
      </c>
      <c r="AQ175" t="n">
        <v>3658</v>
      </c>
      <c r="AR175" t="n">
        <v>56378</v>
      </c>
      <c r="AS175" s="88">
        <f>IF(OR(AQ175&lt;=0,AR175&lt;=0),"",LN(AQ175)-LN(AR175))</f>
        <v/>
      </c>
      <c r="AT175" t="n">
        <v>4802</v>
      </c>
      <c r="AU175" t="n">
        <v>54989</v>
      </c>
      <c r="AV175" t="n">
        <v>339</v>
      </c>
      <c r="AW175" t="n">
        <v>489</v>
      </c>
      <c r="AX175" t="n">
        <v>3235</v>
      </c>
      <c r="AY175" s="88">
        <f>IF(OR(AT175&lt;=0,AU175&lt;=0),"",LN(AT175)-LN(AU175))</f>
        <v/>
      </c>
      <c r="AZ175" s="46" t="n">
        <v>0</v>
      </c>
      <c r="BA175" s="46" t="n">
        <v>3.59</v>
      </c>
      <c r="BB175" s="47" t="n">
        <v>10</v>
      </c>
    </row>
    <row r="176">
      <c r="A176" s="48" t="n">
        <v>45466</v>
      </c>
      <c r="B176" s="49" t="n">
        <v>106449</v>
      </c>
      <c r="C176" s="50" t="n">
        <v>9.119999999999999</v>
      </c>
      <c r="D176" s="51" t="inlineStr">
        <is>
          <t>Good</t>
        </is>
      </c>
      <c r="E176" s="52" t="n">
        <v>25.1</v>
      </c>
      <c r="F176" s="52" t="n">
        <v>5.1</v>
      </c>
      <c r="G176" s="51" t="inlineStr">
        <is>
          <t>Sun</t>
        </is>
      </c>
      <c r="H176" s="51" t="inlineStr">
        <is>
          <t>Weekend</t>
        </is>
      </c>
      <c r="I176" s="51" t="inlineStr">
        <is>
          <t>Summer</t>
        </is>
      </c>
      <c r="J176" s="51" t="n">
        <v>25</v>
      </c>
      <c r="K176" s="51" t="inlineStr">
        <is>
          <t>OK</t>
        </is>
      </c>
      <c r="L176" s="46" t="n">
        <v>15.32</v>
      </c>
      <c r="M176" t="inlineStr">
        <is>
          <t>Good</t>
        </is>
      </c>
      <c r="N176" s="87" t="n">
        <v>25</v>
      </c>
      <c r="O176" s="87" t="n">
        <v>0</v>
      </c>
      <c r="P176" s="87" t="n">
        <v>0</v>
      </c>
      <c r="Q176" s="87" t="n">
        <v>0</v>
      </c>
      <c r="R176" s="87" t="n">
        <v>0</v>
      </c>
      <c r="S176" s="47" t="n">
        <v>2.2</v>
      </c>
      <c r="T176" s="47" t="n">
        <v>79.5</v>
      </c>
      <c r="U176" s="47" t="n"/>
      <c r="V176" s="87" t="n">
        <v>1</v>
      </c>
      <c r="W176" s="87" t="n">
        <v>0</v>
      </c>
      <c r="Y176" t="inlineStr">
        <is>
          <t>Jun</t>
        </is>
      </c>
      <c r="Z176" s="87" t="n">
        <v>2024</v>
      </c>
      <c r="AA176" s="47">
        <f>IF(F176="",0,F176)</f>
        <v/>
      </c>
      <c r="AB176" s="87">
        <f>IF(AA176&gt;=0.1,1,0)</f>
        <v/>
      </c>
      <c r="AC176" s="87" t="n">
        <v>0</v>
      </c>
      <c r="AD176" s="47">
        <f>IF(U176="",0,U176)</f>
        <v/>
      </c>
      <c r="AE176" s="87">
        <f>IF(OR(V176=1,W176=1),1,0)</f>
        <v/>
      </c>
      <c r="AF176" s="87" t="n">
        <v>0</v>
      </c>
      <c r="AG176" t="n">
        <v>7876</v>
      </c>
      <c r="AH176" t="n">
        <v>98573</v>
      </c>
      <c r="AI176" t="n">
        <v>0</v>
      </c>
      <c r="AJ176" s="88">
        <f>IF(OR(AG176&lt;=0,AH176&lt;=0),"",LN(AG176)-LN(AH176))</f>
        <v/>
      </c>
      <c r="AK176" t="n">
        <v>18376</v>
      </c>
      <c r="AL176" t="n">
        <v>88073</v>
      </c>
      <c r="AM176" s="88">
        <f>IF(OR(AK176&lt;=0,AL176&lt;=0),"",LN(AK176)-LN(AL176))</f>
        <v/>
      </c>
      <c r="AN176" t="n">
        <v>7632</v>
      </c>
      <c r="AO176" t="n">
        <v>95507</v>
      </c>
      <c r="AP176" s="88">
        <f>IF(OR(AN176&lt;=0,AO176&lt;=0),"",LN(AN176)-LN(AO176))</f>
        <v/>
      </c>
      <c r="AQ176" t="n">
        <v>7674</v>
      </c>
      <c r="AR176" t="n">
        <v>98573</v>
      </c>
      <c r="AS176" s="88">
        <f>IF(OR(AQ176&lt;=0,AR176&lt;=0),"",LN(AQ176)-LN(AR176))</f>
        <v/>
      </c>
      <c r="AT176" t="n">
        <v>10831</v>
      </c>
      <c r="AU176" t="n">
        <v>95045</v>
      </c>
      <c r="AV176" t="n">
        <v>573</v>
      </c>
      <c r="AW176" t="n">
        <v>1291</v>
      </c>
      <c r="AX176" t="n">
        <v>6541</v>
      </c>
      <c r="AY176" s="88">
        <f>IF(OR(AT176&lt;=0,AU176&lt;=0),"",LN(AT176)-LN(AU176))</f>
        <v/>
      </c>
      <c r="AZ176" s="46" t="n">
        <v>3.8</v>
      </c>
      <c r="BA176" s="46" t="n">
        <v>18.84</v>
      </c>
      <c r="BB176" s="47" t="n">
        <v>8.300000000000001</v>
      </c>
    </row>
    <row r="177">
      <c r="A177" s="48" t="n">
        <v>45467</v>
      </c>
      <c r="B177" s="49" t="n">
        <v>176784</v>
      </c>
      <c r="C177" s="50" t="n">
        <v>19.28</v>
      </c>
      <c r="D177" s="51" t="inlineStr">
        <is>
          <t>Moderate</t>
        </is>
      </c>
      <c r="E177" s="52" t="n">
        <v>24.3</v>
      </c>
      <c r="F177" s="52" t="n">
        <v>0</v>
      </c>
      <c r="G177" s="51" t="inlineStr">
        <is>
          <t>Mon</t>
        </is>
      </c>
      <c r="H177" s="51" t="inlineStr">
        <is>
          <t>Weekday</t>
        </is>
      </c>
      <c r="I177" s="51" t="inlineStr">
        <is>
          <t>Summer</t>
        </is>
      </c>
      <c r="J177" s="51" t="n">
        <v>25</v>
      </c>
      <c r="K177" s="51" t="inlineStr">
        <is>
          <t>OK</t>
        </is>
      </c>
      <c r="L177" s="46" t="n">
        <v>51.8</v>
      </c>
      <c r="M177" t="inlineStr">
        <is>
          <t>Moderate</t>
        </is>
      </c>
      <c r="N177" s="87" t="n">
        <v>25</v>
      </c>
      <c r="O177" s="87" t="n">
        <v>0</v>
      </c>
      <c r="P177" s="87" t="n">
        <v>0</v>
      </c>
      <c r="Q177" s="87" t="n">
        <v>0</v>
      </c>
      <c r="R177" s="87" t="n">
        <v>0</v>
      </c>
      <c r="S177" s="47" t="n">
        <v>2.9</v>
      </c>
      <c r="T177" s="47" t="n">
        <v>70.40000000000001</v>
      </c>
      <c r="U177" s="47" t="n"/>
      <c r="V177" s="87" t="n">
        <v>0</v>
      </c>
      <c r="W177" s="87" t="n">
        <v>0</v>
      </c>
      <c r="Y177" t="inlineStr">
        <is>
          <t>Jun</t>
        </is>
      </c>
      <c r="Z177" s="87" t="n">
        <v>2024</v>
      </c>
      <c r="AA177" s="47">
        <f>IF(F177="",0,F177)</f>
        <v/>
      </c>
      <c r="AB177" s="87">
        <f>IF(AA177&gt;=0.1,1,0)</f>
        <v/>
      </c>
      <c r="AC177" s="87" t="n">
        <v>1</v>
      </c>
      <c r="AD177" s="47">
        <f>IF(U177="",0,U177)</f>
        <v/>
      </c>
      <c r="AE177" s="87">
        <f>IF(OR(V177=1,W177=1),1,0)</f>
        <v/>
      </c>
      <c r="AF177" s="87" t="n">
        <v>0</v>
      </c>
      <c r="AG177" t="n">
        <v>10231</v>
      </c>
      <c r="AH177" t="n">
        <v>166553</v>
      </c>
      <c r="AI177" t="n">
        <v>0</v>
      </c>
      <c r="AJ177" s="88">
        <f>IF(OR(AG177&lt;=0,AH177&lt;=0),"",LN(AG177)-LN(AH177))</f>
        <v/>
      </c>
      <c r="AK177" t="n">
        <v>27296</v>
      </c>
      <c r="AL177" t="n">
        <v>149488</v>
      </c>
      <c r="AM177" s="88">
        <f>IF(OR(AK177&lt;=0,AL177&lt;=0),"",LN(AK177)-LN(AL177))</f>
        <v/>
      </c>
      <c r="AN177" t="n">
        <v>9915</v>
      </c>
      <c r="AO177" t="n">
        <v>160915</v>
      </c>
      <c r="AP177" s="88">
        <f>IF(OR(AN177&lt;=0,AO177&lt;=0),"",LN(AN177)-LN(AO177))</f>
        <v/>
      </c>
      <c r="AQ177" t="n">
        <v>9945</v>
      </c>
      <c r="AR177" t="n">
        <v>166553</v>
      </c>
      <c r="AS177" s="88">
        <f>IF(OR(AQ177&lt;=0,AR177&lt;=0),"",LN(AQ177)-LN(AR177))</f>
        <v/>
      </c>
      <c r="AT177" t="n">
        <v>11520</v>
      </c>
      <c r="AU177" t="n">
        <v>164333</v>
      </c>
      <c r="AV177" t="n">
        <v>933</v>
      </c>
      <c r="AW177" t="n">
        <v>1035</v>
      </c>
      <c r="AX177" t="n">
        <v>9134</v>
      </c>
      <c r="AY177" s="88">
        <f>IF(OR(AT177&lt;=0,AU177&lt;=0),"",LN(AT177)-LN(AU177))</f>
        <v/>
      </c>
      <c r="AZ177" s="46" t="n">
        <v>7</v>
      </c>
      <c r="BA177" s="46" t="n">
        <v>19.62</v>
      </c>
      <c r="BB177" s="47" t="n">
        <v>5.8</v>
      </c>
    </row>
    <row r="178">
      <c r="A178" s="48" t="n">
        <v>45468</v>
      </c>
      <c r="B178" s="49" t="n">
        <v>194241</v>
      </c>
      <c r="C178" s="50" t="n">
        <v>8.359999999999999</v>
      </c>
      <c r="D178" s="51" t="inlineStr">
        <is>
          <t>Good</t>
        </is>
      </c>
      <c r="E178" s="52" t="n">
        <v>22.9</v>
      </c>
      <c r="F178" s="52" t="n"/>
      <c r="G178" s="51" t="inlineStr">
        <is>
          <t>Tue</t>
        </is>
      </c>
      <c r="H178" s="51" t="inlineStr">
        <is>
          <t>Weekday</t>
        </is>
      </c>
      <c r="I178" s="51" t="inlineStr">
        <is>
          <t>Summer</t>
        </is>
      </c>
      <c r="J178" s="51" t="n">
        <v>25</v>
      </c>
      <c r="K178" s="51" t="inlineStr">
        <is>
          <t>강수량 공란</t>
        </is>
      </c>
      <c r="L178" s="46" t="n">
        <v>19.76</v>
      </c>
      <c r="M178" t="inlineStr">
        <is>
          <t>Good</t>
        </is>
      </c>
      <c r="N178" s="87" t="n">
        <v>25</v>
      </c>
      <c r="O178" s="87" t="n">
        <v>0</v>
      </c>
      <c r="P178" s="87" t="n">
        <v>0</v>
      </c>
      <c r="Q178" s="87" t="n">
        <v>0</v>
      </c>
      <c r="R178" s="87" t="n">
        <v>0</v>
      </c>
      <c r="S178" s="47" t="n">
        <v>3</v>
      </c>
      <c r="T178" s="47" t="n">
        <v>61.9</v>
      </c>
      <c r="U178" s="47" t="n"/>
      <c r="V178" s="87" t="n">
        <v>0</v>
      </c>
      <c r="W178" s="87" t="n">
        <v>0</v>
      </c>
      <c r="Y178" t="inlineStr">
        <is>
          <t>Jun</t>
        </is>
      </c>
      <c r="Z178" s="87" t="n">
        <v>2024</v>
      </c>
      <c r="AA178" s="47">
        <f>IF(F178="",0,F178)</f>
        <v/>
      </c>
      <c r="AB178" s="87">
        <f>IF(AA178&gt;=0.1,1,0)</f>
        <v/>
      </c>
      <c r="AC178" s="87" t="n">
        <v>0</v>
      </c>
      <c r="AD178" s="47">
        <f>IF(U178="",0,U178)</f>
        <v/>
      </c>
      <c r="AE178" s="87">
        <f>IF(OR(V178=1,W178=1),1,0)</f>
        <v/>
      </c>
      <c r="AF178" s="87" t="n">
        <v>0</v>
      </c>
      <c r="AG178" t="n">
        <v>11889</v>
      </c>
      <c r="AH178" t="n">
        <v>182352</v>
      </c>
      <c r="AI178" t="n">
        <v>0</v>
      </c>
      <c r="AJ178" s="88">
        <f>IF(OR(AG178&lt;=0,AH178&lt;=0),"",LN(AG178)-LN(AH178))</f>
        <v/>
      </c>
      <c r="AK178" t="n">
        <v>30540</v>
      </c>
      <c r="AL178" t="n">
        <v>163701</v>
      </c>
      <c r="AM178" s="88">
        <f>IF(OR(AK178&lt;=0,AL178&lt;=0),"",LN(AK178)-LN(AL178))</f>
        <v/>
      </c>
      <c r="AN178" t="n">
        <v>11524</v>
      </c>
      <c r="AO178" t="n">
        <v>176253</v>
      </c>
      <c r="AP178" s="88">
        <f>IF(OR(AN178&lt;=0,AO178&lt;=0),"",LN(AN178)-LN(AO178))</f>
        <v/>
      </c>
      <c r="AQ178" t="n">
        <v>11547</v>
      </c>
      <c r="AR178" t="n">
        <v>182352</v>
      </c>
      <c r="AS178" s="88">
        <f>IF(OR(AQ178&lt;=0,AR178&lt;=0),"",LN(AQ178)-LN(AR178))</f>
        <v/>
      </c>
      <c r="AT178" t="n">
        <v>12136</v>
      </c>
      <c r="AU178" t="n">
        <v>181032</v>
      </c>
      <c r="AV178" t="n">
        <v>1076</v>
      </c>
      <c r="AW178" t="n">
        <v>1269</v>
      </c>
      <c r="AX178" t="n">
        <v>10548</v>
      </c>
      <c r="AY178" s="88">
        <f>IF(OR(AT178&lt;=0,AU178&lt;=0),"",LN(AT178)-LN(AU178))</f>
        <v/>
      </c>
      <c r="AZ178" s="46" t="n">
        <v>10.7</v>
      </c>
      <c r="BA178" s="46" t="n">
        <v>25.24</v>
      </c>
      <c r="BB178" s="47" t="n">
        <v>4.3</v>
      </c>
    </row>
    <row r="179">
      <c r="A179" s="48" t="n">
        <v>45469</v>
      </c>
      <c r="B179" s="49" t="n">
        <v>186825</v>
      </c>
      <c r="C179" s="50" t="n">
        <v>12.52</v>
      </c>
      <c r="D179" s="51" t="inlineStr">
        <is>
          <t>Good</t>
        </is>
      </c>
      <c r="E179" s="52" t="n">
        <v>24.9</v>
      </c>
      <c r="F179" s="52" t="n"/>
      <c r="G179" s="51" t="inlineStr">
        <is>
          <t>Wed</t>
        </is>
      </c>
      <c r="H179" s="51" t="inlineStr">
        <is>
          <t>Weekday</t>
        </is>
      </c>
      <c r="I179" s="51" t="inlineStr">
        <is>
          <t>Summer</t>
        </is>
      </c>
      <c r="J179" s="51" t="n">
        <v>25</v>
      </c>
      <c r="K179" s="51" t="inlineStr">
        <is>
          <t>강수량 공란</t>
        </is>
      </c>
      <c r="L179" s="46" t="n">
        <v>24</v>
      </c>
      <c r="M179" t="inlineStr">
        <is>
          <t>Good</t>
        </is>
      </c>
      <c r="N179" s="87" t="n">
        <v>25</v>
      </c>
      <c r="O179" s="87" t="n">
        <v>0</v>
      </c>
      <c r="P179" s="87" t="n">
        <v>0</v>
      </c>
      <c r="Q179" s="87" t="n">
        <v>0</v>
      </c>
      <c r="R179" s="87" t="n">
        <v>0</v>
      </c>
      <c r="S179" s="47" t="n">
        <v>1.9</v>
      </c>
      <c r="T179" s="47" t="n">
        <v>61</v>
      </c>
      <c r="U179" s="47" t="n"/>
      <c r="V179" s="87" t="n">
        <v>0</v>
      </c>
      <c r="W179" s="87" t="n">
        <v>0</v>
      </c>
      <c r="Y179" t="inlineStr">
        <is>
          <t>Jun</t>
        </is>
      </c>
      <c r="Z179" s="87" t="n">
        <v>2024</v>
      </c>
      <c r="AA179" s="47">
        <f>IF(F179="",0,F179)</f>
        <v/>
      </c>
      <c r="AB179" s="87">
        <f>IF(AA179&gt;=0.1,1,0)</f>
        <v/>
      </c>
      <c r="AC179" s="87" t="n">
        <v>0</v>
      </c>
      <c r="AD179" s="47">
        <f>IF(U179="",0,U179)</f>
        <v/>
      </c>
      <c r="AE179" s="87">
        <f>IF(OR(V179=1,W179=1),1,0)</f>
        <v/>
      </c>
      <c r="AF179" s="87" t="n">
        <v>0</v>
      </c>
      <c r="AG179" t="n">
        <v>10923</v>
      </c>
      <c r="AH179" t="n">
        <v>175902</v>
      </c>
      <c r="AI179" t="n">
        <v>0</v>
      </c>
      <c r="AJ179" s="88">
        <f>IF(OR(AG179&lt;=0,AH179&lt;=0),"",LN(AG179)-LN(AH179))</f>
        <v/>
      </c>
      <c r="AK179" t="n">
        <v>28273</v>
      </c>
      <c r="AL179" t="n">
        <v>158552</v>
      </c>
      <c r="AM179" s="88">
        <f>IF(OR(AK179&lt;=0,AL179&lt;=0),"",LN(AK179)-LN(AL179))</f>
        <v/>
      </c>
      <c r="AN179" t="n">
        <v>10576</v>
      </c>
      <c r="AO179" t="n">
        <v>169816</v>
      </c>
      <c r="AP179" s="88">
        <f>IF(OR(AN179&lt;=0,AO179&lt;=0),"",LN(AN179)-LN(AO179))</f>
        <v/>
      </c>
      <c r="AQ179" t="n">
        <v>10612</v>
      </c>
      <c r="AR179" t="n">
        <v>175902</v>
      </c>
      <c r="AS179" s="88">
        <f>IF(OR(AQ179&lt;=0,AR179&lt;=0),"",LN(AQ179)-LN(AR179))</f>
        <v/>
      </c>
      <c r="AT179" t="n">
        <v>11448</v>
      </c>
      <c r="AU179" t="n">
        <v>174374</v>
      </c>
      <c r="AV179" t="n">
        <v>1009</v>
      </c>
      <c r="AW179" t="n">
        <v>1101</v>
      </c>
      <c r="AX179" t="n">
        <v>9767</v>
      </c>
      <c r="AY179" s="88">
        <f>IF(OR(AT179&lt;=0,AU179&lt;=0),"",LN(AT179)-LN(AU179))</f>
        <v/>
      </c>
      <c r="AZ179" s="46" t="n">
        <v>12.3</v>
      </c>
      <c r="BA179" s="46" t="n">
        <v>27.64</v>
      </c>
      <c r="BB179" s="47" t="n">
        <v>1.3</v>
      </c>
    </row>
    <row r="180">
      <c r="A180" s="48" t="n">
        <v>45470</v>
      </c>
      <c r="B180" s="49" t="n">
        <v>184932</v>
      </c>
      <c r="C180" s="50" t="n">
        <v>16.56</v>
      </c>
      <c r="D180" s="51" t="inlineStr">
        <is>
          <t>Moderate</t>
        </is>
      </c>
      <c r="E180" s="52" t="n">
        <v>26.3</v>
      </c>
      <c r="F180" s="52" t="n"/>
      <c r="G180" s="51" t="inlineStr">
        <is>
          <t>Thu</t>
        </is>
      </c>
      <c r="H180" s="51" t="inlineStr">
        <is>
          <t>Weekday</t>
        </is>
      </c>
      <c r="I180" s="51" t="inlineStr">
        <is>
          <t>Summer</t>
        </is>
      </c>
      <c r="J180" s="51" t="n">
        <v>25</v>
      </c>
      <c r="K180" s="51" t="inlineStr">
        <is>
          <t>강수량 공란</t>
        </is>
      </c>
      <c r="L180" s="46" t="n">
        <v>30.2</v>
      </c>
      <c r="M180" t="inlineStr">
        <is>
          <t>Moderate</t>
        </is>
      </c>
      <c r="N180" s="87" t="n">
        <v>25</v>
      </c>
      <c r="O180" s="87" t="n">
        <v>0</v>
      </c>
      <c r="P180" s="87" t="n">
        <v>0</v>
      </c>
      <c r="Q180" s="87" t="n">
        <v>0</v>
      </c>
      <c r="R180" s="87" t="n">
        <v>0</v>
      </c>
      <c r="S180" s="47" t="n">
        <v>1.6</v>
      </c>
      <c r="T180" s="47" t="n">
        <v>55</v>
      </c>
      <c r="U180" s="47" t="n"/>
      <c r="V180" s="87" t="n">
        <v>0</v>
      </c>
      <c r="W180" s="87" t="n">
        <v>0</v>
      </c>
      <c r="Y180" t="inlineStr">
        <is>
          <t>Jun</t>
        </is>
      </c>
      <c r="Z180" s="87" t="n">
        <v>2024</v>
      </c>
      <c r="AA180" s="47">
        <f>IF(F180="",0,F180)</f>
        <v/>
      </c>
      <c r="AB180" s="87">
        <f>IF(AA180&gt;=0.1,1,0)</f>
        <v/>
      </c>
      <c r="AC180" s="87" t="n">
        <v>0</v>
      </c>
      <c r="AD180" s="47">
        <f>IF(U180="",0,U180)</f>
        <v/>
      </c>
      <c r="AE180" s="87">
        <f>IF(OR(V180=1,W180=1),1,0)</f>
        <v/>
      </c>
      <c r="AF180" s="87" t="n">
        <v>0</v>
      </c>
      <c r="AG180" t="n">
        <v>10635</v>
      </c>
      <c r="AH180" t="n">
        <v>174297</v>
      </c>
      <c r="AI180" t="n">
        <v>0</v>
      </c>
      <c r="AJ180" s="88">
        <f>IF(OR(AG180&lt;=0,AH180&lt;=0),"",LN(AG180)-LN(AH180))</f>
        <v/>
      </c>
      <c r="AK180" t="n">
        <v>28222</v>
      </c>
      <c r="AL180" t="n">
        <v>156710</v>
      </c>
      <c r="AM180" s="88">
        <f>IF(OR(AK180&lt;=0,AL180&lt;=0),"",LN(AK180)-LN(AL180))</f>
        <v/>
      </c>
      <c r="AN180" t="n">
        <v>10307</v>
      </c>
      <c r="AO180" t="n">
        <v>168459</v>
      </c>
      <c r="AP180" s="88">
        <f>IF(OR(AN180&lt;=0,AO180&lt;=0),"",LN(AN180)-LN(AO180))</f>
        <v/>
      </c>
      <c r="AQ180" t="n">
        <v>10337</v>
      </c>
      <c r="AR180" t="n">
        <v>174297</v>
      </c>
      <c r="AS180" s="88">
        <f>IF(OR(AQ180&lt;=0,AR180&lt;=0),"",LN(AQ180)-LN(AR180))</f>
        <v/>
      </c>
      <c r="AT180" t="n">
        <v>11257</v>
      </c>
      <c r="AU180" t="n">
        <v>172720</v>
      </c>
      <c r="AV180" t="n">
        <v>960</v>
      </c>
      <c r="AW180" t="n">
        <v>1083</v>
      </c>
      <c r="AX180" t="n">
        <v>9491</v>
      </c>
      <c r="AY180" s="88">
        <f>IF(OR(AT180&lt;=0,AU180&lt;=0),"",LN(AT180)-LN(AU180))</f>
        <v/>
      </c>
      <c r="AZ180" s="46" t="n">
        <v>9.300000000000001</v>
      </c>
      <c r="BA180" s="46" t="n">
        <v>23.84</v>
      </c>
      <c r="BB180" s="47" t="n">
        <v>3</v>
      </c>
    </row>
    <row r="181">
      <c r="A181" s="48" t="n">
        <v>45471</v>
      </c>
      <c r="B181" s="49" t="n">
        <v>178132</v>
      </c>
      <c r="C181" s="50" t="n">
        <v>25.28</v>
      </c>
      <c r="D181" s="51" t="inlineStr">
        <is>
          <t>Moderate</t>
        </is>
      </c>
      <c r="E181" s="52" t="n">
        <v>26.6</v>
      </c>
      <c r="F181" s="52" t="n"/>
      <c r="G181" s="51" t="inlineStr">
        <is>
          <t>Fri</t>
        </is>
      </c>
      <c r="H181" s="51" t="inlineStr">
        <is>
          <t>Weekday</t>
        </is>
      </c>
      <c r="I181" s="51" t="inlineStr">
        <is>
          <t>Summer</t>
        </is>
      </c>
      <c r="J181" s="51" t="n">
        <v>25</v>
      </c>
      <c r="K181" s="51" t="inlineStr">
        <is>
          <t>강수량 공란</t>
        </is>
      </c>
      <c r="L181" s="46" t="n">
        <v>39.08</v>
      </c>
      <c r="M181" t="inlineStr">
        <is>
          <t>Moderate</t>
        </is>
      </c>
      <c r="N181" s="87" t="n">
        <v>25</v>
      </c>
      <c r="O181" s="87" t="n">
        <v>0</v>
      </c>
      <c r="P181" s="87" t="n">
        <v>0</v>
      </c>
      <c r="Q181" s="87" t="n">
        <v>0</v>
      </c>
      <c r="R181" s="87" t="n">
        <v>0</v>
      </c>
      <c r="S181" s="47" t="n">
        <v>2.1</v>
      </c>
      <c r="T181" s="47" t="n">
        <v>54.6</v>
      </c>
      <c r="U181" s="47" t="n"/>
      <c r="V181" s="87" t="n">
        <v>0</v>
      </c>
      <c r="W181" s="87" t="n">
        <v>0</v>
      </c>
      <c r="Y181" t="inlineStr">
        <is>
          <t>Jun</t>
        </is>
      </c>
      <c r="Z181" s="87" t="n">
        <v>2024</v>
      </c>
      <c r="AA181" s="47">
        <f>IF(F181="",0,F181)</f>
        <v/>
      </c>
      <c r="AB181" s="87">
        <f>IF(AA181&gt;=0.1,1,0)</f>
        <v/>
      </c>
      <c r="AC181" s="87" t="n">
        <v>0</v>
      </c>
      <c r="AD181" s="47">
        <f>IF(U181="",0,U181)</f>
        <v/>
      </c>
      <c r="AE181" s="87">
        <f>IF(OR(V181=1,W181=1),1,0)</f>
        <v/>
      </c>
      <c r="AF181" s="87" t="n">
        <v>0</v>
      </c>
      <c r="AG181" t="n">
        <v>10568</v>
      </c>
      <c r="AH181" t="n">
        <v>167564</v>
      </c>
      <c r="AI181" t="n">
        <v>0</v>
      </c>
      <c r="AJ181" s="88">
        <f>IF(OR(AG181&lt;=0,AH181&lt;=0),"",LN(AG181)-LN(AH181))</f>
        <v/>
      </c>
      <c r="AK181" t="n">
        <v>27435</v>
      </c>
      <c r="AL181" t="n">
        <v>150697</v>
      </c>
      <c r="AM181" s="88">
        <f>IF(OR(AK181&lt;=0,AL181&lt;=0),"",LN(AK181)-LN(AL181))</f>
        <v/>
      </c>
      <c r="AN181" t="n">
        <v>10213</v>
      </c>
      <c r="AO181" t="n">
        <v>161938</v>
      </c>
      <c r="AP181" s="88">
        <f>IF(OR(AN181&lt;=0,AO181&lt;=0),"",LN(AN181)-LN(AO181))</f>
        <v/>
      </c>
      <c r="AQ181" t="n">
        <v>10250</v>
      </c>
      <c r="AR181" t="n">
        <v>167564</v>
      </c>
      <c r="AS181" s="88">
        <f>IF(OR(AQ181&lt;=0,AR181&lt;=0),"",LN(AQ181)-LN(AR181))</f>
        <v/>
      </c>
      <c r="AT181" t="n">
        <v>10961</v>
      </c>
      <c r="AU181" t="n">
        <v>165960</v>
      </c>
      <c r="AV181" t="n">
        <v>1220</v>
      </c>
      <c r="AW181" t="n">
        <v>1101</v>
      </c>
      <c r="AX181" t="n">
        <v>9377</v>
      </c>
      <c r="AY181" s="88">
        <f>IF(OR(AT181&lt;=0,AU181&lt;=0),"",LN(AT181)-LN(AU181))</f>
        <v/>
      </c>
      <c r="AZ181" s="46" t="n">
        <v>13.2</v>
      </c>
      <c r="BA181" s="46" t="n">
        <v>28.84</v>
      </c>
      <c r="BB181" s="47" t="n">
        <v>2</v>
      </c>
    </row>
    <row r="182">
      <c r="A182" s="48" t="n">
        <v>45472</v>
      </c>
      <c r="B182" s="49" t="n">
        <v>99995</v>
      </c>
      <c r="C182" s="50" t="n">
        <v>19.76</v>
      </c>
      <c r="D182" s="51" t="inlineStr">
        <is>
          <t>Moderate</t>
        </is>
      </c>
      <c r="E182" s="52" t="n">
        <v>26.7</v>
      </c>
      <c r="F182" s="52" t="n">
        <v>38.3</v>
      </c>
      <c r="G182" s="51" t="inlineStr">
        <is>
          <t>Sat</t>
        </is>
      </c>
      <c r="H182" s="51" t="inlineStr">
        <is>
          <t>Weekend</t>
        </is>
      </c>
      <c r="I182" s="51" t="inlineStr">
        <is>
          <t>Summer</t>
        </is>
      </c>
      <c r="J182" s="51" t="n">
        <v>25</v>
      </c>
      <c r="K182" s="51" t="inlineStr">
        <is>
          <t>OK</t>
        </is>
      </c>
      <c r="L182" s="46" t="n">
        <v>28.88</v>
      </c>
      <c r="M182" t="inlineStr">
        <is>
          <t>Good</t>
        </is>
      </c>
      <c r="N182" s="87" t="n">
        <v>25</v>
      </c>
      <c r="O182" s="87" t="n">
        <v>0</v>
      </c>
      <c r="P182" s="87" t="n">
        <v>0</v>
      </c>
      <c r="Q182" s="87" t="n">
        <v>0</v>
      </c>
      <c r="R182" s="87" t="n">
        <v>0</v>
      </c>
      <c r="S182" s="47" t="n">
        <v>2.2</v>
      </c>
      <c r="T182" s="47" t="n">
        <v>65.09999999999999</v>
      </c>
      <c r="U182" s="47" t="n"/>
      <c r="V182" s="87" t="n">
        <v>1</v>
      </c>
      <c r="W182" s="87" t="n">
        <v>0</v>
      </c>
      <c r="Y182" t="inlineStr">
        <is>
          <t>Jun</t>
        </is>
      </c>
      <c r="Z182" s="87" t="n">
        <v>2024</v>
      </c>
      <c r="AA182" s="47">
        <f>IF(F182="",0,F182)</f>
        <v/>
      </c>
      <c r="AB182" s="87">
        <f>IF(AA182&gt;=0.1,1,0)</f>
        <v/>
      </c>
      <c r="AC182" s="87" t="n">
        <v>0</v>
      </c>
      <c r="AD182" s="47">
        <f>IF(U182="",0,U182)</f>
        <v/>
      </c>
      <c r="AE182" s="87">
        <f>IF(OR(V182=1,W182=1),1,0)</f>
        <v/>
      </c>
      <c r="AF182" s="87" t="n">
        <v>0</v>
      </c>
      <c r="AG182" t="n">
        <v>6142</v>
      </c>
      <c r="AH182" t="n">
        <v>93853</v>
      </c>
      <c r="AI182" t="n">
        <v>0</v>
      </c>
      <c r="AJ182" s="88">
        <f>IF(OR(AG182&lt;=0,AH182&lt;=0),"",LN(AG182)-LN(AH182))</f>
        <v/>
      </c>
      <c r="AK182" t="n">
        <v>15385</v>
      </c>
      <c r="AL182" t="n">
        <v>84610</v>
      </c>
      <c r="AM182" s="88">
        <f>IF(OR(AK182&lt;=0,AL182&lt;=0),"",LN(AK182)-LN(AL182))</f>
        <v/>
      </c>
      <c r="AN182" t="n">
        <v>5973</v>
      </c>
      <c r="AO182" t="n">
        <v>90754</v>
      </c>
      <c r="AP182" s="88">
        <f>IF(OR(AN182&lt;=0,AO182&lt;=0),"",LN(AN182)-LN(AO182))</f>
        <v/>
      </c>
      <c r="AQ182" t="n">
        <v>5969</v>
      </c>
      <c r="AR182" t="n">
        <v>93853</v>
      </c>
      <c r="AS182" s="88">
        <f>IF(OR(AQ182&lt;=0,AR182&lt;=0),"",LN(AQ182)-LN(AR182))</f>
        <v/>
      </c>
      <c r="AT182" t="n">
        <v>8412</v>
      </c>
      <c r="AU182" t="n">
        <v>91039</v>
      </c>
      <c r="AV182" t="n">
        <v>546</v>
      </c>
      <c r="AW182" t="n">
        <v>802</v>
      </c>
      <c r="AX182" t="n">
        <v>5301</v>
      </c>
      <c r="AY182" s="88">
        <f>IF(OR(AT182&lt;=0,AU182&lt;=0),"",LN(AT182)-LN(AU182))</f>
        <v/>
      </c>
      <c r="AZ182" s="46" t="n">
        <v>6.9</v>
      </c>
      <c r="BA182" s="46" t="n">
        <v>20.46</v>
      </c>
      <c r="BB182" s="47" t="n">
        <v>6.6</v>
      </c>
    </row>
    <row r="183">
      <c r="A183" s="48" t="n">
        <v>45473</v>
      </c>
      <c r="B183" s="49" t="n">
        <v>95578</v>
      </c>
      <c r="C183" s="50" t="n">
        <v>12</v>
      </c>
      <c r="D183" s="51" t="inlineStr">
        <is>
          <t>Good</t>
        </is>
      </c>
      <c r="E183" s="52" t="n">
        <v>23.5</v>
      </c>
      <c r="F183" s="52" t="n">
        <v>32.2</v>
      </c>
      <c r="G183" s="51" t="inlineStr">
        <is>
          <t>Sun</t>
        </is>
      </c>
      <c r="H183" s="51" t="inlineStr">
        <is>
          <t>Weekend</t>
        </is>
      </c>
      <c r="I183" s="51" t="inlineStr">
        <is>
          <t>Summer</t>
        </is>
      </c>
      <c r="J183" s="51" t="n">
        <v>25</v>
      </c>
      <c r="K183" s="51" t="inlineStr">
        <is>
          <t>OK</t>
        </is>
      </c>
      <c r="L183" s="46" t="n">
        <v>19.56</v>
      </c>
      <c r="M183" t="inlineStr">
        <is>
          <t>Good</t>
        </is>
      </c>
      <c r="N183" s="87" t="n">
        <v>25</v>
      </c>
      <c r="O183" s="87" t="n">
        <v>0</v>
      </c>
      <c r="P183" s="87" t="n">
        <v>0</v>
      </c>
      <c r="Q183" s="87" t="n">
        <v>0</v>
      </c>
      <c r="R183" s="87" t="n">
        <v>0</v>
      </c>
      <c r="S183" s="47" t="n">
        <v>3.7</v>
      </c>
      <c r="T183" s="47" t="n">
        <v>88.5</v>
      </c>
      <c r="U183" s="47" t="n"/>
      <c r="V183" s="87" t="n">
        <v>1</v>
      </c>
      <c r="W183" s="87" t="n">
        <v>0</v>
      </c>
      <c r="Y183" t="inlineStr">
        <is>
          <t>Jun</t>
        </is>
      </c>
      <c r="Z183" s="87" t="n">
        <v>2024</v>
      </c>
      <c r="AA183" s="47">
        <f>IF(F183="",0,F183)</f>
        <v/>
      </c>
      <c r="AB183" s="87">
        <f>IF(AA183&gt;=0.1,1,0)</f>
        <v/>
      </c>
      <c r="AC183" s="87" t="n">
        <v>0</v>
      </c>
      <c r="AD183" s="47">
        <f>IF(U183="",0,U183)</f>
        <v/>
      </c>
      <c r="AE183" s="87">
        <f>IF(OR(V183=1,W183=1),1,0)</f>
        <v/>
      </c>
      <c r="AF183" s="87" t="n">
        <v>0</v>
      </c>
      <c r="AG183" t="n">
        <v>7288</v>
      </c>
      <c r="AH183" t="n">
        <v>88290</v>
      </c>
      <c r="AI183" t="n">
        <v>0</v>
      </c>
      <c r="AJ183" s="88">
        <f>IF(OR(AG183&lt;=0,AH183&lt;=0),"",LN(AG183)-LN(AH183))</f>
        <v/>
      </c>
      <c r="AK183" t="n">
        <v>16873</v>
      </c>
      <c r="AL183" t="n">
        <v>78705</v>
      </c>
      <c r="AM183" s="88">
        <f>IF(OR(AK183&lt;=0,AL183&lt;=0),"",LN(AK183)-LN(AL183))</f>
        <v/>
      </c>
      <c r="AN183" t="n">
        <v>7027</v>
      </c>
      <c r="AO183" t="n">
        <v>85528</v>
      </c>
      <c r="AP183" s="88">
        <f>IF(OR(AN183&lt;=0,AO183&lt;=0),"",LN(AN183)-LN(AO183))</f>
        <v/>
      </c>
      <c r="AQ183" t="n">
        <v>7091</v>
      </c>
      <c r="AR183" t="n">
        <v>88290</v>
      </c>
      <c r="AS183" s="88">
        <f>IF(OR(AQ183&lt;=0,AR183&lt;=0),"",LN(AQ183)-LN(AR183))</f>
        <v/>
      </c>
      <c r="AT183" t="n">
        <v>10190</v>
      </c>
      <c r="AU183" t="n">
        <v>84848</v>
      </c>
      <c r="AV183" t="n">
        <v>540</v>
      </c>
      <c r="AW183" t="n">
        <v>1222</v>
      </c>
      <c r="AX183" t="n">
        <v>6027</v>
      </c>
      <c r="AY183" s="88">
        <f>IF(OR(AT183&lt;=0,AU183&lt;=0),"",LN(AT183)-LN(AU183))</f>
        <v/>
      </c>
      <c r="AZ183" s="46" t="n">
        <v>0</v>
      </c>
      <c r="BA183" s="46" t="n">
        <v>3.89</v>
      </c>
      <c r="BB183" s="47" t="n">
        <v>8.5</v>
      </c>
    </row>
    <row r="184">
      <c r="A184" s="48" t="n">
        <v>45474</v>
      </c>
      <c r="B184" s="49" t="n">
        <v>182407</v>
      </c>
      <c r="C184" s="50" t="n">
        <v>15.52</v>
      </c>
      <c r="D184" s="51" t="inlineStr">
        <is>
          <t>Moderate</t>
        </is>
      </c>
      <c r="E184" s="52" t="n">
        <v>26.3</v>
      </c>
      <c r="F184" s="52" t="n"/>
      <c r="G184" s="51" t="inlineStr">
        <is>
          <t>Mon</t>
        </is>
      </c>
      <c r="H184" s="51" t="inlineStr">
        <is>
          <t>Weekday</t>
        </is>
      </c>
      <c r="I184" s="51" t="inlineStr">
        <is>
          <t>Summer</t>
        </is>
      </c>
      <c r="J184" s="51" t="n">
        <v>25</v>
      </c>
      <c r="K184" s="51" t="inlineStr">
        <is>
          <t>강수량 공란</t>
        </is>
      </c>
      <c r="L184" s="46" t="n">
        <v>26.08</v>
      </c>
      <c r="M184" t="inlineStr">
        <is>
          <t>Good</t>
        </is>
      </c>
      <c r="N184" s="87" t="n">
        <v>25</v>
      </c>
      <c r="O184" s="87" t="n">
        <v>0</v>
      </c>
      <c r="P184" s="87" t="n">
        <v>0</v>
      </c>
      <c r="Q184" s="87" t="n">
        <v>0</v>
      </c>
      <c r="R184" s="87" t="n">
        <v>0</v>
      </c>
      <c r="S184" s="47" t="n">
        <v>1.8</v>
      </c>
      <c r="T184" s="47" t="n">
        <v>69.09999999999999</v>
      </c>
      <c r="U184" s="47" t="n"/>
      <c r="V184" s="87" t="n">
        <v>0</v>
      </c>
      <c r="W184" s="87" t="n">
        <v>0</v>
      </c>
      <c r="Y184" t="inlineStr">
        <is>
          <t>Jul</t>
        </is>
      </c>
      <c r="Z184" s="87" t="n">
        <v>2024</v>
      </c>
      <c r="AA184" s="47">
        <f>IF(F184="",0,F184)</f>
        <v/>
      </c>
      <c r="AB184" s="87">
        <f>IF(AA184&gt;=0.1,1,0)</f>
        <v/>
      </c>
      <c r="AC184" s="87" t="n">
        <v>0</v>
      </c>
      <c r="AD184" s="47">
        <f>IF(U184="",0,U184)</f>
        <v/>
      </c>
      <c r="AE184" s="87">
        <f>IF(OR(V184=1,W184=1),1,0)</f>
        <v/>
      </c>
      <c r="AF184" s="87" t="n">
        <v>0</v>
      </c>
      <c r="AG184" t="n">
        <v>10323</v>
      </c>
      <c r="AH184" t="n">
        <v>172084</v>
      </c>
      <c r="AI184" t="n">
        <v>0</v>
      </c>
      <c r="AJ184" s="88">
        <f>IF(OR(AG184&lt;=0,AH184&lt;=0),"",LN(AG184)-LN(AH184))</f>
        <v/>
      </c>
      <c r="AK184" t="n">
        <v>27566</v>
      </c>
      <c r="AL184" t="n">
        <v>154841</v>
      </c>
      <c r="AM184" s="88">
        <f>IF(OR(AK184&lt;=0,AL184&lt;=0),"",LN(AK184)-LN(AL184))</f>
        <v/>
      </c>
      <c r="AN184" t="n">
        <v>10007</v>
      </c>
      <c r="AO184" t="n">
        <v>166148</v>
      </c>
      <c r="AP184" s="88">
        <f>IF(OR(AN184&lt;=0,AO184&lt;=0),"",LN(AN184)-LN(AO184))</f>
        <v/>
      </c>
      <c r="AQ184" t="n">
        <v>10048</v>
      </c>
      <c r="AR184" t="n">
        <v>172084</v>
      </c>
      <c r="AS184" s="88">
        <f>IF(OR(AQ184&lt;=0,AR184&lt;=0),"",LN(AQ184)-LN(AR184))</f>
        <v/>
      </c>
      <c r="AT184" t="n">
        <v>11788</v>
      </c>
      <c r="AU184" t="n">
        <v>169740</v>
      </c>
      <c r="AV184" t="n">
        <v>879</v>
      </c>
      <c r="AW184" t="n">
        <v>1041</v>
      </c>
      <c r="AX184" t="n">
        <v>9223</v>
      </c>
      <c r="AY184" s="88">
        <f>IF(OR(AT184&lt;=0,AU184&lt;=0),"",LN(AT184)-LN(AU184))</f>
        <v/>
      </c>
      <c r="AZ184" s="46" t="n">
        <v>8.300000000000001</v>
      </c>
      <c r="BA184" s="46" t="n">
        <v>24.69</v>
      </c>
      <c r="BB184" s="47" t="n">
        <v>5.5</v>
      </c>
    </row>
    <row r="185">
      <c r="A185" s="48" t="n">
        <v>45475</v>
      </c>
      <c r="B185" s="49" t="n">
        <v>39423</v>
      </c>
      <c r="C185" s="50" t="n">
        <v>9.76</v>
      </c>
      <c r="D185" s="51" t="inlineStr">
        <is>
          <t>Good</t>
        </is>
      </c>
      <c r="E185" s="52" t="n">
        <v>23.2</v>
      </c>
      <c r="F185" s="52" t="n">
        <v>65.09999999999999</v>
      </c>
      <c r="G185" s="51" t="inlineStr">
        <is>
          <t>Tue</t>
        </is>
      </c>
      <c r="H185" s="51" t="inlineStr">
        <is>
          <t>Weekday</t>
        </is>
      </c>
      <c r="I185" s="51" t="inlineStr">
        <is>
          <t>Summer</t>
        </is>
      </c>
      <c r="J185" s="51" t="n">
        <v>25</v>
      </c>
      <c r="K185" s="51" t="inlineStr">
        <is>
          <t>OK</t>
        </is>
      </c>
      <c r="L185" s="46" t="n">
        <v>17.04</v>
      </c>
      <c r="M185" t="inlineStr">
        <is>
          <t>Good</t>
        </is>
      </c>
      <c r="N185" s="87" t="n">
        <v>25</v>
      </c>
      <c r="O185" s="87" t="n">
        <v>0</v>
      </c>
      <c r="P185" s="87" t="n">
        <v>0</v>
      </c>
      <c r="Q185" s="87" t="n">
        <v>0</v>
      </c>
      <c r="R185" s="87" t="n">
        <v>0</v>
      </c>
      <c r="S185" s="47" t="n">
        <v>2.8</v>
      </c>
      <c r="T185" s="47" t="n">
        <v>90</v>
      </c>
      <c r="U185" s="47" t="n"/>
      <c r="V185" s="87" t="n">
        <v>0</v>
      </c>
      <c r="W185" s="87" t="n">
        <v>0</v>
      </c>
      <c r="Y185" t="inlineStr">
        <is>
          <t>Jul</t>
        </is>
      </c>
      <c r="Z185" s="87" t="n">
        <v>2024</v>
      </c>
      <c r="AA185" s="47">
        <f>IF(F185="",0,F185)</f>
        <v/>
      </c>
      <c r="AB185" s="87">
        <f>IF(AA185&gt;=0.1,1,0)</f>
        <v/>
      </c>
      <c r="AC185" s="87" t="n">
        <v>0</v>
      </c>
      <c r="AD185" s="47">
        <f>IF(U185="",0,U185)</f>
        <v/>
      </c>
      <c r="AE185" s="87">
        <f>IF(OR(V185=1,W185=1),1,0)</f>
        <v/>
      </c>
      <c r="AF185" s="87" t="n">
        <v>0</v>
      </c>
      <c r="AG185" t="n">
        <v>1918</v>
      </c>
      <c r="AH185" t="n">
        <v>37505</v>
      </c>
      <c r="AI185" t="n">
        <v>0</v>
      </c>
      <c r="AJ185" s="88">
        <f>IF(OR(AG185&lt;=0,AH185&lt;=0),"",LN(AG185)-LN(AH185))</f>
        <v/>
      </c>
      <c r="AK185" t="n">
        <v>5371</v>
      </c>
      <c r="AL185" t="n">
        <v>34052</v>
      </c>
      <c r="AM185" s="88">
        <f>IF(OR(AK185&lt;=0,AL185&lt;=0),"",LN(AK185)-LN(AL185))</f>
        <v/>
      </c>
      <c r="AN185" t="n">
        <v>1873</v>
      </c>
      <c r="AO185" t="n">
        <v>36099</v>
      </c>
      <c r="AP185" s="88">
        <f>IF(OR(AN185&lt;=0,AO185&lt;=0),"",LN(AN185)-LN(AO185))</f>
        <v/>
      </c>
      <c r="AQ185" t="n">
        <v>1859</v>
      </c>
      <c r="AR185" t="n">
        <v>37505</v>
      </c>
      <c r="AS185" s="88">
        <f>IF(OR(AQ185&lt;=0,AR185&lt;=0),"",LN(AQ185)-LN(AR185))</f>
        <v/>
      </c>
      <c r="AT185" t="n">
        <v>2157</v>
      </c>
      <c r="AU185" t="n">
        <v>37032</v>
      </c>
      <c r="AV185" t="n">
        <v>234</v>
      </c>
      <c r="AW185" t="n">
        <v>138</v>
      </c>
      <c r="AX185" t="n">
        <v>1766</v>
      </c>
      <c r="AY185" s="88">
        <f>IF(OR(AT185&lt;=0,AU185&lt;=0),"",LN(AT185)-LN(AU185))</f>
        <v/>
      </c>
      <c r="AZ185" s="46" t="n">
        <v>0</v>
      </c>
      <c r="BA185" s="46" t="n">
        <v>1.93</v>
      </c>
      <c r="BB185" s="47" t="n">
        <v>9.9</v>
      </c>
    </row>
    <row r="186">
      <c r="A186" s="48" t="n">
        <v>45476</v>
      </c>
      <c r="B186" s="49" t="n">
        <v>164914</v>
      </c>
      <c r="C186" s="50" t="n">
        <v>15.84</v>
      </c>
      <c r="D186" s="51" t="inlineStr">
        <is>
          <t>Moderate</t>
        </is>
      </c>
      <c r="E186" s="52" t="n">
        <v>24.7</v>
      </c>
      <c r="F186" s="52" t="n">
        <v>0.8</v>
      </c>
      <c r="G186" s="51" t="inlineStr">
        <is>
          <t>Wed</t>
        </is>
      </c>
      <c r="H186" s="51" t="inlineStr">
        <is>
          <t>Weekday</t>
        </is>
      </c>
      <c r="I186" s="51" t="inlineStr">
        <is>
          <t>Summer</t>
        </is>
      </c>
      <c r="J186" s="51" t="n">
        <v>25</v>
      </c>
      <c r="K186" s="51" t="inlineStr">
        <is>
          <t>OK</t>
        </is>
      </c>
      <c r="L186" s="46" t="n">
        <v>26.6</v>
      </c>
      <c r="M186" t="inlineStr">
        <is>
          <t>Good</t>
        </is>
      </c>
      <c r="N186" s="87" t="n">
        <v>25</v>
      </c>
      <c r="O186" s="87" t="n">
        <v>0</v>
      </c>
      <c r="P186" s="87" t="n">
        <v>0</v>
      </c>
      <c r="Q186" s="87" t="n">
        <v>0</v>
      </c>
      <c r="R186" s="87" t="n">
        <v>0</v>
      </c>
      <c r="S186" s="47" t="n">
        <v>3.6</v>
      </c>
      <c r="T186" s="47" t="n">
        <v>80.3</v>
      </c>
      <c r="U186" s="47" t="n"/>
      <c r="V186" s="87" t="n">
        <v>0</v>
      </c>
      <c r="W186" s="87" t="n">
        <v>0</v>
      </c>
      <c r="Y186" t="inlineStr">
        <is>
          <t>Jul</t>
        </is>
      </c>
      <c r="Z186" s="87" t="n">
        <v>2024</v>
      </c>
      <c r="AA186" s="47">
        <f>IF(F186="",0,F186)</f>
        <v/>
      </c>
      <c r="AB186" s="87">
        <f>IF(AA186&gt;=0.1,1,0)</f>
        <v/>
      </c>
      <c r="AC186" s="87" t="n">
        <v>0</v>
      </c>
      <c r="AD186" s="47">
        <f>IF(U186="",0,U186)</f>
        <v/>
      </c>
      <c r="AE186" s="87">
        <f>IF(OR(V186=1,W186=1),1,0)</f>
        <v/>
      </c>
      <c r="AF186" s="87" t="n">
        <v>0</v>
      </c>
      <c r="AG186" t="n">
        <v>9212</v>
      </c>
      <c r="AH186" t="n">
        <v>155702</v>
      </c>
      <c r="AI186" t="n">
        <v>0</v>
      </c>
      <c r="AJ186" s="88">
        <f>IF(OR(AG186&lt;=0,AH186&lt;=0),"",LN(AG186)-LN(AH186))</f>
        <v/>
      </c>
      <c r="AK186" t="n">
        <v>24528</v>
      </c>
      <c r="AL186" t="n">
        <v>140386</v>
      </c>
      <c r="AM186" s="88">
        <f>IF(OR(AK186&lt;=0,AL186&lt;=0),"",LN(AK186)-LN(AL186))</f>
        <v/>
      </c>
      <c r="AN186" t="n">
        <v>8932</v>
      </c>
      <c r="AO186" t="n">
        <v>150358</v>
      </c>
      <c r="AP186" s="88">
        <f>IF(OR(AN186&lt;=0,AO186&lt;=0),"",LN(AN186)-LN(AO186))</f>
        <v/>
      </c>
      <c r="AQ186" t="n">
        <v>8928</v>
      </c>
      <c r="AR186" t="n">
        <v>155702</v>
      </c>
      <c r="AS186" s="88">
        <f>IF(OR(AQ186&lt;=0,AR186&lt;=0),"",LN(AQ186)-LN(AR186))</f>
        <v/>
      </c>
      <c r="AT186" t="n">
        <v>10658</v>
      </c>
      <c r="AU186" t="n">
        <v>153390</v>
      </c>
      <c r="AV186" t="n">
        <v>869</v>
      </c>
      <c r="AW186" t="n">
        <v>978</v>
      </c>
      <c r="AX186" t="n">
        <v>8179</v>
      </c>
      <c r="AY186" s="88">
        <f>IF(OR(AT186&lt;=0,AU186&lt;=0),"",LN(AT186)-LN(AU186))</f>
        <v/>
      </c>
      <c r="AZ186" s="46" t="n">
        <v>0.6</v>
      </c>
      <c r="BA186" s="46" t="n">
        <v>8.91</v>
      </c>
      <c r="BB186" s="47" t="n">
        <v>9</v>
      </c>
    </row>
    <row r="187">
      <c r="A187" s="48" t="n">
        <v>45477</v>
      </c>
      <c r="B187" s="49" t="n">
        <v>158332</v>
      </c>
      <c r="C187" s="50" t="n">
        <v>29.56</v>
      </c>
      <c r="D187" s="51" t="inlineStr">
        <is>
          <t>Moderate</t>
        </is>
      </c>
      <c r="E187" s="52" t="n">
        <v>26.8</v>
      </c>
      <c r="F187" s="52" t="n">
        <v>3.6</v>
      </c>
      <c r="G187" s="51" t="inlineStr">
        <is>
          <t>Thu</t>
        </is>
      </c>
      <c r="H187" s="51" t="inlineStr">
        <is>
          <t>Weekday</t>
        </is>
      </c>
      <c r="I187" s="51" t="inlineStr">
        <is>
          <t>Summer</t>
        </is>
      </c>
      <c r="J187" s="51" t="n">
        <v>25</v>
      </c>
      <c r="K187" s="51" t="inlineStr">
        <is>
          <t>OK</t>
        </is>
      </c>
      <c r="L187" s="46" t="n">
        <v>37.68</v>
      </c>
      <c r="M187" t="inlineStr">
        <is>
          <t>Moderate</t>
        </is>
      </c>
      <c r="N187" s="87" t="n">
        <v>25</v>
      </c>
      <c r="O187" s="87" t="n">
        <v>0</v>
      </c>
      <c r="P187" s="87" t="n">
        <v>0</v>
      </c>
      <c r="Q187" s="87" t="n">
        <v>0</v>
      </c>
      <c r="R187" s="87" t="n">
        <v>0</v>
      </c>
      <c r="S187" s="47" t="n">
        <v>3</v>
      </c>
      <c r="T187" s="47" t="n">
        <v>74.8</v>
      </c>
      <c r="U187" s="47" t="n"/>
      <c r="V187" s="87" t="n">
        <v>0</v>
      </c>
      <c r="W187" s="87" t="n">
        <v>0</v>
      </c>
      <c r="Y187" t="inlineStr">
        <is>
          <t>Jul</t>
        </is>
      </c>
      <c r="Z187" s="87" t="n">
        <v>2024</v>
      </c>
      <c r="AA187" s="47">
        <f>IF(F187="",0,F187)</f>
        <v/>
      </c>
      <c r="AB187" s="87">
        <f>IF(AA187&gt;=0.1,1,0)</f>
        <v/>
      </c>
      <c r="AC187" s="87" t="n">
        <v>0</v>
      </c>
      <c r="AD187" s="47">
        <f>IF(U187="",0,U187)</f>
        <v/>
      </c>
      <c r="AE187" s="87">
        <f>IF(OR(V187=1,W187=1),1,0)</f>
        <v/>
      </c>
      <c r="AF187" s="87" t="n">
        <v>0</v>
      </c>
      <c r="AG187" t="n">
        <v>8241</v>
      </c>
      <c r="AH187" t="n">
        <v>150091</v>
      </c>
      <c r="AI187" t="n">
        <v>0</v>
      </c>
      <c r="AJ187" s="88">
        <f>IF(OR(AG187&lt;=0,AH187&lt;=0),"",LN(AG187)-LN(AH187))</f>
        <v/>
      </c>
      <c r="AK187" t="n">
        <v>22574</v>
      </c>
      <c r="AL187" t="n">
        <v>135758</v>
      </c>
      <c r="AM187" s="88">
        <f>IF(OR(AK187&lt;=0,AL187&lt;=0),"",LN(AK187)-LN(AL187))</f>
        <v/>
      </c>
      <c r="AN187" t="n">
        <v>8005</v>
      </c>
      <c r="AO187" t="n">
        <v>145006</v>
      </c>
      <c r="AP187" s="88">
        <f>IF(OR(AN187&lt;=0,AO187&lt;=0),"",LN(AN187)-LN(AO187))</f>
        <v/>
      </c>
      <c r="AQ187" t="n">
        <v>8022</v>
      </c>
      <c r="AR187" t="n">
        <v>150091</v>
      </c>
      <c r="AS187" s="88">
        <f>IF(OR(AQ187&lt;=0,AR187&lt;=0),"",LN(AQ187)-LN(AR187))</f>
        <v/>
      </c>
      <c r="AT187" t="n">
        <v>9504</v>
      </c>
      <c r="AU187" t="n">
        <v>147923</v>
      </c>
      <c r="AV187" t="n">
        <v>910</v>
      </c>
      <c r="AW187" t="n">
        <v>734</v>
      </c>
      <c r="AX187" t="n">
        <v>7451</v>
      </c>
      <c r="AY187" s="88">
        <f>IF(OR(AT187&lt;=0,AU187&lt;=0),"",LN(AT187)-LN(AU187))</f>
        <v/>
      </c>
      <c r="AZ187" s="46" t="n">
        <v>3.4</v>
      </c>
      <c r="BA187" s="46" t="n">
        <v>18.81</v>
      </c>
      <c r="BB187" s="47" t="n">
        <v>8.6</v>
      </c>
    </row>
    <row r="188">
      <c r="A188" s="48" t="n">
        <v>45478</v>
      </c>
      <c r="B188" s="49" t="n">
        <v>170990</v>
      </c>
      <c r="C188" s="50" t="n">
        <v>11.08</v>
      </c>
      <c r="D188" s="51" t="inlineStr">
        <is>
          <t>Good</t>
        </is>
      </c>
      <c r="E188" s="52" t="n">
        <v>23.4</v>
      </c>
      <c r="F188" s="52" t="n">
        <v>4.1</v>
      </c>
      <c r="G188" s="51" t="inlineStr">
        <is>
          <t>Fri</t>
        </is>
      </c>
      <c r="H188" s="51" t="inlineStr">
        <is>
          <t>Weekday</t>
        </is>
      </c>
      <c r="I188" s="51" t="inlineStr">
        <is>
          <t>Summer</t>
        </is>
      </c>
      <c r="J188" s="51" t="n">
        <v>25</v>
      </c>
      <c r="K188" s="51" t="inlineStr">
        <is>
          <t>OK</t>
        </is>
      </c>
      <c r="L188" s="46" t="n">
        <v>18.52</v>
      </c>
      <c r="M188" t="inlineStr">
        <is>
          <t>Good</t>
        </is>
      </c>
      <c r="N188" s="87" t="n">
        <v>25</v>
      </c>
      <c r="O188" s="87" t="n">
        <v>0</v>
      </c>
      <c r="P188" s="87" t="n">
        <v>0</v>
      </c>
      <c r="Q188" s="87" t="n">
        <v>0</v>
      </c>
      <c r="R188" s="87" t="n">
        <v>0</v>
      </c>
      <c r="S188" s="47" t="n">
        <v>3.3</v>
      </c>
      <c r="T188" s="47" t="n">
        <v>80.5</v>
      </c>
      <c r="U188" s="47" t="n"/>
      <c r="V188" s="87" t="n">
        <v>0</v>
      </c>
      <c r="W188" s="87" t="n">
        <v>0</v>
      </c>
      <c r="Y188" t="inlineStr">
        <is>
          <t>Jul</t>
        </is>
      </c>
      <c r="Z188" s="87" t="n">
        <v>2024</v>
      </c>
      <c r="AA188" s="47">
        <f>IF(F188="",0,F188)</f>
        <v/>
      </c>
      <c r="AB188" s="87">
        <f>IF(AA188&gt;=0.1,1,0)</f>
        <v/>
      </c>
      <c r="AC188" s="87" t="n">
        <v>0</v>
      </c>
      <c r="AD188" s="47">
        <f>IF(U188="",0,U188)</f>
        <v/>
      </c>
      <c r="AE188" s="87">
        <f>IF(OR(V188=1,W188=1),1,0)</f>
        <v/>
      </c>
      <c r="AF188" s="87" t="n">
        <v>0</v>
      </c>
      <c r="AG188" t="n">
        <v>10041</v>
      </c>
      <c r="AH188" t="n">
        <v>160949</v>
      </c>
      <c r="AI188" t="n">
        <v>0</v>
      </c>
      <c r="AJ188" s="88">
        <f>IF(OR(AG188&lt;=0,AH188&lt;=0),"",LN(AG188)-LN(AH188))</f>
        <v/>
      </c>
      <c r="AK188" t="n">
        <v>26036</v>
      </c>
      <c r="AL188" t="n">
        <v>144954</v>
      </c>
      <c r="AM188" s="88">
        <f>IF(OR(AK188&lt;=0,AL188&lt;=0),"",LN(AK188)-LN(AL188))</f>
        <v/>
      </c>
      <c r="AN188" t="n">
        <v>9720</v>
      </c>
      <c r="AO188" t="n">
        <v>155621</v>
      </c>
      <c r="AP188" s="88">
        <f>IF(OR(AN188&lt;=0,AO188&lt;=0),"",LN(AN188)-LN(AO188))</f>
        <v/>
      </c>
      <c r="AQ188" t="n">
        <v>9757</v>
      </c>
      <c r="AR188" t="n">
        <v>160949</v>
      </c>
      <c r="AS188" s="88">
        <f>IF(OR(AQ188&lt;=0,AR188&lt;=0),"",LN(AQ188)-LN(AR188))</f>
        <v/>
      </c>
      <c r="AT188" t="n">
        <v>11314</v>
      </c>
      <c r="AU188" t="n">
        <v>158714</v>
      </c>
      <c r="AV188" t="n">
        <v>965</v>
      </c>
      <c r="AW188" t="n">
        <v>1114</v>
      </c>
      <c r="AX188" t="n">
        <v>8862</v>
      </c>
      <c r="AY188" s="88">
        <f>IF(OR(AT188&lt;=0,AU188&lt;=0),"",LN(AT188)-LN(AU188))</f>
        <v/>
      </c>
      <c r="AZ188" s="46" t="n">
        <v>1.4</v>
      </c>
      <c r="BA188" s="46" t="n">
        <v>11.25</v>
      </c>
      <c r="BB188" s="47" t="n">
        <v>9.1</v>
      </c>
    </row>
    <row r="189">
      <c r="A189" s="48" t="n">
        <v>45479</v>
      </c>
      <c r="B189" s="49" t="n">
        <v>95365</v>
      </c>
      <c r="C189" s="50" t="n">
        <v>17</v>
      </c>
      <c r="D189" s="51" t="inlineStr">
        <is>
          <t>Moderate</t>
        </is>
      </c>
      <c r="E189" s="52" t="n">
        <v>25.1</v>
      </c>
      <c r="F189" s="52" t="n">
        <v>2.8</v>
      </c>
      <c r="G189" s="51" t="inlineStr">
        <is>
          <t>Sat</t>
        </is>
      </c>
      <c r="H189" s="51" t="inlineStr">
        <is>
          <t>Weekend</t>
        </is>
      </c>
      <c r="I189" s="51" t="inlineStr">
        <is>
          <t>Summer</t>
        </is>
      </c>
      <c r="J189" s="51" t="n">
        <v>25</v>
      </c>
      <c r="K189" s="51" t="inlineStr">
        <is>
          <t>OK</t>
        </is>
      </c>
      <c r="L189" s="46" t="n">
        <v>28.04</v>
      </c>
      <c r="M189" t="inlineStr">
        <is>
          <t>Good</t>
        </is>
      </c>
      <c r="N189" s="87" t="n">
        <v>25</v>
      </c>
      <c r="O189" s="87" t="n">
        <v>0</v>
      </c>
      <c r="P189" s="87" t="n">
        <v>0</v>
      </c>
      <c r="Q189" s="87" t="n">
        <v>0</v>
      </c>
      <c r="R189" s="87" t="n">
        <v>0</v>
      </c>
      <c r="S189" s="47" t="n">
        <v>3.2</v>
      </c>
      <c r="T189" s="47" t="n">
        <v>84.09999999999999</v>
      </c>
      <c r="U189" s="47" t="n"/>
      <c r="V189" s="87" t="n">
        <v>1</v>
      </c>
      <c r="W189" s="87" t="n">
        <v>0</v>
      </c>
      <c r="Y189" t="inlineStr">
        <is>
          <t>Jul</t>
        </is>
      </c>
      <c r="Z189" s="87" t="n">
        <v>2024</v>
      </c>
      <c r="AA189" s="47">
        <f>IF(F189="",0,F189)</f>
        <v/>
      </c>
      <c r="AB189" s="87">
        <f>IF(AA189&gt;=0.1,1,0)</f>
        <v/>
      </c>
      <c r="AC189" s="87" t="n">
        <v>0</v>
      </c>
      <c r="AD189" s="47">
        <f>IF(U189="",0,U189)</f>
        <v/>
      </c>
      <c r="AE189" s="87">
        <f>IF(OR(V189=1,W189=1),1,0)</f>
        <v/>
      </c>
      <c r="AF189" s="87" t="n">
        <v>0</v>
      </c>
      <c r="AG189" t="n">
        <v>5673</v>
      </c>
      <c r="AH189" t="n">
        <v>89692</v>
      </c>
      <c r="AI189" t="n">
        <v>0</v>
      </c>
      <c r="AJ189" s="88">
        <f>IF(OR(AG189&lt;=0,AH189&lt;=0),"",LN(AG189)-LN(AH189))</f>
        <v/>
      </c>
      <c r="AK189" t="n">
        <v>14288</v>
      </c>
      <c r="AL189" t="n">
        <v>81077</v>
      </c>
      <c r="AM189" s="88">
        <f>IF(OR(AK189&lt;=0,AL189&lt;=0),"",LN(AK189)-LN(AL189))</f>
        <v/>
      </c>
      <c r="AN189" t="n">
        <v>5509</v>
      </c>
      <c r="AO189" t="n">
        <v>86623</v>
      </c>
      <c r="AP189" s="88">
        <f>IF(OR(AN189&lt;=0,AO189&lt;=0),"",LN(AN189)-LN(AO189))</f>
        <v/>
      </c>
      <c r="AQ189" t="n">
        <v>5510</v>
      </c>
      <c r="AR189" t="n">
        <v>89692</v>
      </c>
      <c r="AS189" s="88">
        <f>IF(OR(AQ189&lt;=0,AR189&lt;=0),"",LN(AQ189)-LN(AR189))</f>
        <v/>
      </c>
      <c r="AT189" t="n">
        <v>7837</v>
      </c>
      <c r="AU189" t="n">
        <v>86966</v>
      </c>
      <c r="AV189" t="n">
        <v>560</v>
      </c>
      <c r="AW189" t="n">
        <v>721</v>
      </c>
      <c r="AX189" t="n">
        <v>4910</v>
      </c>
      <c r="AY189" s="88">
        <f>IF(OR(AT189&lt;=0,AU189&lt;=0),"",LN(AT189)-LN(AU189))</f>
        <v/>
      </c>
      <c r="AZ189" s="46" t="n">
        <v>0.1</v>
      </c>
      <c r="BA189" s="46" t="n">
        <v>6.84</v>
      </c>
      <c r="BB189" s="47" t="n">
        <v>9.800000000000001</v>
      </c>
    </row>
    <row r="190">
      <c r="A190" s="48" t="n">
        <v>45480</v>
      </c>
      <c r="B190" s="49" t="n">
        <v>82458</v>
      </c>
      <c r="C190" s="50" t="n">
        <v>13.12</v>
      </c>
      <c r="D190" s="51" t="inlineStr">
        <is>
          <t>Good</t>
        </is>
      </c>
      <c r="E190" s="52" t="n">
        <v>24.4</v>
      </c>
      <c r="F190" s="52" t="n">
        <v>28.7</v>
      </c>
      <c r="G190" s="51" t="inlineStr">
        <is>
          <t>Sun</t>
        </is>
      </c>
      <c r="H190" s="51" t="inlineStr">
        <is>
          <t>Weekend</t>
        </is>
      </c>
      <c r="I190" s="51" t="inlineStr">
        <is>
          <t>Summer</t>
        </is>
      </c>
      <c r="J190" s="51" t="n">
        <v>25</v>
      </c>
      <c r="K190" s="51" t="inlineStr">
        <is>
          <t>OK</t>
        </is>
      </c>
      <c r="L190" s="46" t="n">
        <v>20.88</v>
      </c>
      <c r="M190" t="inlineStr">
        <is>
          <t>Good</t>
        </is>
      </c>
      <c r="N190" s="87" t="n">
        <v>25</v>
      </c>
      <c r="O190" s="87" t="n">
        <v>0</v>
      </c>
      <c r="P190" s="87" t="n">
        <v>0</v>
      </c>
      <c r="Q190" s="87" t="n">
        <v>0</v>
      </c>
      <c r="R190" s="87" t="n">
        <v>0</v>
      </c>
      <c r="S190" s="47" t="n">
        <v>1.8</v>
      </c>
      <c r="T190" s="47" t="n">
        <v>85.09999999999999</v>
      </c>
      <c r="U190" s="47" t="n"/>
      <c r="V190" s="87" t="n">
        <v>1</v>
      </c>
      <c r="W190" s="87" t="n">
        <v>0</v>
      </c>
      <c r="Y190" t="inlineStr">
        <is>
          <t>Jul</t>
        </is>
      </c>
      <c r="Z190" s="87" t="n">
        <v>2024</v>
      </c>
      <c r="AA190" s="47">
        <f>IF(F190="",0,F190)</f>
        <v/>
      </c>
      <c r="AB190" s="87">
        <f>IF(AA190&gt;=0.1,1,0)</f>
        <v/>
      </c>
      <c r="AC190" s="87" t="n">
        <v>0</v>
      </c>
      <c r="AD190" s="47">
        <f>IF(U190="",0,U190)</f>
        <v/>
      </c>
      <c r="AE190" s="87">
        <f>IF(OR(V190=1,W190=1),1,0)</f>
        <v/>
      </c>
      <c r="AF190" s="87" t="n">
        <v>0</v>
      </c>
      <c r="AG190" t="n">
        <v>5664</v>
      </c>
      <c r="AH190" t="n">
        <v>76794</v>
      </c>
      <c r="AI190" t="n">
        <v>0</v>
      </c>
      <c r="AJ190" s="88">
        <f>IF(OR(AG190&lt;=0,AH190&lt;=0),"",LN(AG190)-LN(AH190))</f>
        <v/>
      </c>
      <c r="AK190" t="n">
        <v>13155</v>
      </c>
      <c r="AL190" t="n">
        <v>69303</v>
      </c>
      <c r="AM190" s="88">
        <f>IF(OR(AK190&lt;=0,AL190&lt;=0),"",LN(AK190)-LN(AL190))</f>
        <v/>
      </c>
      <c r="AN190" t="n">
        <v>5472</v>
      </c>
      <c r="AO190" t="n">
        <v>74387</v>
      </c>
      <c r="AP190" s="88">
        <f>IF(OR(AN190&lt;=0,AO190&lt;=0),"",LN(AN190)-LN(AO190))</f>
        <v/>
      </c>
      <c r="AQ190" t="n">
        <v>5460</v>
      </c>
      <c r="AR190" t="n">
        <v>76794</v>
      </c>
      <c r="AS190" s="88">
        <f>IF(OR(AQ190&lt;=0,AR190&lt;=0),"",LN(AQ190)-LN(AR190))</f>
        <v/>
      </c>
      <c r="AT190" t="n">
        <v>7839</v>
      </c>
      <c r="AU190" t="n">
        <v>74165</v>
      </c>
      <c r="AV190" t="n">
        <v>458</v>
      </c>
      <c r="AW190" t="n">
        <v>863</v>
      </c>
      <c r="AX190" t="n">
        <v>4757</v>
      </c>
      <c r="AY190" s="88">
        <f>IF(OR(AT190&lt;=0,AU190&lt;=0),"",LN(AT190)-LN(AU190))</f>
        <v/>
      </c>
      <c r="AZ190" s="46" t="n">
        <v>0.6</v>
      </c>
      <c r="BA190" s="46" t="n">
        <v>11.09</v>
      </c>
      <c r="BB190" s="47" t="n">
        <v>8.800000000000001</v>
      </c>
    </row>
    <row r="191">
      <c r="A191" s="48" t="n">
        <v>45481</v>
      </c>
      <c r="B191" s="49" t="n">
        <v>49085</v>
      </c>
      <c r="C191" s="50" t="n">
        <v>6</v>
      </c>
      <c r="D191" s="51" t="inlineStr">
        <is>
          <t>Good</t>
        </is>
      </c>
      <c r="E191" s="52" t="n">
        <v>23.8</v>
      </c>
      <c r="F191" s="52" t="n">
        <v>21.1</v>
      </c>
      <c r="G191" s="51" t="inlineStr">
        <is>
          <t>Mon</t>
        </is>
      </c>
      <c r="H191" s="51" t="inlineStr">
        <is>
          <t>Weekday</t>
        </is>
      </c>
      <c r="I191" s="51" t="inlineStr">
        <is>
          <t>Summer</t>
        </is>
      </c>
      <c r="J191" s="51" t="n">
        <v>25</v>
      </c>
      <c r="K191" s="51" t="inlineStr">
        <is>
          <t>OK</t>
        </is>
      </c>
      <c r="L191" s="46" t="n">
        <v>10.92</v>
      </c>
      <c r="M191" t="inlineStr">
        <is>
          <t>Good</t>
        </is>
      </c>
      <c r="N191" s="87" t="n">
        <v>25</v>
      </c>
      <c r="O191" s="87" t="n">
        <v>0</v>
      </c>
      <c r="P191" s="87" t="n">
        <v>0</v>
      </c>
      <c r="Q191" s="87" t="n">
        <v>0</v>
      </c>
      <c r="R191" s="87" t="n">
        <v>0</v>
      </c>
      <c r="S191" s="47" t="n">
        <v>1.8</v>
      </c>
      <c r="T191" s="47" t="n">
        <v>93.40000000000001</v>
      </c>
      <c r="U191" s="47" t="n"/>
      <c r="V191" s="87" t="n">
        <v>0</v>
      </c>
      <c r="W191" s="87" t="n">
        <v>0</v>
      </c>
      <c r="Y191" t="inlineStr">
        <is>
          <t>Jul</t>
        </is>
      </c>
      <c r="Z191" s="87" t="n">
        <v>2024</v>
      </c>
      <c r="AA191" s="47">
        <f>IF(F191="",0,F191)</f>
        <v/>
      </c>
      <c r="AB191" s="87">
        <f>IF(AA191&gt;=0.1,1,0)</f>
        <v/>
      </c>
      <c r="AC191" s="87" t="n">
        <v>0</v>
      </c>
      <c r="AD191" s="47">
        <f>IF(U191="",0,U191)</f>
        <v/>
      </c>
      <c r="AE191" s="87">
        <f>IF(OR(V191=1,W191=1),1,0)</f>
        <v/>
      </c>
      <c r="AF191" s="87" t="n">
        <v>0</v>
      </c>
      <c r="AG191" t="n">
        <v>2250</v>
      </c>
      <c r="AH191" t="n">
        <v>46835</v>
      </c>
      <c r="AI191" t="n">
        <v>0</v>
      </c>
      <c r="AJ191" s="88">
        <f>IF(OR(AG191&lt;=0,AH191&lt;=0),"",LN(AG191)-LN(AH191))</f>
        <v/>
      </c>
      <c r="AK191" t="n">
        <v>6229</v>
      </c>
      <c r="AL191" t="n">
        <v>42856</v>
      </c>
      <c r="AM191" s="88">
        <f>IF(OR(AK191&lt;=0,AL191&lt;=0),"",LN(AK191)-LN(AL191))</f>
        <v/>
      </c>
      <c r="AN191" t="n">
        <v>2195</v>
      </c>
      <c r="AO191" t="n">
        <v>45219</v>
      </c>
      <c r="AP191" s="88">
        <f>IF(OR(AN191&lt;=0,AO191&lt;=0),"",LN(AN191)-LN(AO191))</f>
        <v/>
      </c>
      <c r="AQ191" t="n">
        <v>2180</v>
      </c>
      <c r="AR191" t="n">
        <v>46835</v>
      </c>
      <c r="AS191" s="88">
        <f>IF(OR(AQ191&lt;=0,AR191&lt;=0),"",LN(AQ191)-LN(AR191))</f>
        <v/>
      </c>
      <c r="AT191" t="n">
        <v>2600</v>
      </c>
      <c r="AU191" t="n">
        <v>46191</v>
      </c>
      <c r="AV191" t="n">
        <v>297</v>
      </c>
      <c r="AW191" t="n">
        <v>179</v>
      </c>
      <c r="AX191" t="n">
        <v>2054</v>
      </c>
      <c r="AY191" s="88">
        <f>IF(OR(AT191&lt;=0,AU191&lt;=0),"",LN(AT191)-LN(AU191))</f>
        <v/>
      </c>
      <c r="AZ191" s="46" t="n">
        <v>0</v>
      </c>
      <c r="BA191" s="46" t="n">
        <v>3.36</v>
      </c>
      <c r="BB191" s="47" t="n">
        <v>9.800000000000001</v>
      </c>
    </row>
    <row r="192">
      <c r="A192" s="48" t="n">
        <v>45482</v>
      </c>
      <c r="B192" s="49" t="n">
        <v>131039</v>
      </c>
      <c r="C192" s="50" t="n">
        <v>8.880000000000001</v>
      </c>
      <c r="D192" s="51" t="inlineStr">
        <is>
          <t>Good</t>
        </is>
      </c>
      <c r="E192" s="52" t="n">
        <v>24.5</v>
      </c>
      <c r="F192" s="52" t="n">
        <v>0.3</v>
      </c>
      <c r="G192" s="51" t="inlineStr">
        <is>
          <t>Tue</t>
        </is>
      </c>
      <c r="H192" s="51" t="inlineStr">
        <is>
          <t>Weekday</t>
        </is>
      </c>
      <c r="I192" s="51" t="inlineStr">
        <is>
          <t>Summer</t>
        </is>
      </c>
      <c r="J192" s="51" t="n">
        <v>25</v>
      </c>
      <c r="K192" s="51" t="inlineStr">
        <is>
          <t>OK</t>
        </is>
      </c>
      <c r="L192" s="46" t="n">
        <v>15.36</v>
      </c>
      <c r="M192" t="inlineStr">
        <is>
          <t>Good</t>
        </is>
      </c>
      <c r="N192" s="87" t="n">
        <v>25</v>
      </c>
      <c r="O192" s="87" t="n">
        <v>0</v>
      </c>
      <c r="P192" s="87" t="n">
        <v>0</v>
      </c>
      <c r="Q192" s="87" t="n">
        <v>0</v>
      </c>
      <c r="R192" s="87" t="n">
        <v>0</v>
      </c>
      <c r="S192" s="47" t="n">
        <v>1.8</v>
      </c>
      <c r="T192" s="47" t="n">
        <v>86.90000000000001</v>
      </c>
      <c r="U192" s="47" t="n"/>
      <c r="V192" s="87" t="n">
        <v>0</v>
      </c>
      <c r="W192" s="87" t="n">
        <v>0</v>
      </c>
      <c r="Y192" t="inlineStr">
        <is>
          <t>Jul</t>
        </is>
      </c>
      <c r="Z192" s="87" t="n">
        <v>2024</v>
      </c>
      <c r="AA192" s="47">
        <f>IF(F192="",0,F192)</f>
        <v/>
      </c>
      <c r="AB192" s="87">
        <f>IF(AA192&gt;=0.1,1,0)</f>
        <v/>
      </c>
      <c r="AC192" s="87" t="n">
        <v>0</v>
      </c>
      <c r="AD192" s="47">
        <f>IF(U192="",0,U192)</f>
        <v/>
      </c>
      <c r="AE192" s="87">
        <f>IF(OR(V192=1,W192=1),1,0)</f>
        <v/>
      </c>
      <c r="AF192" s="87" t="n">
        <v>0</v>
      </c>
      <c r="AG192" t="n">
        <v>6132</v>
      </c>
      <c r="AH192" t="n">
        <v>124907</v>
      </c>
      <c r="AI192" t="n">
        <v>0</v>
      </c>
      <c r="AJ192" s="88">
        <f>IF(OR(AG192&lt;=0,AH192&lt;=0),"",LN(AG192)-LN(AH192))</f>
        <v/>
      </c>
      <c r="AK192" t="n">
        <v>18067</v>
      </c>
      <c r="AL192" t="n">
        <v>112972</v>
      </c>
      <c r="AM192" s="88">
        <f>IF(OR(AK192&lt;=0,AL192&lt;=0),"",LN(AK192)-LN(AL192))</f>
        <v/>
      </c>
      <c r="AN192" t="n">
        <v>5968</v>
      </c>
      <c r="AO192" t="n">
        <v>120832</v>
      </c>
      <c r="AP192" s="88">
        <f>IF(OR(AN192&lt;=0,AO192&lt;=0),"",LN(AN192)-LN(AO192))</f>
        <v/>
      </c>
      <c r="AQ192" t="n">
        <v>5980</v>
      </c>
      <c r="AR192" t="n">
        <v>124907</v>
      </c>
      <c r="AS192" s="88">
        <f>IF(OR(AQ192&lt;=0,AR192&lt;=0),"",LN(AQ192)-LN(AR192))</f>
        <v/>
      </c>
      <c r="AT192" t="n">
        <v>7448</v>
      </c>
      <c r="AU192" t="n">
        <v>122796</v>
      </c>
      <c r="AV192" t="n">
        <v>794</v>
      </c>
      <c r="AW192" t="n">
        <v>523</v>
      </c>
      <c r="AX192" t="n">
        <v>5581</v>
      </c>
      <c r="AY192" s="88">
        <f>IF(OR(AT192&lt;=0,AU192&lt;=0),"",LN(AT192)-LN(AU192))</f>
        <v/>
      </c>
      <c r="AZ192" s="46" t="n">
        <v>0.1</v>
      </c>
      <c r="BA192" s="46" t="n">
        <v>7.77</v>
      </c>
      <c r="BB192" s="47" t="n">
        <v>9.5</v>
      </c>
    </row>
    <row r="193">
      <c r="A193" s="48" t="n">
        <v>45483</v>
      </c>
      <c r="B193" s="49" t="n">
        <v>157079</v>
      </c>
      <c r="C193" s="50" t="n">
        <v>5.36</v>
      </c>
      <c r="D193" s="51" t="inlineStr">
        <is>
          <t>Good</t>
        </is>
      </c>
      <c r="E193" s="52" t="n">
        <v>26.6</v>
      </c>
      <c r="F193" s="52" t="n">
        <v>1.4</v>
      </c>
      <c r="G193" s="51" t="inlineStr">
        <is>
          <t>Wed</t>
        </is>
      </c>
      <c r="H193" s="51" t="inlineStr">
        <is>
          <t>Weekday</t>
        </is>
      </c>
      <c r="I193" s="51" t="inlineStr">
        <is>
          <t>Summer</t>
        </is>
      </c>
      <c r="J193" s="51" t="n">
        <v>25</v>
      </c>
      <c r="K193" s="51" t="inlineStr">
        <is>
          <t>OK</t>
        </is>
      </c>
      <c r="L193" s="46" t="n">
        <v>12</v>
      </c>
      <c r="M193" t="inlineStr">
        <is>
          <t>Good</t>
        </is>
      </c>
      <c r="N193" s="87" t="n">
        <v>25</v>
      </c>
      <c r="O193" s="87" t="n">
        <v>0</v>
      </c>
      <c r="P193" s="87" t="n">
        <v>0</v>
      </c>
      <c r="Q193" s="87" t="n">
        <v>0</v>
      </c>
      <c r="R193" s="87" t="n">
        <v>0</v>
      </c>
      <c r="S193" s="47" t="n">
        <v>2.2</v>
      </c>
      <c r="T193" s="47" t="n">
        <v>77.09999999999999</v>
      </c>
      <c r="U193" s="47" t="n"/>
      <c r="V193" s="87" t="n">
        <v>0</v>
      </c>
      <c r="W193" s="87" t="n">
        <v>0</v>
      </c>
      <c r="Y193" t="inlineStr">
        <is>
          <t>Jul</t>
        </is>
      </c>
      <c r="Z193" s="87" t="n">
        <v>2024</v>
      </c>
      <c r="AA193" s="47">
        <f>IF(F193="",0,F193)</f>
        <v/>
      </c>
      <c r="AB193" s="87">
        <f>IF(AA193&gt;=0.1,1,0)</f>
        <v/>
      </c>
      <c r="AC193" s="87" t="n">
        <v>0</v>
      </c>
      <c r="AD193" s="47">
        <f>IF(U193="",0,U193)</f>
        <v/>
      </c>
      <c r="AE193" s="87">
        <f>IF(OR(V193=1,W193=1),1,0)</f>
        <v/>
      </c>
      <c r="AF193" s="87" t="n">
        <v>0</v>
      </c>
      <c r="AG193" t="n">
        <v>8711</v>
      </c>
      <c r="AH193" t="n">
        <v>148368</v>
      </c>
      <c r="AI193" t="n">
        <v>0</v>
      </c>
      <c r="AJ193" s="88">
        <f>IF(OR(AG193&lt;=0,AH193&lt;=0),"",LN(AG193)-LN(AH193))</f>
        <v/>
      </c>
      <c r="AK193" t="n">
        <v>23304</v>
      </c>
      <c r="AL193" t="n">
        <v>133775</v>
      </c>
      <c r="AM193" s="88">
        <f>IF(OR(AK193&lt;=0,AL193&lt;=0),"",LN(AK193)-LN(AL193))</f>
        <v/>
      </c>
      <c r="AN193" t="n">
        <v>8427</v>
      </c>
      <c r="AO193" t="n">
        <v>143528</v>
      </c>
      <c r="AP193" s="88">
        <f>IF(OR(AN193&lt;=0,AO193&lt;=0),"",LN(AN193)-LN(AO193))</f>
        <v/>
      </c>
      <c r="AQ193" t="n">
        <v>8487</v>
      </c>
      <c r="AR193" t="n">
        <v>148368</v>
      </c>
      <c r="AS193" s="88">
        <f>IF(OR(AQ193&lt;=0,AR193&lt;=0),"",LN(AQ193)-LN(AR193))</f>
        <v/>
      </c>
      <c r="AT193" t="n">
        <v>9647</v>
      </c>
      <c r="AU193" t="n">
        <v>146516</v>
      </c>
      <c r="AV193" t="n">
        <v>918</v>
      </c>
      <c r="AW193" t="n">
        <v>794</v>
      </c>
      <c r="AX193" t="n">
        <v>7848</v>
      </c>
      <c r="AY193" s="88">
        <f>IF(OR(AT193&lt;=0,AU193&lt;=0),"",LN(AT193)-LN(AU193))</f>
        <v/>
      </c>
      <c r="AZ193" s="46" t="n">
        <v>7.1</v>
      </c>
      <c r="BA193" s="46" t="n">
        <v>20.04</v>
      </c>
      <c r="BB193" s="47" t="n">
        <v>6.3</v>
      </c>
    </row>
    <row r="194">
      <c r="A194" s="48" t="n">
        <v>45484</v>
      </c>
      <c r="B194" s="49" t="n">
        <v>176877</v>
      </c>
      <c r="C194" s="50" t="n">
        <v>25.28</v>
      </c>
      <c r="D194" s="51" t="inlineStr">
        <is>
          <t>Moderate</t>
        </is>
      </c>
      <c r="E194" s="52" t="n">
        <v>25.7</v>
      </c>
      <c r="F194" s="52" t="n"/>
      <c r="G194" s="51" t="inlineStr">
        <is>
          <t>Thu</t>
        </is>
      </c>
      <c r="H194" s="51" t="inlineStr">
        <is>
          <t>Weekday</t>
        </is>
      </c>
      <c r="I194" s="51" t="inlineStr">
        <is>
          <t>Summer</t>
        </is>
      </c>
      <c r="J194" s="51" t="n">
        <v>25</v>
      </c>
      <c r="K194" s="51" t="inlineStr">
        <is>
          <t>강수량 공란</t>
        </is>
      </c>
      <c r="L194" s="46" t="n">
        <v>35.4</v>
      </c>
      <c r="M194" t="inlineStr">
        <is>
          <t>Moderate</t>
        </is>
      </c>
      <c r="N194" s="87" t="n">
        <v>25</v>
      </c>
      <c r="O194" s="87" t="n">
        <v>0</v>
      </c>
      <c r="P194" s="87" t="n">
        <v>0</v>
      </c>
      <c r="Q194" s="87" t="n">
        <v>0</v>
      </c>
      <c r="R194" s="87" t="n">
        <v>0</v>
      </c>
      <c r="S194" s="47" t="n">
        <v>2.1</v>
      </c>
      <c r="T194" s="47" t="n">
        <v>79.59999999999999</v>
      </c>
      <c r="U194" s="47" t="n"/>
      <c r="V194" s="87" t="n">
        <v>0</v>
      </c>
      <c r="W194" s="87" t="n">
        <v>0</v>
      </c>
      <c r="Y194" t="inlineStr">
        <is>
          <t>Jul</t>
        </is>
      </c>
      <c r="Z194" s="87" t="n">
        <v>2024</v>
      </c>
      <c r="AA194" s="47">
        <f>IF(F194="",0,F194)</f>
        <v/>
      </c>
      <c r="AB194" s="87">
        <f>IF(AA194&gt;=0.1,1,0)</f>
        <v/>
      </c>
      <c r="AC194" s="87" t="n">
        <v>0</v>
      </c>
      <c r="AD194" s="47">
        <f>IF(U194="",0,U194)</f>
        <v/>
      </c>
      <c r="AE194" s="87">
        <f>IF(OR(V194=1,W194=1),1,0)</f>
        <v/>
      </c>
      <c r="AF194" s="87" t="n">
        <v>0</v>
      </c>
      <c r="AG194" t="n">
        <v>9872</v>
      </c>
      <c r="AH194" t="n">
        <v>167005</v>
      </c>
      <c r="AI194" t="n">
        <v>0</v>
      </c>
      <c r="AJ194" s="88">
        <f>IF(OR(AG194&lt;=0,AH194&lt;=0),"",LN(AG194)-LN(AH194))</f>
        <v/>
      </c>
      <c r="AK194" t="n">
        <v>26154</v>
      </c>
      <c r="AL194" t="n">
        <v>150723</v>
      </c>
      <c r="AM194" s="88">
        <f>IF(OR(AK194&lt;=0,AL194&lt;=0),"",LN(AK194)-LN(AL194))</f>
        <v/>
      </c>
      <c r="AN194" t="n">
        <v>9587</v>
      </c>
      <c r="AO194" t="n">
        <v>161440</v>
      </c>
      <c r="AP194" s="88">
        <f>IF(OR(AN194&lt;=0,AO194&lt;=0),"",LN(AN194)-LN(AO194))</f>
        <v/>
      </c>
      <c r="AQ194" t="n">
        <v>9615</v>
      </c>
      <c r="AR194" t="n">
        <v>167005</v>
      </c>
      <c r="AS194" s="88">
        <f>IF(OR(AQ194&lt;=0,AR194&lt;=0),"",LN(AQ194)-LN(AR194))</f>
        <v/>
      </c>
      <c r="AT194" t="n">
        <v>10815</v>
      </c>
      <c r="AU194" t="n">
        <v>165085</v>
      </c>
      <c r="AV194" t="n">
        <v>981</v>
      </c>
      <c r="AW194" t="n">
        <v>1043</v>
      </c>
      <c r="AX194" t="n">
        <v>8752</v>
      </c>
      <c r="AY194" s="88">
        <f>IF(OR(AT194&lt;=0,AU194&lt;=0),"",LN(AT194)-LN(AU194))</f>
        <v/>
      </c>
      <c r="AZ194" s="46" t="n">
        <v>5.9</v>
      </c>
      <c r="BA194" s="46" t="n">
        <v>21.74</v>
      </c>
      <c r="BB194" s="47" t="n">
        <v>5.1</v>
      </c>
    </row>
    <row r="195">
      <c r="A195" s="48" t="n">
        <v>45485</v>
      </c>
      <c r="B195" s="49" t="n">
        <v>178467</v>
      </c>
      <c r="C195" s="50" t="n">
        <v>27.36</v>
      </c>
      <c r="D195" s="51" t="inlineStr">
        <is>
          <t>Moderate</t>
        </is>
      </c>
      <c r="E195" s="52" t="n">
        <v>25.6</v>
      </c>
      <c r="F195" s="52" t="n"/>
      <c r="G195" s="51" t="inlineStr">
        <is>
          <t>Fri</t>
        </is>
      </c>
      <c r="H195" s="51" t="inlineStr">
        <is>
          <t>Weekday</t>
        </is>
      </c>
      <c r="I195" s="51" t="inlineStr">
        <is>
          <t>Summer</t>
        </is>
      </c>
      <c r="J195" s="51" t="n">
        <v>25</v>
      </c>
      <c r="K195" s="51" t="inlineStr">
        <is>
          <t>강수량 공란</t>
        </is>
      </c>
      <c r="L195" s="46" t="n">
        <v>38</v>
      </c>
      <c r="M195" t="inlineStr">
        <is>
          <t>Moderate</t>
        </is>
      </c>
      <c r="N195" s="87" t="n">
        <v>25</v>
      </c>
      <c r="O195" s="87" t="n">
        <v>0</v>
      </c>
      <c r="P195" s="87" t="n">
        <v>0</v>
      </c>
      <c r="Q195" s="87" t="n">
        <v>0</v>
      </c>
      <c r="R195" s="87" t="n">
        <v>0</v>
      </c>
      <c r="S195" s="47" t="n">
        <v>1.6</v>
      </c>
      <c r="T195" s="47" t="n">
        <v>79.5</v>
      </c>
      <c r="U195" s="47" t="n"/>
      <c r="V195" s="87" t="n">
        <v>0</v>
      </c>
      <c r="W195" s="87" t="n">
        <v>0</v>
      </c>
      <c r="Y195" t="inlineStr">
        <is>
          <t>Jul</t>
        </is>
      </c>
      <c r="Z195" s="87" t="n">
        <v>2024</v>
      </c>
      <c r="AA195" s="47">
        <f>IF(F195="",0,F195)</f>
        <v/>
      </c>
      <c r="AB195" s="87">
        <f>IF(AA195&gt;=0.1,1,0)</f>
        <v/>
      </c>
      <c r="AC195" s="87" t="n">
        <v>0</v>
      </c>
      <c r="AD195" s="47">
        <f>IF(U195="",0,U195)</f>
        <v/>
      </c>
      <c r="AE195" s="87">
        <f>IF(OR(V195=1,W195=1),1,0)</f>
        <v/>
      </c>
      <c r="AF195" s="87" t="n">
        <v>0</v>
      </c>
      <c r="AG195" t="n">
        <v>10181</v>
      </c>
      <c r="AH195" t="n">
        <v>168286</v>
      </c>
      <c r="AI195" t="n">
        <v>0</v>
      </c>
      <c r="AJ195" s="88">
        <f>IF(OR(AG195&lt;=0,AH195&lt;=0),"",LN(AG195)-LN(AH195))</f>
        <v/>
      </c>
      <c r="AK195" t="n">
        <v>26753</v>
      </c>
      <c r="AL195" t="n">
        <v>151714</v>
      </c>
      <c r="AM195" s="88">
        <f>IF(OR(AK195&lt;=0,AL195&lt;=0),"",LN(AK195)-LN(AL195))</f>
        <v/>
      </c>
      <c r="AN195" t="n">
        <v>9872</v>
      </c>
      <c r="AO195" t="n">
        <v>162728</v>
      </c>
      <c r="AP195" s="88">
        <f>IF(OR(AN195&lt;=0,AO195&lt;=0),"",LN(AN195)-LN(AO195))</f>
        <v/>
      </c>
      <c r="AQ195" t="n">
        <v>9918</v>
      </c>
      <c r="AR195" t="n">
        <v>168286</v>
      </c>
      <c r="AS195" s="88">
        <f>IF(OR(AQ195&lt;=0,AR195&lt;=0),"",LN(AQ195)-LN(AR195))</f>
        <v/>
      </c>
      <c r="AT195" t="n">
        <v>11041</v>
      </c>
      <c r="AU195" t="n">
        <v>166371</v>
      </c>
      <c r="AV195" t="n">
        <v>1061</v>
      </c>
      <c r="AW195" t="n">
        <v>1016</v>
      </c>
      <c r="AX195" t="n">
        <v>9094</v>
      </c>
      <c r="AY195" s="88">
        <f>IF(OR(AT195&lt;=0,AU195&lt;=0),"",LN(AT195)-LN(AU195))</f>
        <v/>
      </c>
      <c r="AZ195" s="46" t="n">
        <v>3.7</v>
      </c>
      <c r="BA195" s="46" t="n">
        <v>13.33</v>
      </c>
      <c r="BB195" s="47" t="n">
        <v>4.4</v>
      </c>
    </row>
    <row r="196">
      <c r="A196" s="48" t="n">
        <v>45486</v>
      </c>
      <c r="B196" s="49" t="n">
        <v>132042</v>
      </c>
      <c r="C196" s="50" t="n">
        <v>38.44</v>
      </c>
      <c r="D196" s="51" t="inlineStr">
        <is>
          <t>Bad</t>
        </is>
      </c>
      <c r="E196" s="52" t="n">
        <v>28.1</v>
      </c>
      <c r="F196" s="52" t="n">
        <v>0</v>
      </c>
      <c r="G196" s="51" t="inlineStr">
        <is>
          <t>Sat</t>
        </is>
      </c>
      <c r="H196" s="51" t="inlineStr">
        <is>
          <t>Weekend</t>
        </is>
      </c>
      <c r="I196" s="51" t="inlineStr">
        <is>
          <t>Summer</t>
        </is>
      </c>
      <c r="J196" s="51" t="n">
        <v>25</v>
      </c>
      <c r="K196" s="51" t="inlineStr">
        <is>
          <t>OK</t>
        </is>
      </c>
      <c r="L196" s="46" t="n">
        <v>48.68</v>
      </c>
      <c r="M196" t="inlineStr">
        <is>
          <t>Moderate</t>
        </is>
      </c>
      <c r="N196" s="87" t="n">
        <v>25</v>
      </c>
      <c r="O196" s="87" t="n">
        <v>0</v>
      </c>
      <c r="P196" s="87" t="n">
        <v>0</v>
      </c>
      <c r="Q196" s="87" t="n">
        <v>0</v>
      </c>
      <c r="R196" s="87" t="n">
        <v>0</v>
      </c>
      <c r="S196" s="47" t="n">
        <v>1.9</v>
      </c>
      <c r="T196" s="47" t="n">
        <v>70</v>
      </c>
      <c r="U196" s="47" t="n"/>
      <c r="V196" s="87" t="n">
        <v>1</v>
      </c>
      <c r="W196" s="87" t="n">
        <v>0</v>
      </c>
      <c r="Y196" t="inlineStr">
        <is>
          <t>Jul</t>
        </is>
      </c>
      <c r="Z196" s="87" t="n">
        <v>2024</v>
      </c>
      <c r="AA196" s="47">
        <f>IF(F196="",0,F196)</f>
        <v/>
      </c>
      <c r="AB196" s="87">
        <f>IF(AA196&gt;=0.1,1,0)</f>
        <v/>
      </c>
      <c r="AC196" s="87" t="n">
        <v>1</v>
      </c>
      <c r="AD196" s="47">
        <f>IF(U196="",0,U196)</f>
        <v/>
      </c>
      <c r="AE196" s="87">
        <f>IF(OR(V196=1,W196=1),1,0)</f>
        <v/>
      </c>
      <c r="AF196" s="87" t="n">
        <v>0</v>
      </c>
      <c r="AG196" t="n">
        <v>9263</v>
      </c>
      <c r="AH196" t="n">
        <v>122779</v>
      </c>
      <c r="AI196" t="n">
        <v>0</v>
      </c>
      <c r="AJ196" s="88">
        <f>IF(OR(AG196&lt;=0,AH196&lt;=0),"",LN(AG196)-LN(AH196))</f>
        <v/>
      </c>
      <c r="AK196" t="n">
        <v>21633</v>
      </c>
      <c r="AL196" t="n">
        <v>110409</v>
      </c>
      <c r="AM196" s="88">
        <f>IF(OR(AK196&lt;=0,AL196&lt;=0),"",LN(AK196)-LN(AL196))</f>
        <v/>
      </c>
      <c r="AN196" t="n">
        <v>8974</v>
      </c>
      <c r="AO196" t="n">
        <v>118758</v>
      </c>
      <c r="AP196" s="88">
        <f>IF(OR(AN196&lt;=0,AO196&lt;=0),"",LN(AN196)-LN(AO196))</f>
        <v/>
      </c>
      <c r="AQ196" t="n">
        <v>9013</v>
      </c>
      <c r="AR196" t="n">
        <v>122779</v>
      </c>
      <c r="AS196" s="88">
        <f>IF(OR(AQ196&lt;=0,AR196&lt;=0),"",LN(AQ196)-LN(AR196))</f>
        <v/>
      </c>
      <c r="AT196" t="n">
        <v>11229</v>
      </c>
      <c r="AU196" t="n">
        <v>120038</v>
      </c>
      <c r="AV196" t="n">
        <v>777</v>
      </c>
      <c r="AW196" t="n">
        <v>1350</v>
      </c>
      <c r="AX196" t="n">
        <v>7852</v>
      </c>
      <c r="AY196" s="88">
        <f>IF(OR(AT196&lt;=0,AU196&lt;=0),"",LN(AT196)-LN(AU196))</f>
        <v/>
      </c>
      <c r="AZ196" s="46" t="n">
        <v>9.9</v>
      </c>
      <c r="BA196" s="46" t="n">
        <v>23.54</v>
      </c>
      <c r="BB196" s="47" t="n">
        <v>2.1</v>
      </c>
    </row>
    <row r="197">
      <c r="A197" s="48" t="n">
        <v>45487</v>
      </c>
      <c r="B197" s="49" t="n">
        <v>116652</v>
      </c>
      <c r="C197" s="50" t="n">
        <v>23.4</v>
      </c>
      <c r="D197" s="51" t="inlineStr">
        <is>
          <t>Moderate</t>
        </is>
      </c>
      <c r="E197" s="52" t="n">
        <v>28.4</v>
      </c>
      <c r="F197" s="52" t="n">
        <v>0.4</v>
      </c>
      <c r="G197" s="51" t="inlineStr">
        <is>
          <t>Sun</t>
        </is>
      </c>
      <c r="H197" s="51" t="inlineStr">
        <is>
          <t>Weekend</t>
        </is>
      </c>
      <c r="I197" s="51" t="inlineStr">
        <is>
          <t>Summer</t>
        </is>
      </c>
      <c r="J197" s="51" t="n">
        <v>25</v>
      </c>
      <c r="K197" s="51" t="inlineStr">
        <is>
          <t>OK</t>
        </is>
      </c>
      <c r="L197" s="46" t="n">
        <v>29.96</v>
      </c>
      <c r="M197" t="inlineStr">
        <is>
          <t>Good</t>
        </is>
      </c>
      <c r="N197" s="87" t="n">
        <v>25</v>
      </c>
      <c r="O197" s="87" t="n">
        <v>0</v>
      </c>
      <c r="P197" s="87" t="n">
        <v>0</v>
      </c>
      <c r="Q197" s="87" t="n">
        <v>0</v>
      </c>
      <c r="R197" s="87" t="n">
        <v>0</v>
      </c>
      <c r="S197" s="47" t="n">
        <v>2.4</v>
      </c>
      <c r="T197" s="47" t="n">
        <v>65.90000000000001</v>
      </c>
      <c r="U197" s="47" t="n"/>
      <c r="V197" s="87" t="n">
        <v>1</v>
      </c>
      <c r="W197" s="87" t="n">
        <v>0</v>
      </c>
      <c r="Y197" t="inlineStr">
        <is>
          <t>Jul</t>
        </is>
      </c>
      <c r="Z197" s="87" t="n">
        <v>2024</v>
      </c>
      <c r="AA197" s="47">
        <f>IF(F197="",0,F197)</f>
        <v/>
      </c>
      <c r="AB197" s="87">
        <f>IF(AA197&gt;=0.1,1,0)</f>
        <v/>
      </c>
      <c r="AC197" s="87" t="n">
        <v>0</v>
      </c>
      <c r="AD197" s="47">
        <f>IF(U197="",0,U197)</f>
        <v/>
      </c>
      <c r="AE197" s="87">
        <f>IF(OR(V197=1,W197=1),1,0)</f>
        <v/>
      </c>
      <c r="AF197" s="87" t="n">
        <v>0</v>
      </c>
      <c r="AG197" t="n">
        <v>8718</v>
      </c>
      <c r="AH197" t="n">
        <v>107934</v>
      </c>
      <c r="AI197" t="n">
        <v>0</v>
      </c>
      <c r="AJ197" s="88">
        <f>IF(OR(AG197&lt;=0,AH197&lt;=0),"",LN(AG197)-LN(AH197))</f>
        <v/>
      </c>
      <c r="AK197" t="n">
        <v>19773</v>
      </c>
      <c r="AL197" t="n">
        <v>96879</v>
      </c>
      <c r="AM197" s="88">
        <f>IF(OR(AK197&lt;=0,AL197&lt;=0),"",LN(AK197)-LN(AL197))</f>
        <v/>
      </c>
      <c r="AN197" t="n">
        <v>8419</v>
      </c>
      <c r="AO197" t="n">
        <v>104518</v>
      </c>
      <c r="AP197" s="88">
        <f>IF(OR(AN197&lt;=0,AO197&lt;=0),"",LN(AN197)-LN(AO197))</f>
        <v/>
      </c>
      <c r="AQ197" t="n">
        <v>8457</v>
      </c>
      <c r="AR197" t="n">
        <v>107934</v>
      </c>
      <c r="AS197" s="88">
        <f>IF(OR(AQ197&lt;=0,AR197&lt;=0),"",LN(AQ197)-LN(AR197))</f>
        <v/>
      </c>
      <c r="AT197" t="n">
        <v>11392</v>
      </c>
      <c r="AU197" t="n">
        <v>104653</v>
      </c>
      <c r="AV197" t="n">
        <v>608</v>
      </c>
      <c r="AW197" t="n">
        <v>1418</v>
      </c>
      <c r="AX197" t="n">
        <v>7246</v>
      </c>
      <c r="AY197" s="88">
        <f>IF(OR(AT197&lt;=0,AU197&lt;=0),"",LN(AT197)-LN(AU197))</f>
        <v/>
      </c>
      <c r="AZ197" s="46" t="n">
        <v>7.6</v>
      </c>
      <c r="BA197" s="46" t="n">
        <v>22.34</v>
      </c>
      <c r="BB197" s="47" t="n">
        <v>4.8</v>
      </c>
    </row>
    <row r="198">
      <c r="A198" s="48" t="n">
        <v>45488</v>
      </c>
      <c r="B198" s="49" t="n">
        <v>166488</v>
      </c>
      <c r="C198" s="50" t="n">
        <v>5.92</v>
      </c>
      <c r="D198" s="51" t="inlineStr">
        <is>
          <t>Good</t>
        </is>
      </c>
      <c r="E198" s="52" t="n">
        <v>28.4</v>
      </c>
      <c r="F198" s="52" t="n">
        <v>0</v>
      </c>
      <c r="G198" s="51" t="inlineStr">
        <is>
          <t>Mon</t>
        </is>
      </c>
      <c r="H198" s="51" t="inlineStr">
        <is>
          <t>Weekday</t>
        </is>
      </c>
      <c r="I198" s="51" t="inlineStr">
        <is>
          <t>Summer</t>
        </is>
      </c>
      <c r="J198" s="51" t="n">
        <v>25</v>
      </c>
      <c r="K198" s="51" t="inlineStr">
        <is>
          <t>OK</t>
        </is>
      </c>
      <c r="L198" s="46" t="n">
        <v>11.16</v>
      </c>
      <c r="M198" t="inlineStr">
        <is>
          <t>Good</t>
        </is>
      </c>
      <c r="N198" s="87" t="n">
        <v>25</v>
      </c>
      <c r="O198" s="87" t="n">
        <v>0</v>
      </c>
      <c r="P198" s="87" t="n">
        <v>0</v>
      </c>
      <c r="Q198" s="87" t="n">
        <v>0</v>
      </c>
      <c r="R198" s="87" t="n">
        <v>0</v>
      </c>
      <c r="S198" s="47" t="n">
        <v>2.4</v>
      </c>
      <c r="T198" s="47" t="n">
        <v>64.59999999999999</v>
      </c>
      <c r="U198" s="47" t="n"/>
      <c r="V198" s="87" t="n">
        <v>0</v>
      </c>
      <c r="W198" s="87" t="n">
        <v>0</v>
      </c>
      <c r="Y198" t="inlineStr">
        <is>
          <t>Jul</t>
        </is>
      </c>
      <c r="Z198" s="87" t="n">
        <v>2024</v>
      </c>
      <c r="AA198" s="47">
        <f>IF(F198="",0,F198)</f>
        <v/>
      </c>
      <c r="AB198" s="87">
        <f>IF(AA198&gt;=0.1,1,0)</f>
        <v/>
      </c>
      <c r="AC198" s="87" t="n">
        <v>1</v>
      </c>
      <c r="AD198" s="47">
        <f>IF(U198="",0,U198)</f>
        <v/>
      </c>
      <c r="AE198" s="87">
        <f>IF(OR(V198=1,W198=1),1,0)</f>
        <v/>
      </c>
      <c r="AF198" s="87" t="n">
        <v>0</v>
      </c>
      <c r="AG198" t="n">
        <v>9034</v>
      </c>
      <c r="AH198" t="n">
        <v>157454</v>
      </c>
      <c r="AI198" t="n">
        <v>0</v>
      </c>
      <c r="AJ198" s="88">
        <f>IF(OR(AG198&lt;=0,AH198&lt;=0),"",LN(AG198)-LN(AH198))</f>
        <v/>
      </c>
      <c r="AK198" t="n">
        <v>24475</v>
      </c>
      <c r="AL198" t="n">
        <v>142013</v>
      </c>
      <c r="AM198" s="88">
        <f>IF(OR(AK198&lt;=0,AL198&lt;=0),"",LN(AK198)-LN(AL198))</f>
        <v/>
      </c>
      <c r="AN198" t="n">
        <v>8797</v>
      </c>
      <c r="AO198" t="n">
        <v>152328</v>
      </c>
      <c r="AP198" s="88">
        <f>IF(OR(AN198&lt;=0,AO198&lt;=0),"",LN(AN198)-LN(AO198))</f>
        <v/>
      </c>
      <c r="AQ198" t="n">
        <v>8796</v>
      </c>
      <c r="AR198" t="n">
        <v>157454</v>
      </c>
      <c r="AS198" s="88">
        <f>IF(OR(AQ198&lt;=0,AR198&lt;=0),"",LN(AQ198)-LN(AR198))</f>
        <v/>
      </c>
      <c r="AT198" t="n">
        <v>10499</v>
      </c>
      <c r="AU198" t="n">
        <v>155109</v>
      </c>
      <c r="AV198" t="n">
        <v>886</v>
      </c>
      <c r="AW198" t="n">
        <v>936</v>
      </c>
      <c r="AX198" t="n">
        <v>8046</v>
      </c>
      <c r="AY198" s="88">
        <f>IF(OR(AT198&lt;=0,AU198&lt;=0),"",LN(AT198)-LN(AU198))</f>
        <v/>
      </c>
      <c r="AZ198" s="46" t="n">
        <v>6.3</v>
      </c>
      <c r="BA198" s="46" t="n">
        <v>18.13</v>
      </c>
      <c r="BB198" s="47" t="n">
        <v>5.1</v>
      </c>
    </row>
    <row r="199">
      <c r="A199" s="48" t="n">
        <v>45489</v>
      </c>
      <c r="B199" s="49" t="n">
        <v>93992</v>
      </c>
      <c r="C199" s="50" t="n">
        <v>7.08</v>
      </c>
      <c r="D199" s="51" t="inlineStr">
        <is>
          <t>Good</t>
        </is>
      </c>
      <c r="E199" s="52" t="n">
        <v>27</v>
      </c>
      <c r="F199" s="52" t="n">
        <v>17</v>
      </c>
      <c r="G199" s="51" t="inlineStr">
        <is>
          <t>Tue</t>
        </is>
      </c>
      <c r="H199" s="51" t="inlineStr">
        <is>
          <t>Weekday</t>
        </is>
      </c>
      <c r="I199" s="51" t="inlineStr">
        <is>
          <t>Summer</t>
        </is>
      </c>
      <c r="J199" s="51" t="n">
        <v>25</v>
      </c>
      <c r="K199" s="51" t="inlineStr">
        <is>
          <t>OK</t>
        </is>
      </c>
      <c r="L199" s="46" t="n">
        <v>12.72</v>
      </c>
      <c r="M199" t="inlineStr">
        <is>
          <t>Good</t>
        </is>
      </c>
      <c r="N199" s="87" t="n">
        <v>25</v>
      </c>
      <c r="O199" s="87" t="n">
        <v>0</v>
      </c>
      <c r="P199" s="87" t="n">
        <v>0</v>
      </c>
      <c r="Q199" s="87" t="n">
        <v>0</v>
      </c>
      <c r="R199" s="87" t="n">
        <v>0</v>
      </c>
      <c r="S199" s="47" t="n">
        <v>2.3</v>
      </c>
      <c r="T199" s="47" t="n">
        <v>78.40000000000001</v>
      </c>
      <c r="U199" s="47" t="n"/>
      <c r="V199" s="87" t="n">
        <v>0</v>
      </c>
      <c r="W199" s="87" t="n">
        <v>0</v>
      </c>
      <c r="Y199" t="inlineStr">
        <is>
          <t>Jul</t>
        </is>
      </c>
      <c r="Z199" s="87" t="n">
        <v>2024</v>
      </c>
      <c r="AA199" s="47">
        <f>IF(F199="",0,F199)</f>
        <v/>
      </c>
      <c r="AB199" s="87">
        <f>IF(AA199&gt;=0.1,1,0)</f>
        <v/>
      </c>
      <c r="AC199" s="87" t="n">
        <v>0</v>
      </c>
      <c r="AD199" s="47">
        <f>IF(U199="",0,U199)</f>
        <v/>
      </c>
      <c r="AE199" s="87">
        <f>IF(OR(V199=1,W199=1),1,0)</f>
        <v/>
      </c>
      <c r="AF199" s="87" t="n">
        <v>0</v>
      </c>
      <c r="AG199" t="n">
        <v>4802</v>
      </c>
      <c r="AH199" t="n">
        <v>89190</v>
      </c>
      <c r="AI199" t="n">
        <v>0</v>
      </c>
      <c r="AJ199" s="88">
        <f>IF(OR(AG199&lt;=0,AH199&lt;=0),"",LN(AG199)-LN(AH199))</f>
        <v/>
      </c>
      <c r="AK199" t="n">
        <v>12949</v>
      </c>
      <c r="AL199" t="n">
        <v>81043</v>
      </c>
      <c r="AM199" s="88">
        <f>IF(OR(AK199&lt;=0,AL199&lt;=0),"",LN(AK199)-LN(AL199))</f>
        <v/>
      </c>
      <c r="AN199" t="n">
        <v>4686</v>
      </c>
      <c r="AO199" t="n">
        <v>86361</v>
      </c>
      <c r="AP199" s="88">
        <f>IF(OR(AN199&lt;=0,AO199&lt;=0),"",LN(AN199)-LN(AO199))</f>
        <v/>
      </c>
      <c r="AQ199" t="n">
        <v>4642</v>
      </c>
      <c r="AR199" t="n">
        <v>89190</v>
      </c>
      <c r="AS199" s="88">
        <f>IF(OR(AQ199&lt;=0,AR199&lt;=0),"",LN(AQ199)-LN(AR199))</f>
        <v/>
      </c>
      <c r="AT199" t="n">
        <v>5115</v>
      </c>
      <c r="AU199" t="n">
        <v>88372</v>
      </c>
      <c r="AV199" t="n">
        <v>516</v>
      </c>
      <c r="AW199" t="n">
        <v>386</v>
      </c>
      <c r="AX199" t="n">
        <v>4384</v>
      </c>
      <c r="AY199" s="88">
        <f>IF(OR(AT199&lt;=0,AU199&lt;=0),"",LN(AT199)-LN(AU199))</f>
        <v/>
      </c>
      <c r="AZ199" s="46" t="n">
        <v>4.2</v>
      </c>
      <c r="BA199" s="46" t="n">
        <v>12.32</v>
      </c>
      <c r="BB199" s="47" t="n">
        <v>7.8</v>
      </c>
    </row>
    <row r="200">
      <c r="A200" s="48" t="n">
        <v>45490</v>
      </c>
      <c r="B200" s="49" t="n">
        <v>51997</v>
      </c>
      <c r="C200" s="50" t="n">
        <v>4.2</v>
      </c>
      <c r="D200" s="51" t="inlineStr">
        <is>
          <t>Good</t>
        </is>
      </c>
      <c r="E200" s="52" t="n">
        <v>25.4</v>
      </c>
      <c r="F200" s="52" t="n">
        <v>98.8</v>
      </c>
      <c r="G200" s="51" t="inlineStr">
        <is>
          <t>Wed</t>
        </is>
      </c>
      <c r="H200" s="51" t="inlineStr">
        <is>
          <t>Weekday</t>
        </is>
      </c>
      <c r="I200" s="51" t="inlineStr">
        <is>
          <t>Summer</t>
        </is>
      </c>
      <c r="J200" s="51" t="n">
        <v>25</v>
      </c>
      <c r="K200" s="51" t="inlineStr">
        <is>
          <t>OK</t>
        </is>
      </c>
      <c r="L200" s="46" t="n">
        <v>10.68</v>
      </c>
      <c r="M200" t="inlineStr">
        <is>
          <t>Good</t>
        </is>
      </c>
      <c r="N200" s="87" t="n">
        <v>25</v>
      </c>
      <c r="O200" s="87" t="n">
        <v>0</v>
      </c>
      <c r="P200" s="87" t="n">
        <v>0</v>
      </c>
      <c r="Q200" s="87" t="n">
        <v>0</v>
      </c>
      <c r="R200" s="87" t="n">
        <v>0</v>
      </c>
      <c r="S200" s="47" t="n">
        <v>2.5</v>
      </c>
      <c r="T200" s="47" t="n">
        <v>91.59999999999999</v>
      </c>
      <c r="U200" s="47" t="n"/>
      <c r="V200" s="87" t="n">
        <v>0</v>
      </c>
      <c r="W200" s="87" t="n">
        <v>0</v>
      </c>
      <c r="Y200" t="inlineStr">
        <is>
          <t>Jul</t>
        </is>
      </c>
      <c r="Z200" s="87" t="n">
        <v>2024</v>
      </c>
      <c r="AA200" s="47">
        <f>IF(F200="",0,F200)</f>
        <v/>
      </c>
      <c r="AB200" s="87">
        <f>IF(AA200&gt;=0.1,1,0)</f>
        <v/>
      </c>
      <c r="AC200" s="87" t="n">
        <v>0</v>
      </c>
      <c r="AD200" s="47">
        <f>IF(U200="",0,U200)</f>
        <v/>
      </c>
      <c r="AE200" s="87">
        <f>IF(OR(V200=1,W200=1),1,0)</f>
        <v/>
      </c>
      <c r="AF200" s="87" t="n">
        <v>0</v>
      </c>
      <c r="AG200" t="n">
        <v>2700</v>
      </c>
      <c r="AH200" t="n">
        <v>49297</v>
      </c>
      <c r="AI200" t="n">
        <v>0</v>
      </c>
      <c r="AJ200" s="88">
        <f>IF(OR(AG200&lt;=0,AH200&lt;=0),"",LN(AG200)-LN(AH200))</f>
        <v/>
      </c>
      <c r="AK200" t="n">
        <v>7757</v>
      </c>
      <c r="AL200" t="n">
        <v>44240</v>
      </c>
      <c r="AM200" s="88">
        <f>IF(OR(AK200&lt;=0,AL200&lt;=0),"",LN(AK200)-LN(AL200))</f>
        <v/>
      </c>
      <c r="AN200" t="n">
        <v>2634</v>
      </c>
      <c r="AO200" t="n">
        <v>47635</v>
      </c>
      <c r="AP200" s="88">
        <f>IF(OR(AN200&lt;=0,AO200&lt;=0),"",LN(AN200)-LN(AO200))</f>
        <v/>
      </c>
      <c r="AQ200" t="n">
        <v>2665</v>
      </c>
      <c r="AR200" t="n">
        <v>49297</v>
      </c>
      <c r="AS200" s="88">
        <f>IF(OR(AQ200&lt;=0,AR200&lt;=0),"",LN(AQ200)-LN(AR200))</f>
        <v/>
      </c>
      <c r="AT200" t="n">
        <v>3794</v>
      </c>
      <c r="AU200" t="n">
        <v>47844</v>
      </c>
      <c r="AV200" t="n">
        <v>363</v>
      </c>
      <c r="AW200" t="n">
        <v>300</v>
      </c>
      <c r="AX200" t="n">
        <v>2386</v>
      </c>
      <c r="AY200" s="88">
        <f>IF(OR(AT200&lt;=0,AU200&lt;=0),"",LN(AT200)-LN(AU200))</f>
        <v/>
      </c>
      <c r="AZ200" s="46" t="n">
        <v>0.1</v>
      </c>
      <c r="BA200" s="46" t="n">
        <v>3.48</v>
      </c>
      <c r="BB200" s="47" t="n">
        <v>9.800000000000001</v>
      </c>
    </row>
    <row r="201">
      <c r="A201" s="48" t="n">
        <v>45491</v>
      </c>
      <c r="B201" s="49" t="n">
        <v>42866</v>
      </c>
      <c r="C201" s="50" t="n">
        <v>4.32</v>
      </c>
      <c r="D201" s="51" t="inlineStr">
        <is>
          <t>Good</t>
        </is>
      </c>
      <c r="E201" s="52" t="n">
        <v>24.3</v>
      </c>
      <c r="F201" s="52" t="n">
        <v>128.8</v>
      </c>
      <c r="G201" s="51" t="inlineStr">
        <is>
          <t>Thu</t>
        </is>
      </c>
      <c r="H201" s="51" t="inlineStr">
        <is>
          <t>Weekday</t>
        </is>
      </c>
      <c r="I201" s="51" t="inlineStr">
        <is>
          <t>Summer</t>
        </is>
      </c>
      <c r="J201" s="51" t="n">
        <v>25</v>
      </c>
      <c r="K201" s="51" t="inlineStr">
        <is>
          <t>OK</t>
        </is>
      </c>
      <c r="L201" s="46" t="n">
        <v>9.08</v>
      </c>
      <c r="M201" t="inlineStr">
        <is>
          <t>Good</t>
        </is>
      </c>
      <c r="N201" s="87" t="n">
        <v>25</v>
      </c>
      <c r="O201" s="87" t="n">
        <v>0</v>
      </c>
      <c r="P201" s="87" t="n">
        <v>0</v>
      </c>
      <c r="Q201" s="87" t="n">
        <v>0</v>
      </c>
      <c r="R201" s="87" t="n">
        <v>0</v>
      </c>
      <c r="S201" s="47" t="n">
        <v>2.2</v>
      </c>
      <c r="T201" s="47" t="n">
        <v>95.3</v>
      </c>
      <c r="U201" s="47" t="n"/>
      <c r="V201" s="87" t="n">
        <v>0</v>
      </c>
      <c r="W201" s="87" t="n">
        <v>0</v>
      </c>
      <c r="Y201" t="inlineStr">
        <is>
          <t>Jul</t>
        </is>
      </c>
      <c r="Z201" s="87" t="n">
        <v>2024</v>
      </c>
      <c r="AA201" s="47">
        <f>IF(F201="",0,F201)</f>
        <v/>
      </c>
      <c r="AB201" s="87">
        <f>IF(AA201&gt;=0.1,1,0)</f>
        <v/>
      </c>
      <c r="AC201" s="87" t="n">
        <v>0</v>
      </c>
      <c r="AD201" s="47">
        <f>IF(U201="",0,U201)</f>
        <v/>
      </c>
      <c r="AE201" s="87">
        <f>IF(OR(V201=1,W201=1),1,0)</f>
        <v/>
      </c>
      <c r="AF201" s="87" t="n">
        <v>0</v>
      </c>
      <c r="AG201" t="n">
        <v>1876</v>
      </c>
      <c r="AH201" t="n">
        <v>40990</v>
      </c>
      <c r="AI201" t="n">
        <v>0</v>
      </c>
      <c r="AJ201" s="88">
        <f>IF(OR(AG201&lt;=0,AH201&lt;=0),"",LN(AG201)-LN(AH201))</f>
        <v/>
      </c>
      <c r="AK201" t="n">
        <v>5769</v>
      </c>
      <c r="AL201" t="n">
        <v>37097</v>
      </c>
      <c r="AM201" s="88">
        <f>IF(OR(AK201&lt;=0,AL201&lt;=0),"",LN(AK201)-LN(AL201))</f>
        <v/>
      </c>
      <c r="AN201" t="n">
        <v>1816</v>
      </c>
      <c r="AO201" t="n">
        <v>39583</v>
      </c>
      <c r="AP201" s="88">
        <f>IF(OR(AN201&lt;=0,AO201&lt;=0),"",LN(AN201)-LN(AO201))</f>
        <v/>
      </c>
      <c r="AQ201" t="n">
        <v>1832</v>
      </c>
      <c r="AR201" t="n">
        <v>40990</v>
      </c>
      <c r="AS201" s="88">
        <f>IF(OR(AQ201&lt;=0,AR201&lt;=0),"",LN(AQ201)-LN(AR201))</f>
        <v/>
      </c>
      <c r="AT201" t="n">
        <v>2687</v>
      </c>
      <c r="AU201" t="n">
        <v>39906</v>
      </c>
      <c r="AV201" t="n">
        <v>274</v>
      </c>
      <c r="AW201" t="n">
        <v>234</v>
      </c>
      <c r="AX201" t="n">
        <v>1635</v>
      </c>
      <c r="AY201" s="88">
        <f>IF(OR(AT201&lt;=0,AU201&lt;=0),"",LN(AT201)-LN(AU201))</f>
        <v/>
      </c>
      <c r="AZ201" s="46" t="n">
        <v>0</v>
      </c>
      <c r="BA201" s="46" t="n">
        <v>2.47</v>
      </c>
      <c r="BB201" s="47" t="n">
        <v>10</v>
      </c>
    </row>
    <row r="202">
      <c r="A202" s="48" t="n">
        <v>45492</v>
      </c>
      <c r="B202" s="49" t="n">
        <v>158608</v>
      </c>
      <c r="C202" s="50" t="n">
        <v>16.36</v>
      </c>
      <c r="D202" s="51" t="inlineStr">
        <is>
          <t>Moderate</t>
        </is>
      </c>
      <c r="E202" s="52" t="n">
        <v>27</v>
      </c>
      <c r="F202" s="52" t="n">
        <v>0.1</v>
      </c>
      <c r="G202" s="51" t="inlineStr">
        <is>
          <t>Fri</t>
        </is>
      </c>
      <c r="H202" s="51" t="inlineStr">
        <is>
          <t>Weekday</t>
        </is>
      </c>
      <c r="I202" s="51" t="inlineStr">
        <is>
          <t>Summer</t>
        </is>
      </c>
      <c r="J202" s="51" t="n">
        <v>25</v>
      </c>
      <c r="K202" s="51" t="inlineStr">
        <is>
          <t>OK</t>
        </is>
      </c>
      <c r="L202" s="46" t="n">
        <v>23.4</v>
      </c>
      <c r="M202" t="inlineStr">
        <is>
          <t>Good</t>
        </is>
      </c>
      <c r="N202" s="87" t="n">
        <v>25</v>
      </c>
      <c r="O202" s="87" t="n">
        <v>0</v>
      </c>
      <c r="P202" s="87" t="n">
        <v>0</v>
      </c>
      <c r="Q202" s="87" t="n">
        <v>0</v>
      </c>
      <c r="R202" s="87" t="n">
        <v>0</v>
      </c>
      <c r="S202" s="47" t="n">
        <v>2.2</v>
      </c>
      <c r="T202" s="47" t="n">
        <v>80.09999999999999</v>
      </c>
      <c r="U202" s="47" t="n"/>
      <c r="V202" s="87" t="n">
        <v>0</v>
      </c>
      <c r="W202" s="87" t="n">
        <v>0</v>
      </c>
      <c r="Y202" t="inlineStr">
        <is>
          <t>Jul</t>
        </is>
      </c>
      <c r="Z202" s="87" t="n">
        <v>2024</v>
      </c>
      <c r="AA202" s="47">
        <f>IF(F202="",0,F202)</f>
        <v/>
      </c>
      <c r="AB202" s="87">
        <f>IF(AA202&gt;=0.1,1,0)</f>
        <v/>
      </c>
      <c r="AC202" s="87" t="n">
        <v>0</v>
      </c>
      <c r="AD202" s="47">
        <f>IF(U202="",0,U202)</f>
        <v/>
      </c>
      <c r="AE202" s="87">
        <f>IF(OR(V202=1,W202=1),1,0)</f>
        <v/>
      </c>
      <c r="AF202" s="87" t="n">
        <v>0</v>
      </c>
      <c r="AG202" t="n">
        <v>8456</v>
      </c>
      <c r="AH202" t="n">
        <v>150152</v>
      </c>
      <c r="AI202" t="n">
        <v>0</v>
      </c>
      <c r="AJ202" s="88">
        <f>IF(OR(AG202&lt;=0,AH202&lt;=0),"",LN(AG202)-LN(AH202))</f>
        <v/>
      </c>
      <c r="AK202" t="n">
        <v>23100</v>
      </c>
      <c r="AL202" t="n">
        <v>135508</v>
      </c>
      <c r="AM202" s="88">
        <f>IF(OR(AK202&lt;=0,AL202&lt;=0),"",LN(AK202)-LN(AL202))</f>
        <v/>
      </c>
      <c r="AN202" t="n">
        <v>8210</v>
      </c>
      <c r="AO202" t="n">
        <v>145290</v>
      </c>
      <c r="AP202" s="88">
        <f>IF(OR(AN202&lt;=0,AO202&lt;=0),"",LN(AN202)-LN(AO202))</f>
        <v/>
      </c>
      <c r="AQ202" t="n">
        <v>8243</v>
      </c>
      <c r="AR202" t="n">
        <v>150152</v>
      </c>
      <c r="AS202" s="88">
        <f>IF(OR(AQ202&lt;=0,AR202&lt;=0),"",LN(AQ202)-LN(AR202))</f>
        <v/>
      </c>
      <c r="AT202" t="n">
        <v>10437</v>
      </c>
      <c r="AU202" t="n">
        <v>147186</v>
      </c>
      <c r="AV202" t="n">
        <v>998</v>
      </c>
      <c r="AW202" t="n">
        <v>912</v>
      </c>
      <c r="AX202" t="n">
        <v>7484</v>
      </c>
      <c r="AY202" s="88">
        <f>IF(OR(AT202&lt;=0,AU202&lt;=0),"",LN(AT202)-LN(AU202))</f>
        <v/>
      </c>
      <c r="AZ202" s="46" t="n">
        <v>6.4</v>
      </c>
      <c r="BA202" s="46" t="n">
        <v>21.69</v>
      </c>
      <c r="BB202" s="47" t="n">
        <v>7.9</v>
      </c>
    </row>
    <row r="203">
      <c r="A203" s="48" t="n">
        <v>45493</v>
      </c>
      <c r="B203" s="49" t="n">
        <v>84487</v>
      </c>
      <c r="C203" s="50" t="n">
        <v>9.08</v>
      </c>
      <c r="D203" s="51" t="inlineStr">
        <is>
          <t>Good</t>
        </is>
      </c>
      <c r="E203" s="52" t="n">
        <v>27.2</v>
      </c>
      <c r="F203" s="52" t="n">
        <v>14.9</v>
      </c>
      <c r="G203" s="51" t="inlineStr">
        <is>
          <t>Sat</t>
        </is>
      </c>
      <c r="H203" s="51" t="inlineStr">
        <is>
          <t>Weekend</t>
        </is>
      </c>
      <c r="I203" s="51" t="inlineStr">
        <is>
          <t>Summer</t>
        </is>
      </c>
      <c r="J203" s="51" t="n">
        <v>25</v>
      </c>
      <c r="K203" s="51" t="inlineStr">
        <is>
          <t>OK</t>
        </is>
      </c>
      <c r="L203" s="46" t="n">
        <v>15.16</v>
      </c>
      <c r="M203" t="inlineStr">
        <is>
          <t>Good</t>
        </is>
      </c>
      <c r="N203" s="87" t="n">
        <v>25</v>
      </c>
      <c r="O203" s="87" t="n">
        <v>0</v>
      </c>
      <c r="P203" s="87" t="n">
        <v>0</v>
      </c>
      <c r="Q203" s="87" t="n">
        <v>0</v>
      </c>
      <c r="R203" s="87" t="n">
        <v>0</v>
      </c>
      <c r="S203" s="47" t="n">
        <v>2.7</v>
      </c>
      <c r="T203" s="47" t="n">
        <v>80.40000000000001</v>
      </c>
      <c r="U203" s="47" t="n"/>
      <c r="V203" s="87" t="n">
        <v>1</v>
      </c>
      <c r="W203" s="87" t="n">
        <v>0</v>
      </c>
      <c r="Y203" t="inlineStr">
        <is>
          <t>Jul</t>
        </is>
      </c>
      <c r="Z203" s="87" t="n">
        <v>2024</v>
      </c>
      <c r="AA203" s="47">
        <f>IF(F203="",0,F203)</f>
        <v/>
      </c>
      <c r="AB203" s="87">
        <f>IF(AA203&gt;=0.1,1,0)</f>
        <v/>
      </c>
      <c r="AC203" s="87" t="n">
        <v>0</v>
      </c>
      <c r="AD203" s="47">
        <f>IF(U203="",0,U203)</f>
        <v/>
      </c>
      <c r="AE203" s="87">
        <f>IF(OR(V203=1,W203=1),1,0)</f>
        <v/>
      </c>
      <c r="AF203" s="87" t="n">
        <v>0</v>
      </c>
      <c r="AG203" t="n">
        <v>4770</v>
      </c>
      <c r="AH203" t="n">
        <v>79717</v>
      </c>
      <c r="AI203" t="n">
        <v>0</v>
      </c>
      <c r="AJ203" s="88">
        <f>IF(OR(AG203&lt;=0,AH203&lt;=0),"",LN(AG203)-LN(AH203))</f>
        <v/>
      </c>
      <c r="AK203" t="n">
        <v>12423</v>
      </c>
      <c r="AL203" t="n">
        <v>72064</v>
      </c>
      <c r="AM203" s="88">
        <f>IF(OR(AK203&lt;=0,AL203&lt;=0),"",LN(AK203)-LN(AL203))</f>
        <v/>
      </c>
      <c r="AN203" t="n">
        <v>4607</v>
      </c>
      <c r="AO203" t="n">
        <v>77207</v>
      </c>
      <c r="AP203" s="88">
        <f>IF(OR(AN203&lt;=0,AO203&lt;=0),"",LN(AN203)-LN(AO203))</f>
        <v/>
      </c>
      <c r="AQ203" t="n">
        <v>4645</v>
      </c>
      <c r="AR203" t="n">
        <v>79717</v>
      </c>
      <c r="AS203" s="88">
        <f>IF(OR(AQ203&lt;=0,AR203&lt;=0),"",LN(AQ203)-LN(AR203))</f>
        <v/>
      </c>
      <c r="AT203" t="n">
        <v>6909</v>
      </c>
      <c r="AU203" t="n">
        <v>77060</v>
      </c>
      <c r="AV203" t="n">
        <v>521</v>
      </c>
      <c r="AW203" t="n">
        <v>610</v>
      </c>
      <c r="AX203" t="n">
        <v>4123</v>
      </c>
      <c r="AY203" s="88">
        <f>IF(OR(AT203&lt;=0,AU203&lt;=0),"",LN(AT203)-LN(AU203))</f>
        <v/>
      </c>
      <c r="AZ203" s="46" t="n">
        <v>1.9</v>
      </c>
      <c r="BA203" s="46" t="n">
        <v>13.42</v>
      </c>
      <c r="BB203" s="47" t="n">
        <v>9</v>
      </c>
    </row>
    <row r="204">
      <c r="A204" s="48" t="n">
        <v>45494</v>
      </c>
      <c r="B204" s="49" t="n">
        <v>97476</v>
      </c>
      <c r="C204" s="50" t="n">
        <v>9.119999999999999</v>
      </c>
      <c r="D204" s="51" t="inlineStr">
        <is>
          <t>Good</t>
        </is>
      </c>
      <c r="E204" s="52" t="n">
        <v>26.5</v>
      </c>
      <c r="F204" s="52" t="n">
        <v>8.5</v>
      </c>
      <c r="G204" s="51" t="inlineStr">
        <is>
          <t>Sun</t>
        </is>
      </c>
      <c r="H204" s="51" t="inlineStr">
        <is>
          <t>Weekend</t>
        </is>
      </c>
      <c r="I204" s="51" t="inlineStr">
        <is>
          <t>Summer</t>
        </is>
      </c>
      <c r="J204" s="51" t="n">
        <v>25</v>
      </c>
      <c r="K204" s="51" t="inlineStr">
        <is>
          <t>OK</t>
        </is>
      </c>
      <c r="L204" s="46" t="n">
        <v>18.36</v>
      </c>
      <c r="M204" t="inlineStr">
        <is>
          <t>Good</t>
        </is>
      </c>
      <c r="N204" s="87" t="n">
        <v>25</v>
      </c>
      <c r="O204" s="87" t="n">
        <v>0</v>
      </c>
      <c r="P204" s="87" t="n">
        <v>0</v>
      </c>
      <c r="Q204" s="87" t="n">
        <v>0</v>
      </c>
      <c r="R204" s="87" t="n">
        <v>0</v>
      </c>
      <c r="S204" s="47" t="n">
        <v>3.6</v>
      </c>
      <c r="T204" s="47" t="n">
        <v>83.59999999999999</v>
      </c>
      <c r="U204" s="47" t="n"/>
      <c r="V204" s="87" t="n">
        <v>1</v>
      </c>
      <c r="W204" s="87" t="n">
        <v>0</v>
      </c>
      <c r="Y204" t="inlineStr">
        <is>
          <t>Jul</t>
        </is>
      </c>
      <c r="Z204" s="87" t="n">
        <v>2024</v>
      </c>
      <c r="AA204" s="47">
        <f>IF(F204="",0,F204)</f>
        <v/>
      </c>
      <c r="AB204" s="87">
        <f>IF(AA204&gt;=0.1,1,0)</f>
        <v/>
      </c>
      <c r="AC204" s="87" t="n">
        <v>0</v>
      </c>
      <c r="AD204" s="47">
        <f>IF(U204="",0,U204)</f>
        <v/>
      </c>
      <c r="AE204" s="87">
        <f>IF(OR(V204=1,W204=1),1,0)</f>
        <v/>
      </c>
      <c r="AF204" s="87" t="n">
        <v>0</v>
      </c>
      <c r="AG204" t="n">
        <v>6995</v>
      </c>
      <c r="AH204" t="n">
        <v>90481</v>
      </c>
      <c r="AI204" t="n">
        <v>0</v>
      </c>
      <c r="AJ204" s="88">
        <f>IF(OR(AG204&lt;=0,AH204&lt;=0),"",LN(AG204)-LN(AH204))</f>
        <v/>
      </c>
      <c r="AK204" t="n">
        <v>16337</v>
      </c>
      <c r="AL204" t="n">
        <v>81139</v>
      </c>
      <c r="AM204" s="88">
        <f>IF(OR(AK204&lt;=0,AL204&lt;=0),"",LN(AK204)-LN(AL204))</f>
        <v/>
      </c>
      <c r="AN204" t="n">
        <v>6764</v>
      </c>
      <c r="AO204" t="n">
        <v>87577</v>
      </c>
      <c r="AP204" s="88">
        <f>IF(OR(AN204&lt;=0,AO204&lt;=0),"",LN(AN204)-LN(AO204))</f>
        <v/>
      </c>
      <c r="AQ204" t="n">
        <v>6785</v>
      </c>
      <c r="AR204" t="n">
        <v>90481</v>
      </c>
      <c r="AS204" s="88">
        <f>IF(OR(AQ204&lt;=0,AR204&lt;=0),"",LN(AQ204)-LN(AR204))</f>
        <v/>
      </c>
      <c r="AT204" t="n">
        <v>9871</v>
      </c>
      <c r="AU204" t="n">
        <v>87033</v>
      </c>
      <c r="AV204" t="n">
        <v>575</v>
      </c>
      <c r="AW204" t="n">
        <v>1217</v>
      </c>
      <c r="AX204" t="n">
        <v>5728</v>
      </c>
      <c r="AY204" s="88">
        <f>IF(OR(AT204&lt;=0,AU204&lt;=0),"",LN(AT204)-LN(AU204))</f>
        <v/>
      </c>
      <c r="AZ204" s="46" t="n">
        <v>1.5</v>
      </c>
      <c r="BA204" s="46" t="n">
        <v>11.48</v>
      </c>
      <c r="BB204" s="47" t="n">
        <v>9.300000000000001</v>
      </c>
    </row>
    <row r="205">
      <c r="A205" s="48" t="n">
        <v>45495</v>
      </c>
      <c r="B205" s="49" t="n">
        <v>85672</v>
      </c>
      <c r="C205" s="50" t="n">
        <v>6.04</v>
      </c>
      <c r="D205" s="51" t="inlineStr">
        <is>
          <t>Good</t>
        </is>
      </c>
      <c r="E205" s="52" t="n">
        <v>26.6</v>
      </c>
      <c r="F205" s="52" t="n">
        <v>79.90000000000001</v>
      </c>
      <c r="G205" s="51" t="inlineStr">
        <is>
          <t>Mon</t>
        </is>
      </c>
      <c r="H205" s="51" t="inlineStr">
        <is>
          <t>Weekday</t>
        </is>
      </c>
      <c r="I205" s="51" t="inlineStr">
        <is>
          <t>Summer</t>
        </is>
      </c>
      <c r="J205" s="51" t="n">
        <v>25</v>
      </c>
      <c r="K205" s="51" t="inlineStr">
        <is>
          <t>OK</t>
        </is>
      </c>
      <c r="L205" s="46" t="n">
        <v>13.48</v>
      </c>
      <c r="M205" t="inlineStr">
        <is>
          <t>Good</t>
        </is>
      </c>
      <c r="N205" s="87" t="n">
        <v>25</v>
      </c>
      <c r="O205" s="87" t="n">
        <v>0</v>
      </c>
      <c r="P205" s="87" t="n">
        <v>0</v>
      </c>
      <c r="Q205" s="87" t="n">
        <v>0</v>
      </c>
      <c r="R205" s="87" t="n">
        <v>0</v>
      </c>
      <c r="S205" s="47" t="n">
        <v>3.1</v>
      </c>
      <c r="T205" s="47" t="n">
        <v>89</v>
      </c>
      <c r="U205" s="47" t="n"/>
      <c r="V205" s="87" t="n">
        <v>0</v>
      </c>
      <c r="W205" s="87" t="n">
        <v>0</v>
      </c>
      <c r="Y205" t="inlineStr">
        <is>
          <t>Jul</t>
        </is>
      </c>
      <c r="Z205" s="87" t="n">
        <v>2024</v>
      </c>
      <c r="AA205" s="47">
        <f>IF(F205="",0,F205)</f>
        <v/>
      </c>
      <c r="AB205" s="87">
        <f>IF(AA205&gt;=0.1,1,0)</f>
        <v/>
      </c>
      <c r="AC205" s="87" t="n">
        <v>0</v>
      </c>
      <c r="AD205" s="47">
        <f>IF(U205="",0,U205)</f>
        <v/>
      </c>
      <c r="AE205" s="87">
        <f>IF(OR(V205=1,W205=1),1,0)</f>
        <v/>
      </c>
      <c r="AF205" s="87" t="n">
        <v>0</v>
      </c>
      <c r="AG205" t="n">
        <v>4200</v>
      </c>
      <c r="AH205" t="n">
        <v>81472</v>
      </c>
      <c r="AI205" t="n">
        <v>0</v>
      </c>
      <c r="AJ205" s="88">
        <f>IF(OR(AG205&lt;=0,AH205&lt;=0),"",LN(AG205)-LN(AH205))</f>
        <v/>
      </c>
      <c r="AK205" t="n">
        <v>12124</v>
      </c>
      <c r="AL205" t="n">
        <v>73548</v>
      </c>
      <c r="AM205" s="88">
        <f>IF(OR(AK205&lt;=0,AL205&lt;=0),"",LN(AK205)-LN(AL205))</f>
        <v/>
      </c>
      <c r="AN205" t="n">
        <v>4130</v>
      </c>
      <c r="AO205" t="n">
        <v>78864</v>
      </c>
      <c r="AP205" s="88">
        <f>IF(OR(AN205&lt;=0,AO205&lt;=0),"",LN(AN205)-LN(AO205))</f>
        <v/>
      </c>
      <c r="AQ205" t="n">
        <v>4101</v>
      </c>
      <c r="AR205" t="n">
        <v>81472</v>
      </c>
      <c r="AS205" s="88">
        <f>IF(OR(AQ205&lt;=0,AR205&lt;=0),"",LN(AQ205)-LN(AR205))</f>
        <v/>
      </c>
      <c r="AT205" t="n">
        <v>4822</v>
      </c>
      <c r="AU205" t="n">
        <v>80311</v>
      </c>
      <c r="AV205" t="n">
        <v>543</v>
      </c>
      <c r="AW205" t="n">
        <v>405</v>
      </c>
      <c r="AX205" t="n">
        <v>3769</v>
      </c>
      <c r="AY205" s="88">
        <f>IF(OR(AT205&lt;=0,AU205&lt;=0),"",LN(AT205)-LN(AU205))</f>
        <v/>
      </c>
      <c r="AZ205" s="46" t="n">
        <v>0</v>
      </c>
      <c r="BA205" s="46" t="n">
        <v>4.09</v>
      </c>
      <c r="BB205" s="47" t="n">
        <v>9.9</v>
      </c>
    </row>
    <row r="206">
      <c r="A206" s="48" t="n">
        <v>45496</v>
      </c>
      <c r="B206" s="49" t="n">
        <v>113308</v>
      </c>
      <c r="C206" s="50" t="n">
        <v>5.48</v>
      </c>
      <c r="D206" s="51" t="inlineStr">
        <is>
          <t>Good</t>
        </is>
      </c>
      <c r="E206" s="52" t="n">
        <v>26.4</v>
      </c>
      <c r="F206" s="52" t="n">
        <v>2</v>
      </c>
      <c r="G206" s="51" t="inlineStr">
        <is>
          <t>Tue</t>
        </is>
      </c>
      <c r="H206" s="51" t="inlineStr">
        <is>
          <t>Weekday</t>
        </is>
      </c>
      <c r="I206" s="51" t="inlineStr">
        <is>
          <t>Summer</t>
        </is>
      </c>
      <c r="J206" s="51" t="n">
        <v>25</v>
      </c>
      <c r="K206" s="51" t="inlineStr">
        <is>
          <t>OK</t>
        </is>
      </c>
      <c r="L206" s="46" t="n">
        <v>11.28</v>
      </c>
      <c r="M206" t="inlineStr">
        <is>
          <t>Good</t>
        </is>
      </c>
      <c r="N206" s="87" t="n">
        <v>25</v>
      </c>
      <c r="O206" s="87" t="n">
        <v>0</v>
      </c>
      <c r="P206" s="87" t="n">
        <v>0</v>
      </c>
      <c r="Q206" s="87" t="n">
        <v>0</v>
      </c>
      <c r="R206" s="87" t="n">
        <v>0</v>
      </c>
      <c r="S206" s="47" t="n">
        <v>3.2</v>
      </c>
      <c r="T206" s="47" t="n">
        <v>87.90000000000001</v>
      </c>
      <c r="U206" s="47" t="n"/>
      <c r="V206" s="87" t="n">
        <v>0</v>
      </c>
      <c r="W206" s="87" t="n">
        <v>0</v>
      </c>
      <c r="Y206" t="inlineStr">
        <is>
          <t>Jul</t>
        </is>
      </c>
      <c r="Z206" s="87" t="n">
        <v>2024</v>
      </c>
      <c r="AA206" s="47">
        <f>IF(F206="",0,F206)</f>
        <v/>
      </c>
      <c r="AB206" s="87">
        <f>IF(AA206&gt;=0.1,1,0)</f>
        <v/>
      </c>
      <c r="AC206" s="87" t="n">
        <v>0</v>
      </c>
      <c r="AD206" s="47">
        <f>IF(U206="",0,U206)</f>
        <v/>
      </c>
      <c r="AE206" s="87">
        <f>IF(OR(V206=1,W206=1),1,0)</f>
        <v/>
      </c>
      <c r="AF206" s="87" t="n">
        <v>0</v>
      </c>
      <c r="AG206" t="n">
        <v>5630</v>
      </c>
      <c r="AH206" t="n">
        <v>107678</v>
      </c>
      <c r="AI206" t="n">
        <v>0</v>
      </c>
      <c r="AJ206" s="88">
        <f>IF(OR(AG206&lt;=0,AH206&lt;=0),"",LN(AG206)-LN(AH206))</f>
        <v/>
      </c>
      <c r="AK206" t="n">
        <v>16035</v>
      </c>
      <c r="AL206" t="n">
        <v>97273</v>
      </c>
      <c r="AM206" s="88">
        <f>IF(OR(AK206&lt;=0,AL206&lt;=0),"",LN(AK206)-LN(AL206))</f>
        <v/>
      </c>
      <c r="AN206" t="n">
        <v>5538</v>
      </c>
      <c r="AO206" t="n">
        <v>104227</v>
      </c>
      <c r="AP206" s="88">
        <f>IF(OR(AN206&lt;=0,AO206&lt;=0),"",LN(AN206)-LN(AO206))</f>
        <v/>
      </c>
      <c r="AQ206" t="n">
        <v>5463</v>
      </c>
      <c r="AR206" t="n">
        <v>107678</v>
      </c>
      <c r="AS206" s="88">
        <f>IF(OR(AQ206&lt;=0,AR206&lt;=0),"",LN(AQ206)-LN(AR206))</f>
        <v/>
      </c>
      <c r="AT206" t="n">
        <v>6384</v>
      </c>
      <c r="AU206" t="n">
        <v>106237</v>
      </c>
      <c r="AV206" t="n">
        <v>697</v>
      </c>
      <c r="AW206" t="n">
        <v>483</v>
      </c>
      <c r="AX206" t="n">
        <v>5113</v>
      </c>
      <c r="AY206" s="88">
        <f>IF(OR(AT206&lt;=0,AU206&lt;=0),"",LN(AT206)-LN(AU206))</f>
        <v/>
      </c>
      <c r="AZ206" s="46" t="n">
        <v>0</v>
      </c>
      <c r="BA206" s="46" t="n">
        <v>4.92</v>
      </c>
      <c r="BB206" s="47" t="n">
        <v>9.6</v>
      </c>
    </row>
    <row r="207">
      <c r="A207" s="48" t="n">
        <v>45497</v>
      </c>
      <c r="B207" s="49" t="n">
        <v>126749</v>
      </c>
      <c r="C207" s="50" t="n">
        <v>6.32</v>
      </c>
      <c r="D207" s="51" t="inlineStr">
        <is>
          <t>Good</t>
        </is>
      </c>
      <c r="E207" s="52" t="n">
        <v>28.1</v>
      </c>
      <c r="F207" s="52" t="n">
        <v>14.7</v>
      </c>
      <c r="G207" s="51" t="inlineStr">
        <is>
          <t>Wed</t>
        </is>
      </c>
      <c r="H207" s="51" t="inlineStr">
        <is>
          <t>Weekday</t>
        </is>
      </c>
      <c r="I207" s="51" t="inlineStr">
        <is>
          <t>Summer</t>
        </is>
      </c>
      <c r="J207" s="51" t="n">
        <v>25</v>
      </c>
      <c r="K207" s="51" t="inlineStr">
        <is>
          <t>OK</t>
        </is>
      </c>
      <c r="L207" s="46" t="n">
        <v>14.08</v>
      </c>
      <c r="M207" t="inlineStr">
        <is>
          <t>Good</t>
        </is>
      </c>
      <c r="N207" s="87" t="n">
        <v>25</v>
      </c>
      <c r="O207" s="87" t="n">
        <v>0</v>
      </c>
      <c r="P207" s="87" t="n">
        <v>0</v>
      </c>
      <c r="Q207" s="87" t="n">
        <v>0</v>
      </c>
      <c r="R207" s="87" t="n">
        <v>0</v>
      </c>
      <c r="S207" s="47" t="n">
        <v>2.6</v>
      </c>
      <c r="T207" s="47" t="n">
        <v>85</v>
      </c>
      <c r="U207" s="47" t="n"/>
      <c r="V207" s="87" t="n">
        <v>0</v>
      </c>
      <c r="W207" s="87" t="n">
        <v>0</v>
      </c>
      <c r="Y207" t="inlineStr">
        <is>
          <t>Jul</t>
        </is>
      </c>
      <c r="Z207" s="87" t="n">
        <v>2024</v>
      </c>
      <c r="AA207" s="47">
        <f>IF(F207="",0,F207)</f>
        <v/>
      </c>
      <c r="AB207" s="87">
        <f>IF(AA207&gt;=0.1,1,0)</f>
        <v/>
      </c>
      <c r="AC207" s="87" t="n">
        <v>0</v>
      </c>
      <c r="AD207" s="47">
        <f>IF(U207="",0,U207)</f>
        <v/>
      </c>
      <c r="AE207" s="87">
        <f>IF(OR(V207=1,W207=1),1,0)</f>
        <v/>
      </c>
      <c r="AF207" s="87" t="n">
        <v>0</v>
      </c>
      <c r="AG207" t="n">
        <v>6452</v>
      </c>
      <c r="AH207" t="n">
        <v>120297</v>
      </c>
      <c r="AI207" t="n">
        <v>0</v>
      </c>
      <c r="AJ207" s="88">
        <f>IF(OR(AG207&lt;=0,AH207&lt;=0),"",LN(AG207)-LN(AH207))</f>
        <v/>
      </c>
      <c r="AK207" t="n">
        <v>17720</v>
      </c>
      <c r="AL207" t="n">
        <v>109029</v>
      </c>
      <c r="AM207" s="88">
        <f>IF(OR(AK207&lt;=0,AL207&lt;=0),"",LN(AK207)-LN(AL207))</f>
        <v/>
      </c>
      <c r="AN207" t="n">
        <v>6309</v>
      </c>
      <c r="AO207" t="n">
        <v>116221</v>
      </c>
      <c r="AP207" s="88">
        <f>IF(OR(AN207&lt;=0,AO207&lt;=0),"",LN(AN207)-LN(AO207))</f>
        <v/>
      </c>
      <c r="AQ207" t="n">
        <v>6292</v>
      </c>
      <c r="AR207" t="n">
        <v>120297</v>
      </c>
      <c r="AS207" s="88">
        <f>IF(OR(AQ207&lt;=0,AR207&lt;=0),"",LN(AQ207)-LN(AR207))</f>
        <v/>
      </c>
      <c r="AT207" t="n">
        <v>8806</v>
      </c>
      <c r="AU207" t="n">
        <v>117210</v>
      </c>
      <c r="AV207" t="n">
        <v>743</v>
      </c>
      <c r="AW207" t="n">
        <v>723</v>
      </c>
      <c r="AX207" t="n">
        <v>5692</v>
      </c>
      <c r="AY207" s="88">
        <f>IF(OR(AT207&lt;=0,AU207&lt;=0),"",LN(AT207)-LN(AU207))</f>
        <v/>
      </c>
      <c r="AZ207" s="46" t="n">
        <v>3</v>
      </c>
      <c r="BA207" s="46" t="n">
        <v>15.31</v>
      </c>
      <c r="BB207" s="47" t="n">
        <v>7.6</v>
      </c>
    </row>
    <row r="208">
      <c r="A208" s="48" t="n">
        <v>45498</v>
      </c>
      <c r="B208" s="49" t="n">
        <v>131191</v>
      </c>
      <c r="C208" s="50" t="n">
        <v>9.08</v>
      </c>
      <c r="D208" s="51" t="inlineStr">
        <is>
          <t>Good</t>
        </is>
      </c>
      <c r="E208" s="52" t="n">
        <v>28.8</v>
      </c>
      <c r="F208" s="52" t="n">
        <v>25.3</v>
      </c>
      <c r="G208" s="51" t="inlineStr">
        <is>
          <t>Thu</t>
        </is>
      </c>
      <c r="H208" s="51" t="inlineStr">
        <is>
          <t>Weekday</t>
        </is>
      </c>
      <c r="I208" s="51" t="inlineStr">
        <is>
          <t>Summer</t>
        </is>
      </c>
      <c r="J208" s="51" t="n">
        <v>25</v>
      </c>
      <c r="K208" s="51" t="inlineStr">
        <is>
          <t>OK</t>
        </is>
      </c>
      <c r="L208" s="46" t="n">
        <v>19.36</v>
      </c>
      <c r="M208" t="inlineStr">
        <is>
          <t>Good</t>
        </is>
      </c>
      <c r="N208" s="87" t="n">
        <v>25</v>
      </c>
      <c r="O208" s="87" t="n">
        <v>0</v>
      </c>
      <c r="P208" s="87" t="n">
        <v>0</v>
      </c>
      <c r="Q208" s="87" t="n">
        <v>0</v>
      </c>
      <c r="R208" s="87" t="n">
        <v>0</v>
      </c>
      <c r="S208" s="47" t="n">
        <v>1.8</v>
      </c>
      <c r="T208" s="47" t="n">
        <v>79.8</v>
      </c>
      <c r="U208" s="47" t="n"/>
      <c r="V208" s="87" t="n">
        <v>0</v>
      </c>
      <c r="W208" s="87" t="n">
        <v>0</v>
      </c>
      <c r="Y208" t="inlineStr">
        <is>
          <t>Jul</t>
        </is>
      </c>
      <c r="Z208" s="87" t="n">
        <v>2024</v>
      </c>
      <c r="AA208" s="47">
        <f>IF(F208="",0,F208)</f>
        <v/>
      </c>
      <c r="AB208" s="87">
        <f>IF(AA208&gt;=0.1,1,0)</f>
        <v/>
      </c>
      <c r="AC208" s="87" t="n">
        <v>0</v>
      </c>
      <c r="AD208" s="47">
        <f>IF(U208="",0,U208)</f>
        <v/>
      </c>
      <c r="AE208" s="87">
        <f>IF(OR(V208=1,W208=1),1,0)</f>
        <v/>
      </c>
      <c r="AF208" s="87" t="n">
        <v>0</v>
      </c>
      <c r="AG208" t="n">
        <v>6569</v>
      </c>
      <c r="AH208" t="n">
        <v>124622</v>
      </c>
      <c r="AI208" t="n">
        <v>0</v>
      </c>
      <c r="AJ208" s="88">
        <f>IF(OR(AG208&lt;=0,AH208&lt;=0),"",LN(AG208)-LN(AH208))</f>
        <v/>
      </c>
      <c r="AK208" t="n">
        <v>18644</v>
      </c>
      <c r="AL208" t="n">
        <v>112547</v>
      </c>
      <c r="AM208" s="88">
        <f>IF(OR(AK208&lt;=0,AL208&lt;=0),"",LN(AK208)-LN(AL208))</f>
        <v/>
      </c>
      <c r="AN208" t="n">
        <v>6465</v>
      </c>
      <c r="AO208" t="n">
        <v>120641</v>
      </c>
      <c r="AP208" s="88">
        <f>IF(OR(AN208&lt;=0,AO208&lt;=0),"",LN(AN208)-LN(AO208))</f>
        <v/>
      </c>
      <c r="AQ208" t="n">
        <v>6382</v>
      </c>
      <c r="AR208" t="n">
        <v>124622</v>
      </c>
      <c r="AS208" s="88">
        <f>IF(OR(AQ208&lt;=0,AR208&lt;=0),"",LN(AQ208)-LN(AR208))</f>
        <v/>
      </c>
      <c r="AT208" t="n">
        <v>8324</v>
      </c>
      <c r="AU208" t="n">
        <v>122087</v>
      </c>
      <c r="AV208" t="n">
        <v>781</v>
      </c>
      <c r="AW208" t="n">
        <v>678</v>
      </c>
      <c r="AX208" t="n">
        <v>5853</v>
      </c>
      <c r="AY208" s="88">
        <f>IF(OR(AT208&lt;=0,AU208&lt;=0),"",LN(AT208)-LN(AU208))</f>
        <v/>
      </c>
      <c r="AZ208" s="46" t="n">
        <v>2.4</v>
      </c>
      <c r="BA208" s="46" t="n">
        <v>14.15</v>
      </c>
      <c r="BB208" s="47" t="n">
        <v>8.6</v>
      </c>
    </row>
    <row r="209">
      <c r="A209" s="48" t="n">
        <v>45499</v>
      </c>
      <c r="B209" s="49" t="n">
        <v>117450</v>
      </c>
      <c r="C209" s="50" t="n">
        <v>7.88</v>
      </c>
      <c r="D209" s="51" t="inlineStr">
        <is>
          <t>Good</t>
        </is>
      </c>
      <c r="E209" s="52" t="n">
        <v>28.7</v>
      </c>
      <c r="F209" s="52" t="n">
        <v>5.5</v>
      </c>
      <c r="G209" s="51" t="inlineStr">
        <is>
          <t>Fri</t>
        </is>
      </c>
      <c r="H209" s="51" t="inlineStr">
        <is>
          <t>Weekday</t>
        </is>
      </c>
      <c r="I209" s="51" t="inlineStr">
        <is>
          <t>Summer</t>
        </is>
      </c>
      <c r="J209" s="51" t="n">
        <v>25</v>
      </c>
      <c r="K209" s="51" t="inlineStr">
        <is>
          <t>OK</t>
        </is>
      </c>
      <c r="L209" s="46" t="n">
        <v>14.72</v>
      </c>
      <c r="M209" t="inlineStr">
        <is>
          <t>Good</t>
        </is>
      </c>
      <c r="N209" s="87" t="n">
        <v>25</v>
      </c>
      <c r="O209" s="87" t="n">
        <v>0</v>
      </c>
      <c r="P209" s="87" t="n">
        <v>0</v>
      </c>
      <c r="Q209" s="87" t="n">
        <v>0</v>
      </c>
      <c r="R209" s="87" t="n">
        <v>0</v>
      </c>
      <c r="S209" s="47" t="n">
        <v>2.3</v>
      </c>
      <c r="T209" s="47" t="n">
        <v>81.90000000000001</v>
      </c>
      <c r="U209" s="47" t="n"/>
      <c r="V209" s="87" t="n">
        <v>0</v>
      </c>
      <c r="W209" s="87" t="n">
        <v>0</v>
      </c>
      <c r="Y209" t="inlineStr">
        <is>
          <t>Jul</t>
        </is>
      </c>
      <c r="Z209" s="87" t="n">
        <v>2024</v>
      </c>
      <c r="AA209" s="47">
        <f>IF(F209="",0,F209)</f>
        <v/>
      </c>
      <c r="AB209" s="87">
        <f>IF(AA209&gt;=0.1,1,0)</f>
        <v/>
      </c>
      <c r="AC209" s="87" t="n">
        <v>0</v>
      </c>
      <c r="AD209" s="47">
        <f>IF(U209="",0,U209)</f>
        <v/>
      </c>
      <c r="AE209" s="87">
        <f>IF(OR(V209=1,W209=1),1,0)</f>
        <v/>
      </c>
      <c r="AF209" s="87" t="n">
        <v>0</v>
      </c>
      <c r="AG209" t="n">
        <v>5710</v>
      </c>
      <c r="AH209" t="n">
        <v>111740</v>
      </c>
      <c r="AI209" t="n">
        <v>0</v>
      </c>
      <c r="AJ209" s="88">
        <f>IF(OR(AG209&lt;=0,AH209&lt;=0),"",LN(AG209)-LN(AH209))</f>
        <v/>
      </c>
      <c r="AK209" t="n">
        <v>16487</v>
      </c>
      <c r="AL209" t="n">
        <v>100963</v>
      </c>
      <c r="AM209" s="88">
        <f>IF(OR(AK209&lt;=0,AL209&lt;=0),"",LN(AK209)-LN(AL209))</f>
        <v/>
      </c>
      <c r="AN209" t="n">
        <v>5609</v>
      </c>
      <c r="AO209" t="n">
        <v>108051</v>
      </c>
      <c r="AP209" s="88">
        <f>IF(OR(AN209&lt;=0,AO209&lt;=0),"",LN(AN209)-LN(AO209))</f>
        <v/>
      </c>
      <c r="AQ209" t="n">
        <v>5542</v>
      </c>
      <c r="AR209" t="n">
        <v>111740</v>
      </c>
      <c r="AS209" s="88">
        <f>IF(OR(AQ209&lt;=0,AR209&lt;=0),"",LN(AQ209)-LN(AR209))</f>
        <v/>
      </c>
      <c r="AT209" t="n">
        <v>7540</v>
      </c>
      <c r="AU209" t="n">
        <v>109217</v>
      </c>
      <c r="AV209" t="n">
        <v>695</v>
      </c>
      <c r="AW209" t="n">
        <v>557</v>
      </c>
      <c r="AX209" t="n">
        <v>5118</v>
      </c>
      <c r="AY209" s="88">
        <f>IF(OR(AT209&lt;=0,AU209&lt;=0),"",LN(AT209)-LN(AU209))</f>
        <v/>
      </c>
      <c r="AZ209" s="46" t="n">
        <v>6.7</v>
      </c>
      <c r="BA209" s="46" t="n">
        <v>18.29</v>
      </c>
      <c r="BB209" s="47" t="n">
        <v>8</v>
      </c>
    </row>
    <row r="210">
      <c r="A210" s="48" t="n">
        <v>45500</v>
      </c>
      <c r="B210" s="49" t="n">
        <v>76392</v>
      </c>
      <c r="C210" s="50" t="n">
        <v>7.68</v>
      </c>
      <c r="D210" s="51" t="inlineStr">
        <is>
          <t>Good</t>
        </is>
      </c>
      <c r="E210" s="52" t="n">
        <v>28.9</v>
      </c>
      <c r="F210" s="52" t="n">
        <v>33.5</v>
      </c>
      <c r="G210" s="51" t="inlineStr">
        <is>
          <t>Sat</t>
        </is>
      </c>
      <c r="H210" s="51" t="inlineStr">
        <is>
          <t>Weekend</t>
        </is>
      </c>
      <c r="I210" s="51" t="inlineStr">
        <is>
          <t>Summer</t>
        </is>
      </c>
      <c r="J210" s="51" t="n">
        <v>25</v>
      </c>
      <c r="K210" s="51" t="inlineStr">
        <is>
          <t>OK</t>
        </is>
      </c>
      <c r="L210" s="46" t="n">
        <v>15.32</v>
      </c>
      <c r="M210" t="inlineStr">
        <is>
          <t>Good</t>
        </is>
      </c>
      <c r="N210" s="87" t="n">
        <v>25</v>
      </c>
      <c r="O210" s="87" t="n">
        <v>0</v>
      </c>
      <c r="P210" s="87" t="n">
        <v>0</v>
      </c>
      <c r="Q210" s="87" t="n">
        <v>0</v>
      </c>
      <c r="R210" s="87" t="n">
        <v>0</v>
      </c>
      <c r="S210" s="47" t="n">
        <v>1.7</v>
      </c>
      <c r="T210" s="47" t="n">
        <v>83.59999999999999</v>
      </c>
      <c r="U210" s="47" t="n"/>
      <c r="V210" s="87" t="n">
        <v>1</v>
      </c>
      <c r="W210" s="87" t="n">
        <v>0</v>
      </c>
      <c r="Y210" t="inlineStr">
        <is>
          <t>Jul</t>
        </is>
      </c>
      <c r="Z210" s="87" t="n">
        <v>2024</v>
      </c>
      <c r="AA210" s="47">
        <f>IF(F210="",0,F210)</f>
        <v/>
      </c>
      <c r="AB210" s="87">
        <f>IF(AA210&gt;=0.1,1,0)</f>
        <v/>
      </c>
      <c r="AC210" s="87" t="n">
        <v>0</v>
      </c>
      <c r="AD210" s="47">
        <f>IF(U210="",0,U210)</f>
        <v/>
      </c>
      <c r="AE210" s="87">
        <f>IF(OR(V210=1,W210=1),1,0)</f>
        <v/>
      </c>
      <c r="AF210" s="87" t="n">
        <v>0</v>
      </c>
      <c r="AG210" t="n">
        <v>4069</v>
      </c>
      <c r="AH210" t="n">
        <v>72323</v>
      </c>
      <c r="AI210" t="n">
        <v>0</v>
      </c>
      <c r="AJ210" s="88">
        <f>IF(OR(AG210&lt;=0,AH210&lt;=0),"",LN(AG210)-LN(AH210))</f>
        <v/>
      </c>
      <c r="AK210" t="n">
        <v>11068</v>
      </c>
      <c r="AL210" t="n">
        <v>65324</v>
      </c>
      <c r="AM210" s="88">
        <f>IF(OR(AK210&lt;=0,AL210&lt;=0),"",LN(AK210)-LN(AL210))</f>
        <v/>
      </c>
      <c r="AN210" t="n">
        <v>3981</v>
      </c>
      <c r="AO210" t="n">
        <v>70001</v>
      </c>
      <c r="AP210" s="88">
        <f>IF(OR(AN210&lt;=0,AO210&lt;=0),"",LN(AN210)-LN(AO210))</f>
        <v/>
      </c>
      <c r="AQ210" t="n">
        <v>3955</v>
      </c>
      <c r="AR210" t="n">
        <v>72323</v>
      </c>
      <c r="AS210" s="88">
        <f>IF(OR(AQ210&lt;=0,AR210&lt;=0),"",LN(AQ210)-LN(AR210))</f>
        <v/>
      </c>
      <c r="AT210" t="n">
        <v>6424</v>
      </c>
      <c r="AU210" t="n">
        <v>69529</v>
      </c>
      <c r="AV210" t="n">
        <v>448</v>
      </c>
      <c r="AW210" t="n">
        <v>513</v>
      </c>
      <c r="AX210" t="n">
        <v>3526</v>
      </c>
      <c r="AY210" s="88">
        <f>IF(OR(AT210&lt;=0,AU210&lt;=0),"",LN(AT210)-LN(AU210))</f>
        <v/>
      </c>
      <c r="AZ210" s="46" t="n">
        <v>1.7</v>
      </c>
      <c r="BA210" s="46" t="n">
        <v>12.73</v>
      </c>
      <c r="BB210" s="47" t="n">
        <v>8.4</v>
      </c>
    </row>
    <row r="211">
      <c r="A211" s="48" t="n">
        <v>45501</v>
      </c>
      <c r="B211" s="49" t="n">
        <v>102031</v>
      </c>
      <c r="C211" s="50" t="n">
        <v>6.8</v>
      </c>
      <c r="D211" s="51" t="inlineStr">
        <is>
          <t>Good</t>
        </is>
      </c>
      <c r="E211" s="52" t="n">
        <v>29.2</v>
      </c>
      <c r="F211" s="52" t="n">
        <v>0</v>
      </c>
      <c r="G211" s="51" t="inlineStr">
        <is>
          <t>Sun</t>
        </is>
      </c>
      <c r="H211" s="51" t="inlineStr">
        <is>
          <t>Weekend</t>
        </is>
      </c>
      <c r="I211" s="51" t="inlineStr">
        <is>
          <t>Summer</t>
        </is>
      </c>
      <c r="J211" s="51" t="n">
        <v>25</v>
      </c>
      <c r="K211" s="51" t="inlineStr">
        <is>
          <t>OK</t>
        </is>
      </c>
      <c r="L211" s="46" t="n">
        <v>16.48</v>
      </c>
      <c r="M211" t="inlineStr">
        <is>
          <t>Good</t>
        </is>
      </c>
      <c r="N211" s="87" t="n">
        <v>25</v>
      </c>
      <c r="O211" s="87" t="n">
        <v>0</v>
      </c>
      <c r="P211" s="87" t="n">
        <v>0</v>
      </c>
      <c r="Q211" s="87" t="n">
        <v>0</v>
      </c>
      <c r="R211" s="87" t="n">
        <v>0</v>
      </c>
      <c r="S211" s="47" t="n">
        <v>3.2</v>
      </c>
      <c r="T211" s="47" t="n">
        <v>76</v>
      </c>
      <c r="U211" s="47" t="n"/>
      <c r="V211" s="87" t="n">
        <v>1</v>
      </c>
      <c r="W211" s="87" t="n">
        <v>0</v>
      </c>
      <c r="Y211" t="inlineStr">
        <is>
          <t>Jul</t>
        </is>
      </c>
      <c r="Z211" s="87" t="n">
        <v>2024</v>
      </c>
      <c r="AA211" s="47">
        <f>IF(F211="",0,F211)</f>
        <v/>
      </c>
      <c r="AB211" s="87">
        <f>IF(AA211&gt;=0.1,1,0)</f>
        <v/>
      </c>
      <c r="AC211" s="87" t="n">
        <v>1</v>
      </c>
      <c r="AD211" s="47">
        <f>IF(U211="",0,U211)</f>
        <v/>
      </c>
      <c r="AE211" s="87">
        <f>IF(OR(V211=1,W211=1),1,0)</f>
        <v/>
      </c>
      <c r="AF211" s="87" t="n">
        <v>0</v>
      </c>
      <c r="AG211" t="n">
        <v>7227</v>
      </c>
      <c r="AH211" t="n">
        <v>94804</v>
      </c>
      <c r="AI211" t="n">
        <v>0</v>
      </c>
      <c r="AJ211" s="88">
        <f>IF(OR(AG211&lt;=0,AH211&lt;=0),"",LN(AG211)-LN(AH211))</f>
        <v/>
      </c>
      <c r="AK211" t="n">
        <v>16822</v>
      </c>
      <c r="AL211" t="n">
        <v>85209</v>
      </c>
      <c r="AM211" s="88">
        <f>IF(OR(AK211&lt;=0,AL211&lt;=0),"",LN(AK211)-LN(AL211))</f>
        <v/>
      </c>
      <c r="AN211" t="n">
        <v>7028</v>
      </c>
      <c r="AO211" t="n">
        <v>91767</v>
      </c>
      <c r="AP211" s="88">
        <f>IF(OR(AN211&lt;=0,AO211&lt;=0),"",LN(AN211)-LN(AO211))</f>
        <v/>
      </c>
      <c r="AQ211" t="n">
        <v>7017</v>
      </c>
      <c r="AR211" t="n">
        <v>94804</v>
      </c>
      <c r="AS211" s="88">
        <f>IF(OR(AQ211&lt;=0,AR211&lt;=0),"",LN(AQ211)-LN(AR211))</f>
        <v/>
      </c>
      <c r="AT211" t="n">
        <v>9845</v>
      </c>
      <c r="AU211" t="n">
        <v>91568</v>
      </c>
      <c r="AV211" t="n">
        <v>621</v>
      </c>
      <c r="AW211" t="n">
        <v>1115</v>
      </c>
      <c r="AX211" t="n">
        <v>6057</v>
      </c>
      <c r="AY211" s="88">
        <f>IF(OR(AT211&lt;=0,AU211&lt;=0),"",LN(AT211)-LN(AU211))</f>
        <v/>
      </c>
      <c r="AZ211" s="46" t="n">
        <v>5.1</v>
      </c>
      <c r="BA211" s="46" t="n">
        <v>18.33</v>
      </c>
      <c r="BB211" s="47" t="n">
        <v>8.300000000000001</v>
      </c>
    </row>
    <row r="212">
      <c r="A212" s="48" t="n">
        <v>45502</v>
      </c>
      <c r="B212" s="49" t="n">
        <v>138811</v>
      </c>
      <c r="C212" s="50" t="n">
        <v>8.279999999999999</v>
      </c>
      <c r="D212" s="51" t="inlineStr">
        <is>
          <t>Good</t>
        </is>
      </c>
      <c r="E212" s="52" t="n">
        <v>27.4</v>
      </c>
      <c r="F212" s="52" t="n">
        <v>0</v>
      </c>
      <c r="G212" s="51" t="inlineStr">
        <is>
          <t>Mon</t>
        </is>
      </c>
      <c r="H212" s="51" t="inlineStr">
        <is>
          <t>Weekday</t>
        </is>
      </c>
      <c r="I212" s="51" t="inlineStr">
        <is>
          <t>Summer</t>
        </is>
      </c>
      <c r="J212" s="51" t="n">
        <v>25</v>
      </c>
      <c r="K212" s="51" t="inlineStr">
        <is>
          <t>OK</t>
        </is>
      </c>
      <c r="L212" s="46" t="n">
        <v>20.84</v>
      </c>
      <c r="M212" t="inlineStr">
        <is>
          <t>Good</t>
        </is>
      </c>
      <c r="N212" s="87" t="n">
        <v>25</v>
      </c>
      <c r="O212" s="87" t="n">
        <v>0</v>
      </c>
      <c r="P212" s="87" t="n">
        <v>0</v>
      </c>
      <c r="Q212" s="87" t="n">
        <v>0</v>
      </c>
      <c r="R212" s="87" t="n">
        <v>0</v>
      </c>
      <c r="S212" s="47" t="n">
        <v>3.8</v>
      </c>
      <c r="T212" s="47" t="n">
        <v>84</v>
      </c>
      <c r="U212" s="47" t="n"/>
      <c r="V212" s="87" t="n">
        <v>0</v>
      </c>
      <c r="W212" s="87" t="n">
        <v>0</v>
      </c>
      <c r="Y212" t="inlineStr">
        <is>
          <t>Jul</t>
        </is>
      </c>
      <c r="Z212" s="87" t="n">
        <v>2024</v>
      </c>
      <c r="AA212" s="47">
        <f>IF(F212="",0,F212)</f>
        <v/>
      </c>
      <c r="AB212" s="87">
        <f>IF(AA212&gt;=0.1,1,0)</f>
        <v/>
      </c>
      <c r="AC212" s="87" t="n">
        <v>1</v>
      </c>
      <c r="AD212" s="47">
        <f>IF(U212="",0,U212)</f>
        <v/>
      </c>
      <c r="AE212" s="87">
        <f>IF(OR(V212=1,W212=1),1,0)</f>
        <v/>
      </c>
      <c r="AF212" s="87" t="n">
        <v>0</v>
      </c>
      <c r="AG212" t="n">
        <v>7407</v>
      </c>
      <c r="AH212" t="n">
        <v>131404</v>
      </c>
      <c r="AI212" t="n">
        <v>0</v>
      </c>
      <c r="AJ212" s="88">
        <f>IF(OR(AG212&lt;=0,AH212&lt;=0),"",LN(AG212)-LN(AH212))</f>
        <v/>
      </c>
      <c r="AK212" t="n">
        <v>20339</v>
      </c>
      <c r="AL212" t="n">
        <v>118472</v>
      </c>
      <c r="AM212" s="88">
        <f>IF(OR(AK212&lt;=0,AL212&lt;=0),"",LN(AK212)-LN(AL212))</f>
        <v/>
      </c>
      <c r="AN212" t="n">
        <v>7258</v>
      </c>
      <c r="AO212" t="n">
        <v>127101</v>
      </c>
      <c r="AP212" s="88">
        <f>IF(OR(AN212&lt;=0,AO212&lt;=0),"",LN(AN212)-LN(AO212))</f>
        <v/>
      </c>
      <c r="AQ212" t="n">
        <v>7197</v>
      </c>
      <c r="AR212" t="n">
        <v>131404</v>
      </c>
      <c r="AS212" s="88">
        <f>IF(OR(AQ212&lt;=0,AR212&lt;=0),"",LN(AQ212)-LN(AR212))</f>
        <v/>
      </c>
      <c r="AT212" t="n">
        <v>9299</v>
      </c>
      <c r="AU212" t="n">
        <v>128770</v>
      </c>
      <c r="AV212" t="n">
        <v>749</v>
      </c>
      <c r="AW212" t="n">
        <v>819</v>
      </c>
      <c r="AX212" t="n">
        <v>6542</v>
      </c>
      <c r="AY212" s="88">
        <f>IF(OR(AT212&lt;=0,AU212&lt;=0),"",LN(AT212)-LN(AU212))</f>
        <v/>
      </c>
      <c r="AZ212" s="46" t="n">
        <v>0</v>
      </c>
      <c r="BA212" s="46" t="n">
        <v>2.61</v>
      </c>
      <c r="BB212" s="47" t="n">
        <v>8.9</v>
      </c>
    </row>
    <row r="213">
      <c r="A213" s="48" t="n">
        <v>45503</v>
      </c>
      <c r="B213" s="49" t="n">
        <v>150500</v>
      </c>
      <c r="C213" s="50" t="n">
        <v>12.583333</v>
      </c>
      <c r="D213" s="51" t="inlineStr">
        <is>
          <t>Good</t>
        </is>
      </c>
      <c r="E213" s="52" t="n">
        <v>28.6</v>
      </c>
      <c r="F213" s="52" t="n"/>
      <c r="G213" s="51" t="inlineStr">
        <is>
          <t>Tue</t>
        </is>
      </c>
      <c r="H213" s="51" t="inlineStr">
        <is>
          <t>Weekday</t>
        </is>
      </c>
      <c r="I213" s="51" t="inlineStr">
        <is>
          <t>Summer</t>
        </is>
      </c>
      <c r="J213" s="51" t="n">
        <v>24</v>
      </c>
      <c r="K213" s="51" t="inlineStr">
        <is>
          <t>강수량 공란</t>
        </is>
      </c>
      <c r="L213" s="46" t="n">
        <v>24.16666666666667</v>
      </c>
      <c r="M213" t="inlineStr">
        <is>
          <t>Good</t>
        </is>
      </c>
      <c r="N213" s="87" t="n">
        <v>24</v>
      </c>
      <c r="O213" s="87" t="n">
        <v>0</v>
      </c>
      <c r="P213" s="87" t="n">
        <v>0</v>
      </c>
      <c r="Q213" s="87" t="n">
        <v>0</v>
      </c>
      <c r="R213" s="87" t="n">
        <v>0</v>
      </c>
      <c r="S213" s="47" t="n">
        <v>2.8</v>
      </c>
      <c r="T213" s="47" t="n">
        <v>78.8</v>
      </c>
      <c r="U213" s="47" t="n"/>
      <c r="V213" s="87" t="n">
        <v>0</v>
      </c>
      <c r="W213" s="87" t="n">
        <v>0</v>
      </c>
      <c r="Y213" t="inlineStr">
        <is>
          <t>Jul</t>
        </is>
      </c>
      <c r="Z213" s="87" t="n">
        <v>2024</v>
      </c>
      <c r="AA213" s="47">
        <f>IF(F213="",0,F213)</f>
        <v/>
      </c>
      <c r="AB213" s="87">
        <f>IF(AA213&gt;=0.1,1,0)</f>
        <v/>
      </c>
      <c r="AC213" s="87" t="n">
        <v>0</v>
      </c>
      <c r="AD213" s="47">
        <f>IF(U213="",0,U213)</f>
        <v/>
      </c>
      <c r="AE213" s="87">
        <f>IF(OR(V213=1,W213=1),1,0)</f>
        <v/>
      </c>
      <c r="AF213" s="87" t="n">
        <v>0</v>
      </c>
      <c r="AG213" t="n">
        <v>8003</v>
      </c>
      <c r="AH213" t="n">
        <v>142497</v>
      </c>
      <c r="AI213" t="n">
        <v>0</v>
      </c>
      <c r="AJ213" s="88">
        <f>IF(OR(AG213&lt;=0,AH213&lt;=0),"",LN(AG213)-LN(AH213))</f>
        <v/>
      </c>
      <c r="AK213" t="n">
        <v>21821</v>
      </c>
      <c r="AL213" t="n">
        <v>128679</v>
      </c>
      <c r="AM213" s="88">
        <f>IF(OR(AK213&lt;=0,AL213&lt;=0),"",LN(AK213)-LN(AL213))</f>
        <v/>
      </c>
      <c r="AN213" t="n">
        <v>7829</v>
      </c>
      <c r="AO213" t="n">
        <v>137782</v>
      </c>
      <c r="AP213" s="88">
        <f>IF(OR(AN213&lt;=0,AO213&lt;=0),"",LN(AN213)-LN(AO213))</f>
        <v/>
      </c>
      <c r="AQ213" t="n">
        <v>7758</v>
      </c>
      <c r="AR213" t="n">
        <v>142497</v>
      </c>
      <c r="AS213" s="88">
        <f>IF(OR(AQ213&lt;=0,AR213&lt;=0),"",LN(AQ213)-LN(AR213))</f>
        <v/>
      </c>
      <c r="AT213" t="n">
        <v>9779</v>
      </c>
      <c r="AU213" t="n">
        <v>139872</v>
      </c>
      <c r="AV213" t="n">
        <v>857</v>
      </c>
      <c r="AW213" t="n">
        <v>824</v>
      </c>
      <c r="AX213" t="n">
        <v>7132</v>
      </c>
      <c r="AY213" s="88">
        <f>IF(OR(AT213&lt;=0,AU213&lt;=0),"",LN(AT213)-LN(AU213))</f>
        <v/>
      </c>
      <c r="AZ213" s="46" t="n">
        <v>3.6</v>
      </c>
      <c r="BA213" s="46" t="n">
        <v>15.95</v>
      </c>
      <c r="BB213" s="47" t="n">
        <v>7.4</v>
      </c>
    </row>
    <row r="214">
      <c r="A214" s="48" t="n">
        <v>45504</v>
      </c>
      <c r="B214" s="49" t="n">
        <v>149858</v>
      </c>
      <c r="C214" s="50" t="n">
        <v>7.88</v>
      </c>
      <c r="D214" s="51" t="inlineStr">
        <is>
          <t>Good</t>
        </is>
      </c>
      <c r="E214" s="52" t="n">
        <v>29.4</v>
      </c>
      <c r="F214" s="52" t="n"/>
      <c r="G214" s="51" t="inlineStr">
        <is>
          <t>Wed</t>
        </is>
      </c>
      <c r="H214" s="51" t="inlineStr">
        <is>
          <t>Weekday</t>
        </is>
      </c>
      <c r="I214" s="51" t="inlineStr">
        <is>
          <t>Summer</t>
        </is>
      </c>
      <c r="J214" s="51" t="n">
        <v>25</v>
      </c>
      <c r="K214" s="51" t="inlineStr">
        <is>
          <t>강수량 공란</t>
        </is>
      </c>
      <c r="L214" s="46" t="n">
        <v>16.28</v>
      </c>
      <c r="M214" t="inlineStr">
        <is>
          <t>Good</t>
        </is>
      </c>
      <c r="N214" s="87" t="n">
        <v>25</v>
      </c>
      <c r="O214" s="87" t="n">
        <v>0</v>
      </c>
      <c r="P214" s="87" t="n">
        <v>0</v>
      </c>
      <c r="Q214" s="87" t="n">
        <v>0</v>
      </c>
      <c r="R214" s="87" t="n">
        <v>0</v>
      </c>
      <c r="S214" s="47" t="n">
        <v>2.6</v>
      </c>
      <c r="T214" s="47" t="n">
        <v>74.5</v>
      </c>
      <c r="U214" s="47" t="n"/>
      <c r="V214" s="87" t="n">
        <v>0</v>
      </c>
      <c r="W214" s="87" t="n">
        <v>0</v>
      </c>
      <c r="Y214" t="inlineStr">
        <is>
          <t>Jul</t>
        </is>
      </c>
      <c r="Z214" s="87" t="n">
        <v>2024</v>
      </c>
      <c r="AA214" s="47">
        <f>IF(F214="",0,F214)</f>
        <v/>
      </c>
      <c r="AB214" s="87">
        <f>IF(AA214&gt;=0.1,1,0)</f>
        <v/>
      </c>
      <c r="AC214" s="87" t="n">
        <v>0</v>
      </c>
      <c r="AD214" s="47">
        <f>IF(U214="",0,U214)</f>
        <v/>
      </c>
      <c r="AE214" s="87">
        <f>IF(OR(V214=1,W214=1),1,0)</f>
        <v/>
      </c>
      <c r="AF214" s="87" t="n">
        <v>0</v>
      </c>
      <c r="AG214" t="n">
        <v>8033</v>
      </c>
      <c r="AH214" t="n">
        <v>141825</v>
      </c>
      <c r="AI214" t="n">
        <v>0</v>
      </c>
      <c r="AJ214" s="88">
        <f>IF(OR(AG214&lt;=0,AH214&lt;=0),"",LN(AG214)-LN(AH214))</f>
        <v/>
      </c>
      <c r="AK214" t="n">
        <v>21924</v>
      </c>
      <c r="AL214" t="n">
        <v>127934</v>
      </c>
      <c r="AM214" s="88">
        <f>IF(OR(AK214&lt;=0,AL214&lt;=0),"",LN(AK214)-LN(AL214))</f>
        <v/>
      </c>
      <c r="AN214" t="n">
        <v>7886</v>
      </c>
      <c r="AO214" t="n">
        <v>136995</v>
      </c>
      <c r="AP214" s="88">
        <f>IF(OR(AN214&lt;=0,AO214&lt;=0),"",LN(AN214)-LN(AO214))</f>
        <v/>
      </c>
      <c r="AQ214" t="n">
        <v>7794</v>
      </c>
      <c r="AR214" t="n">
        <v>141825</v>
      </c>
      <c r="AS214" s="88">
        <f>IF(OR(AQ214&lt;=0,AR214&lt;=0),"",LN(AQ214)-LN(AR214))</f>
        <v/>
      </c>
      <c r="AT214" t="n">
        <v>9841</v>
      </c>
      <c r="AU214" t="n">
        <v>139115</v>
      </c>
      <c r="AV214" t="n">
        <v>910</v>
      </c>
      <c r="AW214" t="n">
        <v>805</v>
      </c>
      <c r="AX214" t="n">
        <v>7164</v>
      </c>
      <c r="AY214" s="88">
        <f>IF(OR(AT214&lt;=0,AU214&lt;=0),"",LN(AT214)-LN(AU214))</f>
        <v/>
      </c>
      <c r="AZ214" s="46" t="n">
        <v>4.7</v>
      </c>
      <c r="BA214" s="46" t="n">
        <v>17.42</v>
      </c>
      <c r="BB214" s="47" t="n">
        <v>7.3</v>
      </c>
    </row>
    <row r="215">
      <c r="A215" s="48" t="n">
        <v>45505</v>
      </c>
      <c r="B215" s="49" t="n">
        <v>145479</v>
      </c>
      <c r="C215" s="50" t="n">
        <v>9.119999999999999</v>
      </c>
      <c r="D215" s="51" t="inlineStr">
        <is>
          <t>Good</t>
        </is>
      </c>
      <c r="E215" s="52" t="n">
        <v>29.9</v>
      </c>
      <c r="F215" s="52" t="n">
        <v>0.3</v>
      </c>
      <c r="G215" s="51" t="inlineStr">
        <is>
          <t>Thu</t>
        </is>
      </c>
      <c r="H215" s="51" t="inlineStr">
        <is>
          <t>Weekday</t>
        </is>
      </c>
      <c r="I215" s="51" t="inlineStr">
        <is>
          <t>Summer</t>
        </is>
      </c>
      <c r="J215" s="51" t="n">
        <v>25</v>
      </c>
      <c r="K215" s="51" t="inlineStr">
        <is>
          <t>OK</t>
        </is>
      </c>
      <c r="L215" s="46" t="n">
        <v>18.52</v>
      </c>
      <c r="M215" t="inlineStr">
        <is>
          <t>Good</t>
        </is>
      </c>
      <c r="N215" s="87" t="n">
        <v>25</v>
      </c>
      <c r="O215" s="87" t="n">
        <v>0</v>
      </c>
      <c r="P215" s="87" t="n">
        <v>0</v>
      </c>
      <c r="Q215" s="87" t="n">
        <v>0</v>
      </c>
      <c r="R215" s="87" t="n">
        <v>0</v>
      </c>
      <c r="S215" s="47" t="n">
        <v>2.6</v>
      </c>
      <c r="T215" s="47" t="n">
        <v>75.5</v>
      </c>
      <c r="U215" s="47" t="n"/>
      <c r="V215" s="87" t="n">
        <v>0</v>
      </c>
      <c r="W215" s="87" t="n">
        <v>0</v>
      </c>
      <c r="Y215" t="inlineStr">
        <is>
          <t>Aug</t>
        </is>
      </c>
      <c r="Z215" s="87" t="n">
        <v>2024</v>
      </c>
      <c r="AA215" s="47">
        <f>IF(F215="",0,F215)</f>
        <v/>
      </c>
      <c r="AB215" s="87">
        <f>IF(AA215&gt;=0.1,1,0)</f>
        <v/>
      </c>
      <c r="AC215" s="87" t="n">
        <v>0</v>
      </c>
      <c r="AD215" s="47">
        <f>IF(U215="",0,U215)</f>
        <v/>
      </c>
      <c r="AE215" s="87">
        <f>IF(OR(V215=1,W215=1),1,0)</f>
        <v/>
      </c>
      <c r="AF215" s="87" t="n">
        <v>0</v>
      </c>
      <c r="AG215" t="n">
        <v>7723</v>
      </c>
      <c r="AH215" t="n">
        <v>137756</v>
      </c>
      <c r="AI215" t="n">
        <v>0</v>
      </c>
      <c r="AJ215" s="88">
        <f>IF(OR(AG215&lt;=0,AH215&lt;=0),"",LN(AG215)-LN(AH215))</f>
        <v/>
      </c>
      <c r="AK215" t="n">
        <v>21514</v>
      </c>
      <c r="AL215" t="n">
        <v>123965</v>
      </c>
      <c r="AM215" s="88">
        <f>IF(OR(AK215&lt;=0,AL215&lt;=0),"",LN(AK215)-LN(AL215))</f>
        <v/>
      </c>
      <c r="AN215" t="n">
        <v>7592</v>
      </c>
      <c r="AO215" t="n">
        <v>133049</v>
      </c>
      <c r="AP215" s="88">
        <f>IF(OR(AN215&lt;=0,AO215&lt;=0),"",LN(AN215)-LN(AO215))</f>
        <v/>
      </c>
      <c r="AQ215" t="n">
        <v>7513</v>
      </c>
      <c r="AR215" t="n">
        <v>137756</v>
      </c>
      <c r="AS215" s="88">
        <f>IF(OR(AQ215&lt;=0,AR215&lt;=0),"",LN(AQ215)-LN(AR215))</f>
        <v/>
      </c>
      <c r="AT215" t="n">
        <v>9659</v>
      </c>
      <c r="AU215" t="n">
        <v>135063</v>
      </c>
      <c r="AV215" t="n">
        <v>764</v>
      </c>
      <c r="AW215" t="n">
        <v>770</v>
      </c>
      <c r="AX215" t="n">
        <v>6900</v>
      </c>
      <c r="AY215" s="88">
        <f>IF(OR(AT215&lt;=0,AU215&lt;=0),"",LN(AT215)-LN(AU215))</f>
        <v/>
      </c>
      <c r="AZ215" s="46" t="n">
        <v>3.6</v>
      </c>
      <c r="BA215" s="46" t="n">
        <v>14.95</v>
      </c>
      <c r="BB215" s="47" t="n">
        <v>6.8</v>
      </c>
    </row>
    <row r="216">
      <c r="A216" s="48" t="n">
        <v>45506</v>
      </c>
      <c r="B216" s="49" t="n">
        <v>140142</v>
      </c>
      <c r="C216" s="50" t="n">
        <v>16.8</v>
      </c>
      <c r="D216" s="51" t="inlineStr">
        <is>
          <t>Moderate</t>
        </is>
      </c>
      <c r="E216" s="52" t="n">
        <v>29.6</v>
      </c>
      <c r="F216" s="52" t="n"/>
      <c r="G216" s="51" t="inlineStr">
        <is>
          <t>Fri</t>
        </is>
      </c>
      <c r="H216" s="51" t="inlineStr">
        <is>
          <t>Weekday</t>
        </is>
      </c>
      <c r="I216" s="51" t="inlineStr">
        <is>
          <t>Summer</t>
        </is>
      </c>
      <c r="J216" s="51" t="n">
        <v>25</v>
      </c>
      <c r="K216" s="51" t="inlineStr">
        <is>
          <t>강수량 공란</t>
        </is>
      </c>
      <c r="L216" s="46" t="n">
        <v>27.28</v>
      </c>
      <c r="M216" t="inlineStr">
        <is>
          <t>Good</t>
        </is>
      </c>
      <c r="N216" s="87" t="n">
        <v>25</v>
      </c>
      <c r="O216" s="87" t="n">
        <v>0</v>
      </c>
      <c r="P216" s="87" t="n">
        <v>0</v>
      </c>
      <c r="Q216" s="87" t="n">
        <v>0</v>
      </c>
      <c r="R216" s="87" t="n">
        <v>0</v>
      </c>
      <c r="S216" s="47" t="n">
        <v>2.6</v>
      </c>
      <c r="T216" s="47" t="n">
        <v>79.40000000000001</v>
      </c>
      <c r="U216" s="47" t="n"/>
      <c r="V216" s="87" t="n">
        <v>0</v>
      </c>
      <c r="W216" s="87" t="n">
        <v>0</v>
      </c>
      <c r="Y216" t="inlineStr">
        <is>
          <t>Aug</t>
        </is>
      </c>
      <c r="Z216" s="87" t="n">
        <v>2024</v>
      </c>
      <c r="AA216" s="47">
        <f>IF(F216="",0,F216)</f>
        <v/>
      </c>
      <c r="AB216" s="87">
        <f>IF(AA216&gt;=0.1,1,0)</f>
        <v/>
      </c>
      <c r="AC216" s="87" t="n">
        <v>0</v>
      </c>
      <c r="AD216" s="47">
        <f>IF(U216="",0,U216)</f>
        <v/>
      </c>
      <c r="AE216" s="87">
        <f>IF(OR(V216=1,W216=1),1,0)</f>
        <v/>
      </c>
      <c r="AF216" s="87" t="n">
        <v>0</v>
      </c>
      <c r="AG216" t="n">
        <v>7455</v>
      </c>
      <c r="AH216" t="n">
        <v>132687</v>
      </c>
      <c r="AI216" t="n">
        <v>0</v>
      </c>
      <c r="AJ216" s="88">
        <f>IF(OR(AG216&lt;=0,AH216&lt;=0),"",LN(AG216)-LN(AH216))</f>
        <v/>
      </c>
      <c r="AK216" t="n">
        <v>20804</v>
      </c>
      <c r="AL216" t="n">
        <v>119338</v>
      </c>
      <c r="AM216" s="88">
        <f>IF(OR(AK216&lt;=0,AL216&lt;=0),"",LN(AK216)-LN(AL216))</f>
        <v/>
      </c>
      <c r="AN216" t="n">
        <v>7312</v>
      </c>
      <c r="AO216" t="n">
        <v>128160</v>
      </c>
      <c r="AP216" s="88">
        <f>IF(OR(AN216&lt;=0,AO216&lt;=0),"",LN(AN216)-LN(AO216))</f>
        <v/>
      </c>
      <c r="AQ216" t="n">
        <v>7228</v>
      </c>
      <c r="AR216" t="n">
        <v>132687</v>
      </c>
      <c r="AS216" s="88">
        <f>IF(OR(AQ216&lt;=0,AR216&lt;=0),"",LN(AQ216)-LN(AR216))</f>
        <v/>
      </c>
      <c r="AT216" t="n">
        <v>9338</v>
      </c>
      <c r="AU216" t="n">
        <v>130052</v>
      </c>
      <c r="AV216" t="n">
        <v>763</v>
      </c>
      <c r="AW216" t="n">
        <v>808</v>
      </c>
      <c r="AX216" t="n">
        <v>6615</v>
      </c>
      <c r="AY216" s="88">
        <f>IF(OR(AT216&lt;=0,AU216&lt;=0),"",LN(AT216)-LN(AU216))</f>
        <v/>
      </c>
      <c r="AZ216" s="46" t="n">
        <v>2.4</v>
      </c>
      <c r="BA216" s="46" t="n">
        <v>10.36</v>
      </c>
      <c r="BB216" s="47" t="n">
        <v>7.9</v>
      </c>
    </row>
    <row r="217">
      <c r="A217" s="48" t="n">
        <v>45507</v>
      </c>
      <c r="B217" s="49" t="n">
        <v>105215</v>
      </c>
      <c r="C217" s="50" t="n">
        <v>23.48</v>
      </c>
      <c r="D217" s="51" t="inlineStr">
        <is>
          <t>Moderate</t>
        </is>
      </c>
      <c r="E217" s="52" t="n">
        <v>30.2</v>
      </c>
      <c r="F217" s="52" t="n"/>
      <c r="G217" s="51" t="inlineStr">
        <is>
          <t>Sat</t>
        </is>
      </c>
      <c r="H217" s="51" t="inlineStr">
        <is>
          <t>Weekend</t>
        </is>
      </c>
      <c r="I217" s="51" t="inlineStr">
        <is>
          <t>Summer</t>
        </is>
      </c>
      <c r="J217" s="51" t="n">
        <v>25</v>
      </c>
      <c r="K217" s="51" t="inlineStr">
        <is>
          <t>강수량 공란</t>
        </is>
      </c>
      <c r="L217" s="46" t="n">
        <v>31.12</v>
      </c>
      <c r="M217" t="inlineStr">
        <is>
          <t>Moderate</t>
        </is>
      </c>
      <c r="N217" s="87" t="n">
        <v>25</v>
      </c>
      <c r="O217" s="87" t="n">
        <v>0</v>
      </c>
      <c r="P217" s="87" t="n">
        <v>0</v>
      </c>
      <c r="Q217" s="87" t="n">
        <v>0</v>
      </c>
      <c r="R217" s="87" t="n">
        <v>0</v>
      </c>
      <c r="S217" s="47" t="n">
        <v>2.2</v>
      </c>
      <c r="T217" s="47" t="n">
        <v>75</v>
      </c>
      <c r="U217" s="47" t="n"/>
      <c r="V217" s="87" t="n">
        <v>1</v>
      </c>
      <c r="W217" s="87" t="n">
        <v>0</v>
      </c>
      <c r="Y217" t="inlineStr">
        <is>
          <t>Aug</t>
        </is>
      </c>
      <c r="Z217" s="87" t="n">
        <v>2024</v>
      </c>
      <c r="AA217" s="47">
        <f>IF(F217="",0,F217)</f>
        <v/>
      </c>
      <c r="AB217" s="87">
        <f>IF(AA217&gt;=0.1,1,0)</f>
        <v/>
      </c>
      <c r="AC217" s="87" t="n">
        <v>0</v>
      </c>
      <c r="AD217" s="47">
        <f>IF(U217="",0,U217)</f>
        <v/>
      </c>
      <c r="AE217" s="87">
        <f>IF(OR(V217=1,W217=1),1,0)</f>
        <v/>
      </c>
      <c r="AF217" s="87" t="n">
        <v>0</v>
      </c>
      <c r="AG217" t="n">
        <v>6806</v>
      </c>
      <c r="AH217" t="n">
        <v>98409</v>
      </c>
      <c r="AI217" t="n">
        <v>0</v>
      </c>
      <c r="AJ217" s="88">
        <f>IF(OR(AG217&lt;=0,AH217&lt;=0),"",LN(AG217)-LN(AH217))</f>
        <v/>
      </c>
      <c r="AK217" t="n">
        <v>16670</v>
      </c>
      <c r="AL217" t="n">
        <v>88545</v>
      </c>
      <c r="AM217" s="88">
        <f>IF(OR(AK217&lt;=0,AL217&lt;=0),"",LN(AK217)-LN(AL217))</f>
        <v/>
      </c>
      <c r="AN217" t="n">
        <v>6639</v>
      </c>
      <c r="AO217" t="n">
        <v>95115</v>
      </c>
      <c r="AP217" s="88">
        <f>IF(OR(AN217&lt;=0,AO217&lt;=0),"",LN(AN217)-LN(AO217))</f>
        <v/>
      </c>
      <c r="AQ217" t="n">
        <v>6612</v>
      </c>
      <c r="AR217" t="n">
        <v>98409</v>
      </c>
      <c r="AS217" s="88">
        <f>IF(OR(AQ217&lt;=0,AR217&lt;=0),"",LN(AQ217)-LN(AR217))</f>
        <v/>
      </c>
      <c r="AT217" t="n">
        <v>8951</v>
      </c>
      <c r="AU217" t="n">
        <v>95669</v>
      </c>
      <c r="AV217" t="n">
        <v>602</v>
      </c>
      <c r="AW217" t="n">
        <v>927</v>
      </c>
      <c r="AX217" t="n">
        <v>5838</v>
      </c>
      <c r="AY217" s="88">
        <f>IF(OR(AT217&lt;=0,AU217&lt;=0),"",LN(AT217)-LN(AU217))</f>
        <v/>
      </c>
      <c r="AZ217" s="46" t="n">
        <v>7.8</v>
      </c>
      <c r="BA217" s="46" t="n">
        <v>21.64</v>
      </c>
      <c r="BB217" s="47" t="n">
        <v>4.4</v>
      </c>
    </row>
    <row r="218">
      <c r="A218" s="48" t="n">
        <v>45508</v>
      </c>
      <c r="B218" s="49" t="n">
        <v>89606</v>
      </c>
      <c r="C218" s="50" t="n">
        <v>22.36</v>
      </c>
      <c r="D218" s="51" t="inlineStr">
        <is>
          <t>Moderate</t>
        </is>
      </c>
      <c r="E218" s="52" t="n">
        <v>31.8</v>
      </c>
      <c r="F218" s="52" t="n"/>
      <c r="G218" s="51" t="inlineStr">
        <is>
          <t>Sun</t>
        </is>
      </c>
      <c r="H218" s="51" t="inlineStr">
        <is>
          <t>Weekend</t>
        </is>
      </c>
      <c r="I218" s="51" t="inlineStr">
        <is>
          <t>Summer</t>
        </is>
      </c>
      <c r="J218" s="51" t="n">
        <v>25</v>
      </c>
      <c r="K218" s="51" t="inlineStr">
        <is>
          <t>강수량 공란</t>
        </is>
      </c>
      <c r="L218" s="46" t="n">
        <v>29</v>
      </c>
      <c r="M218" t="inlineStr">
        <is>
          <t>Good</t>
        </is>
      </c>
      <c r="N218" s="87" t="n">
        <v>25</v>
      </c>
      <c r="O218" s="87" t="n">
        <v>0</v>
      </c>
      <c r="P218" s="87" t="n">
        <v>0</v>
      </c>
      <c r="Q218" s="87" t="n">
        <v>0</v>
      </c>
      <c r="R218" s="87" t="n">
        <v>0</v>
      </c>
      <c r="S218" s="47" t="n">
        <v>1.6</v>
      </c>
      <c r="T218" s="47" t="n">
        <v>69.3</v>
      </c>
      <c r="U218" s="47" t="n"/>
      <c r="V218" s="87" t="n">
        <v>1</v>
      </c>
      <c r="W218" s="87" t="n">
        <v>0</v>
      </c>
      <c r="Y218" t="inlineStr">
        <is>
          <t>Aug</t>
        </is>
      </c>
      <c r="Z218" s="87" t="n">
        <v>2024</v>
      </c>
      <c r="AA218" s="47">
        <f>IF(F218="",0,F218)</f>
        <v/>
      </c>
      <c r="AB218" s="87">
        <f>IF(AA218&gt;=0.1,1,0)</f>
        <v/>
      </c>
      <c r="AC218" s="87" t="n">
        <v>0</v>
      </c>
      <c r="AD218" s="47">
        <f>IF(U218="",0,U218)</f>
        <v/>
      </c>
      <c r="AE218" s="87">
        <f>IF(OR(V218=1,W218=1),1,0)</f>
        <v/>
      </c>
      <c r="AF218" s="87" t="n">
        <v>0</v>
      </c>
      <c r="AG218" t="n">
        <v>6010</v>
      </c>
      <c r="AH218" t="n">
        <v>83596</v>
      </c>
      <c r="AI218" t="n">
        <v>0</v>
      </c>
      <c r="AJ218" s="88">
        <f>IF(OR(AG218&lt;=0,AH218&lt;=0),"",LN(AG218)-LN(AH218))</f>
        <v/>
      </c>
      <c r="AK218" t="n">
        <v>14677</v>
      </c>
      <c r="AL218" t="n">
        <v>74929</v>
      </c>
      <c r="AM218" s="88">
        <f>IF(OR(AK218&lt;=0,AL218&lt;=0),"",LN(AK218)-LN(AL218))</f>
        <v/>
      </c>
      <c r="AN218" t="n">
        <v>5857</v>
      </c>
      <c r="AO218" t="n">
        <v>80769</v>
      </c>
      <c r="AP218" s="88">
        <f>IF(OR(AN218&lt;=0,AO218&lt;=0),"",LN(AN218)-LN(AO218))</f>
        <v/>
      </c>
      <c r="AQ218" t="n">
        <v>5835</v>
      </c>
      <c r="AR218" t="n">
        <v>83596</v>
      </c>
      <c r="AS218" s="88">
        <f>IF(OR(AQ218&lt;=0,AR218&lt;=0),"",LN(AQ218)-LN(AR218))</f>
        <v/>
      </c>
      <c r="AT218" t="n">
        <v>8342</v>
      </c>
      <c r="AU218" t="n">
        <v>80840</v>
      </c>
      <c r="AV218" t="n">
        <v>431</v>
      </c>
      <c r="AW218" t="n">
        <v>892</v>
      </c>
      <c r="AX218" t="n">
        <v>5089</v>
      </c>
      <c r="AY218" s="88">
        <f>IF(OR(AT218&lt;=0,AU218&lt;=0),"",LN(AT218)-LN(AU218))</f>
        <v/>
      </c>
      <c r="AZ218" s="46" t="n">
        <v>10.9</v>
      </c>
      <c r="BA218" s="46" t="n">
        <v>24.4</v>
      </c>
      <c r="BB218" s="47" t="n">
        <v>2.5</v>
      </c>
    </row>
    <row r="219">
      <c r="A219" s="48" t="n">
        <v>45509</v>
      </c>
      <c r="B219" s="49" t="n">
        <v>123144</v>
      </c>
      <c r="C219" s="50" t="n">
        <v>21.72</v>
      </c>
      <c r="D219" s="51" t="inlineStr">
        <is>
          <t>Moderate</t>
        </is>
      </c>
      <c r="E219" s="52" t="n">
        <v>30</v>
      </c>
      <c r="F219" s="52" t="n">
        <v>1.3</v>
      </c>
      <c r="G219" s="51" t="inlineStr">
        <is>
          <t>Mon</t>
        </is>
      </c>
      <c r="H219" s="51" t="inlineStr">
        <is>
          <t>Weekday</t>
        </is>
      </c>
      <c r="I219" s="51" t="inlineStr">
        <is>
          <t>Summer</t>
        </is>
      </c>
      <c r="J219" s="51" t="n">
        <v>25</v>
      </c>
      <c r="K219" s="51" t="inlineStr">
        <is>
          <t>OK</t>
        </is>
      </c>
      <c r="L219" s="46" t="n">
        <v>27.8</v>
      </c>
      <c r="M219" t="inlineStr">
        <is>
          <t>Good</t>
        </is>
      </c>
      <c r="N219" s="87" t="n">
        <v>25</v>
      </c>
      <c r="O219" s="87" t="n">
        <v>0</v>
      </c>
      <c r="P219" s="87" t="n">
        <v>0</v>
      </c>
      <c r="Q219" s="87" t="n">
        <v>0</v>
      </c>
      <c r="R219" s="87" t="n">
        <v>0</v>
      </c>
      <c r="S219" s="47" t="n">
        <v>1.9</v>
      </c>
      <c r="T219" s="47" t="n">
        <v>75.5</v>
      </c>
      <c r="U219" s="47" t="n"/>
      <c r="V219" s="87" t="n">
        <v>0</v>
      </c>
      <c r="W219" s="87" t="n">
        <v>0</v>
      </c>
      <c r="Y219" t="inlineStr">
        <is>
          <t>Aug</t>
        </is>
      </c>
      <c r="Z219" s="87" t="n">
        <v>2024</v>
      </c>
      <c r="AA219" s="47">
        <f>IF(F219="",0,F219)</f>
        <v/>
      </c>
      <c r="AB219" s="87">
        <f>IF(AA219&gt;=0.1,1,0)</f>
        <v/>
      </c>
      <c r="AC219" s="87" t="n">
        <v>0</v>
      </c>
      <c r="AD219" s="47">
        <f>IF(U219="",0,U219)</f>
        <v/>
      </c>
      <c r="AE219" s="87">
        <f>IF(OR(V219=1,W219=1),1,0)</f>
        <v/>
      </c>
      <c r="AF219" s="87" t="n">
        <v>0</v>
      </c>
      <c r="AG219" t="n">
        <v>6187</v>
      </c>
      <c r="AH219" t="n">
        <v>116957</v>
      </c>
      <c r="AI219" t="n">
        <v>0</v>
      </c>
      <c r="AJ219" s="88">
        <f>IF(OR(AG219&lt;=0,AH219&lt;=0),"",LN(AG219)-LN(AH219))</f>
        <v/>
      </c>
      <c r="AK219" t="n">
        <v>17874</v>
      </c>
      <c r="AL219" t="n">
        <v>105270</v>
      </c>
      <c r="AM219" s="88">
        <f>IF(OR(AK219&lt;=0,AL219&lt;=0),"",LN(AK219)-LN(AL219))</f>
        <v/>
      </c>
      <c r="AN219" t="n">
        <v>6061</v>
      </c>
      <c r="AO219" t="n">
        <v>113066</v>
      </c>
      <c r="AP219" s="88">
        <f>IF(OR(AN219&lt;=0,AO219&lt;=0),"",LN(AN219)-LN(AO219))</f>
        <v/>
      </c>
      <c r="AQ219" t="n">
        <v>6015</v>
      </c>
      <c r="AR219" t="n">
        <v>116957</v>
      </c>
      <c r="AS219" s="88">
        <f>IF(OR(AQ219&lt;=0,AR219&lt;=0),"",LN(AQ219)-LN(AR219))</f>
        <v/>
      </c>
      <c r="AT219" t="n">
        <v>8088</v>
      </c>
      <c r="AU219" t="n">
        <v>114410</v>
      </c>
      <c r="AV219" t="n">
        <v>658</v>
      </c>
      <c r="AW219" t="n">
        <v>639</v>
      </c>
      <c r="AX219" t="n">
        <v>5512</v>
      </c>
      <c r="AY219" s="88">
        <f>IF(OR(AT219&lt;=0,AU219&lt;=0),"",LN(AT219)-LN(AU219))</f>
        <v/>
      </c>
      <c r="AZ219" s="46" t="n">
        <v>3.4</v>
      </c>
      <c r="BA219" s="46" t="n">
        <v>12.92</v>
      </c>
      <c r="BB219" s="47" t="n">
        <v>7.1</v>
      </c>
    </row>
    <row r="220">
      <c r="A220" s="48" t="n">
        <v>45510</v>
      </c>
      <c r="B220" s="49" t="n">
        <v>136536</v>
      </c>
      <c r="C220" s="50" t="n">
        <v>9.800000000000001</v>
      </c>
      <c r="D220" s="51" t="inlineStr">
        <is>
          <t>Good</t>
        </is>
      </c>
      <c r="E220" s="52" t="n">
        <v>29.5</v>
      </c>
      <c r="F220" s="52" t="n">
        <v>0</v>
      </c>
      <c r="G220" s="51" t="inlineStr">
        <is>
          <t>Tue</t>
        </is>
      </c>
      <c r="H220" s="51" t="inlineStr">
        <is>
          <t>Weekday</t>
        </is>
      </c>
      <c r="I220" s="51" t="inlineStr">
        <is>
          <t>Summer</t>
        </is>
      </c>
      <c r="J220" s="51" t="n">
        <v>25</v>
      </c>
      <c r="K220" s="51" t="inlineStr">
        <is>
          <t>OK</t>
        </is>
      </c>
      <c r="L220" s="46" t="n">
        <v>16.48</v>
      </c>
      <c r="M220" t="inlineStr">
        <is>
          <t>Good</t>
        </is>
      </c>
      <c r="N220" s="87" t="n">
        <v>25</v>
      </c>
      <c r="O220" s="87" t="n">
        <v>0</v>
      </c>
      <c r="P220" s="87" t="n">
        <v>0</v>
      </c>
      <c r="Q220" s="87" t="n">
        <v>0</v>
      </c>
      <c r="R220" s="87" t="n">
        <v>0</v>
      </c>
      <c r="S220" s="47" t="n">
        <v>1.9</v>
      </c>
      <c r="T220" s="47" t="n">
        <v>74.8</v>
      </c>
      <c r="U220" s="47" t="n"/>
      <c r="V220" s="87" t="n">
        <v>0</v>
      </c>
      <c r="W220" s="87" t="n">
        <v>0</v>
      </c>
      <c r="Y220" t="inlineStr">
        <is>
          <t>Aug</t>
        </is>
      </c>
      <c r="Z220" s="87" t="n">
        <v>2024</v>
      </c>
      <c r="AA220" s="47">
        <f>IF(F220="",0,F220)</f>
        <v/>
      </c>
      <c r="AB220" s="87">
        <f>IF(AA220&gt;=0.1,1,0)</f>
        <v/>
      </c>
      <c r="AC220" s="87" t="n">
        <v>1</v>
      </c>
      <c r="AD220" s="47">
        <f>IF(U220="",0,U220)</f>
        <v/>
      </c>
      <c r="AE220" s="87">
        <f>IF(OR(V220=1,W220=1),1,0)</f>
        <v/>
      </c>
      <c r="AF220" s="87" t="n">
        <v>0</v>
      </c>
      <c r="AG220" t="n">
        <v>7086</v>
      </c>
      <c r="AH220" t="n">
        <v>129450</v>
      </c>
      <c r="AI220" t="n">
        <v>0</v>
      </c>
      <c r="AJ220" s="88">
        <f>IF(OR(AG220&lt;=0,AH220&lt;=0),"",LN(AG220)-LN(AH220))</f>
        <v/>
      </c>
      <c r="AK220" t="n">
        <v>19973</v>
      </c>
      <c r="AL220" t="n">
        <v>116563</v>
      </c>
      <c r="AM220" s="88">
        <f>IF(OR(AK220&lt;=0,AL220&lt;=0),"",LN(AK220)-LN(AL220))</f>
        <v/>
      </c>
      <c r="AN220" t="n">
        <v>6950</v>
      </c>
      <c r="AO220" t="n">
        <v>125063</v>
      </c>
      <c r="AP220" s="88">
        <f>IF(OR(AN220&lt;=0,AO220&lt;=0),"",LN(AN220)-LN(AO220))</f>
        <v/>
      </c>
      <c r="AQ220" t="n">
        <v>6875</v>
      </c>
      <c r="AR220" t="n">
        <v>129450</v>
      </c>
      <c r="AS220" s="88">
        <f>IF(OR(AQ220&lt;=0,AR220&lt;=0),"",LN(AQ220)-LN(AR220))</f>
        <v/>
      </c>
      <c r="AT220" t="n">
        <v>9118</v>
      </c>
      <c r="AU220" t="n">
        <v>126616</v>
      </c>
      <c r="AV220" t="n">
        <v>805</v>
      </c>
      <c r="AW220" t="n">
        <v>753</v>
      </c>
      <c r="AX220" t="n">
        <v>6292</v>
      </c>
      <c r="AY220" s="88">
        <f>IF(OR(AT220&lt;=0,AU220&lt;=0),"",LN(AT220)-LN(AU220))</f>
        <v/>
      </c>
      <c r="AZ220" s="46" t="n">
        <v>6.2</v>
      </c>
      <c r="BA220" s="46" t="n">
        <v>18.84</v>
      </c>
      <c r="BB220" s="47" t="n">
        <v>5.4</v>
      </c>
    </row>
    <row r="221">
      <c r="A221" s="48" t="n">
        <v>45511</v>
      </c>
      <c r="B221" s="49" t="n">
        <v>141026</v>
      </c>
      <c r="C221" s="50" t="n">
        <v>11.44</v>
      </c>
      <c r="D221" s="51" t="inlineStr">
        <is>
          <t>Good</t>
        </is>
      </c>
      <c r="E221" s="52" t="n">
        <v>29.6</v>
      </c>
      <c r="F221" s="52" t="n">
        <v>3.4</v>
      </c>
      <c r="G221" s="51" t="inlineStr">
        <is>
          <t>Wed</t>
        </is>
      </c>
      <c r="H221" s="51" t="inlineStr">
        <is>
          <t>Weekday</t>
        </is>
      </c>
      <c r="I221" s="51" t="inlineStr">
        <is>
          <t>Summer</t>
        </is>
      </c>
      <c r="J221" s="51" t="n">
        <v>25</v>
      </c>
      <c r="K221" s="51" t="inlineStr">
        <is>
          <t>OK</t>
        </is>
      </c>
      <c r="L221" s="46" t="n">
        <v>18.12</v>
      </c>
      <c r="M221" t="inlineStr">
        <is>
          <t>Good</t>
        </is>
      </c>
      <c r="N221" s="87" t="n">
        <v>25</v>
      </c>
      <c r="O221" s="87" t="n">
        <v>0</v>
      </c>
      <c r="P221" s="87" t="n">
        <v>0</v>
      </c>
      <c r="Q221" s="87" t="n">
        <v>0</v>
      </c>
      <c r="R221" s="87" t="n">
        <v>0</v>
      </c>
      <c r="S221" s="47" t="n">
        <v>1.7</v>
      </c>
      <c r="T221" s="47" t="n">
        <v>72</v>
      </c>
      <c r="U221" s="47" t="n"/>
      <c r="V221" s="87" t="n">
        <v>0</v>
      </c>
      <c r="W221" s="87" t="n">
        <v>0</v>
      </c>
      <c r="Y221" t="inlineStr">
        <is>
          <t>Aug</t>
        </is>
      </c>
      <c r="Z221" s="87" t="n">
        <v>2024</v>
      </c>
      <c r="AA221" s="47">
        <f>IF(F221="",0,F221)</f>
        <v/>
      </c>
      <c r="AB221" s="87">
        <f>IF(AA221&gt;=0.1,1,0)</f>
        <v/>
      </c>
      <c r="AC221" s="87" t="n">
        <v>0</v>
      </c>
      <c r="AD221" s="47">
        <f>IF(U221="",0,U221)</f>
        <v/>
      </c>
      <c r="AE221" s="87">
        <f>IF(OR(V221=1,W221=1),1,0)</f>
        <v/>
      </c>
      <c r="AF221" s="87" t="n">
        <v>0</v>
      </c>
      <c r="AG221" t="n">
        <v>7524</v>
      </c>
      <c r="AH221" t="n">
        <v>133502</v>
      </c>
      <c r="AI221" t="n">
        <v>0</v>
      </c>
      <c r="AJ221" s="88">
        <f>IF(OR(AG221&lt;=0,AH221&lt;=0),"",LN(AG221)-LN(AH221))</f>
        <v/>
      </c>
      <c r="AK221" t="n">
        <v>20859</v>
      </c>
      <c r="AL221" t="n">
        <v>120167</v>
      </c>
      <c r="AM221" s="88">
        <f>IF(OR(AK221&lt;=0,AL221&lt;=0),"",LN(AK221)-LN(AL221))</f>
        <v/>
      </c>
      <c r="AN221" t="n">
        <v>7377</v>
      </c>
      <c r="AO221" t="n">
        <v>129031</v>
      </c>
      <c r="AP221" s="88">
        <f>IF(OR(AN221&lt;=0,AO221&lt;=0),"",LN(AN221)-LN(AO221))</f>
        <v/>
      </c>
      <c r="AQ221" t="n">
        <v>7294</v>
      </c>
      <c r="AR221" t="n">
        <v>133502</v>
      </c>
      <c r="AS221" s="88">
        <f>IF(OR(AQ221&lt;=0,AR221&lt;=0),"",LN(AQ221)-LN(AR221))</f>
        <v/>
      </c>
      <c r="AT221" t="n">
        <v>9111</v>
      </c>
      <c r="AU221" t="n">
        <v>131147</v>
      </c>
      <c r="AV221" t="n">
        <v>783</v>
      </c>
      <c r="AW221" t="n">
        <v>810</v>
      </c>
      <c r="AX221" t="n">
        <v>6659</v>
      </c>
      <c r="AY221" s="88">
        <f>IF(OR(AT221&lt;=0,AU221&lt;=0),"",LN(AT221)-LN(AU221))</f>
        <v/>
      </c>
      <c r="AZ221" s="46" t="n">
        <v>7.6</v>
      </c>
      <c r="BA221" s="46" t="n">
        <v>20.7</v>
      </c>
      <c r="BB221" s="47" t="n">
        <v>4.8</v>
      </c>
    </row>
    <row r="222">
      <c r="A222" s="48" t="n">
        <v>45512</v>
      </c>
      <c r="B222" s="49" t="n">
        <v>137386</v>
      </c>
      <c r="C222" s="50" t="n">
        <v>13.92</v>
      </c>
      <c r="D222" s="51" t="inlineStr">
        <is>
          <t>Good</t>
        </is>
      </c>
      <c r="E222" s="52" t="n">
        <v>28.5</v>
      </c>
      <c r="F222" s="52" t="n">
        <v>0</v>
      </c>
      <c r="G222" s="51" t="inlineStr">
        <is>
          <t>Thu</t>
        </is>
      </c>
      <c r="H222" s="51" t="inlineStr">
        <is>
          <t>Weekday</t>
        </is>
      </c>
      <c r="I222" s="51" t="inlineStr">
        <is>
          <t>Summer</t>
        </is>
      </c>
      <c r="J222" s="51" t="n">
        <v>25</v>
      </c>
      <c r="K222" s="51" t="inlineStr">
        <is>
          <t>OK</t>
        </is>
      </c>
      <c r="L222" s="46" t="n">
        <v>20.2</v>
      </c>
      <c r="M222" t="inlineStr">
        <is>
          <t>Good</t>
        </is>
      </c>
      <c r="N222" s="87" t="n">
        <v>25</v>
      </c>
      <c r="O222" s="87" t="n">
        <v>0</v>
      </c>
      <c r="P222" s="87" t="n">
        <v>0</v>
      </c>
      <c r="Q222" s="87" t="n">
        <v>0</v>
      </c>
      <c r="R222" s="87" t="n">
        <v>0</v>
      </c>
      <c r="S222" s="47" t="n">
        <v>1.6</v>
      </c>
      <c r="T222" s="47" t="n">
        <v>77.5</v>
      </c>
      <c r="U222" s="47" t="n"/>
      <c r="V222" s="87" t="n">
        <v>0</v>
      </c>
      <c r="W222" s="87" t="n">
        <v>0</v>
      </c>
      <c r="Y222" t="inlineStr">
        <is>
          <t>Aug</t>
        </is>
      </c>
      <c r="Z222" s="87" t="n">
        <v>2024</v>
      </c>
      <c r="AA222" s="47">
        <f>IF(F222="",0,F222)</f>
        <v/>
      </c>
      <c r="AB222" s="87">
        <f>IF(AA222&gt;=0.1,1,0)</f>
        <v/>
      </c>
      <c r="AC222" s="87" t="n">
        <v>1</v>
      </c>
      <c r="AD222" s="47">
        <f>IF(U222="",0,U222)</f>
        <v/>
      </c>
      <c r="AE222" s="87">
        <f>IF(OR(V222=1,W222=1),1,0)</f>
        <v/>
      </c>
      <c r="AF222" s="87" t="n">
        <v>0</v>
      </c>
      <c r="AG222" t="n">
        <v>7282</v>
      </c>
      <c r="AH222" t="n">
        <v>130104</v>
      </c>
      <c r="AI222" t="n">
        <v>0</v>
      </c>
      <c r="AJ222" s="88">
        <f>IF(OR(AG222&lt;=0,AH222&lt;=0),"",LN(AG222)-LN(AH222))</f>
        <v/>
      </c>
      <c r="AK222" t="n">
        <v>19845</v>
      </c>
      <c r="AL222" t="n">
        <v>117541</v>
      </c>
      <c r="AM222" s="88">
        <f>IF(OR(AK222&lt;=0,AL222&lt;=0),"",LN(AK222)-LN(AL222))</f>
        <v/>
      </c>
      <c r="AN222" t="n">
        <v>7132</v>
      </c>
      <c r="AO222" t="n">
        <v>125687</v>
      </c>
      <c r="AP222" s="88">
        <f>IF(OR(AN222&lt;=0,AO222&lt;=0),"",LN(AN222)-LN(AO222))</f>
        <v/>
      </c>
      <c r="AQ222" t="n">
        <v>7072</v>
      </c>
      <c r="AR222" t="n">
        <v>130104</v>
      </c>
      <c r="AS222" s="88">
        <f>IF(OR(AQ222&lt;=0,AR222&lt;=0),"",LN(AQ222)-LN(AR222))</f>
        <v/>
      </c>
      <c r="AT222" t="n">
        <v>9120</v>
      </c>
      <c r="AU222" t="n">
        <v>127531</v>
      </c>
      <c r="AV222" t="n">
        <v>744</v>
      </c>
      <c r="AW222" t="n">
        <v>823</v>
      </c>
      <c r="AX222" t="n">
        <v>6418</v>
      </c>
      <c r="AY222" s="88">
        <f>IF(OR(AT222&lt;=0,AU222&lt;=0),"",LN(AT222)-LN(AU222))</f>
        <v/>
      </c>
      <c r="AZ222" s="46" t="n">
        <v>2.4</v>
      </c>
      <c r="BA222" s="46" t="n">
        <v>10.94</v>
      </c>
      <c r="BB222" s="47" t="n">
        <v>7.4</v>
      </c>
    </row>
    <row r="223">
      <c r="A223" s="48" t="n">
        <v>45513</v>
      </c>
      <c r="B223" s="49" t="n">
        <v>139471</v>
      </c>
      <c r="C223" s="50" t="n">
        <v>18.8</v>
      </c>
      <c r="D223" s="51" t="inlineStr">
        <is>
          <t>Moderate</t>
        </is>
      </c>
      <c r="E223" s="52" t="n">
        <v>29.3</v>
      </c>
      <c r="F223" s="52" t="n"/>
      <c r="G223" s="51" t="inlineStr">
        <is>
          <t>Fri</t>
        </is>
      </c>
      <c r="H223" s="51" t="inlineStr">
        <is>
          <t>Weekday</t>
        </is>
      </c>
      <c r="I223" s="51" t="inlineStr">
        <is>
          <t>Summer</t>
        </is>
      </c>
      <c r="J223" s="51" t="n">
        <v>25</v>
      </c>
      <c r="K223" s="51" t="inlineStr">
        <is>
          <t>강수량 공란</t>
        </is>
      </c>
      <c r="L223" s="46" t="n">
        <v>27.4</v>
      </c>
      <c r="M223" t="inlineStr">
        <is>
          <t>Good</t>
        </is>
      </c>
      <c r="N223" s="87" t="n">
        <v>25</v>
      </c>
      <c r="O223" s="87" t="n">
        <v>0</v>
      </c>
      <c r="P223" s="87" t="n">
        <v>0</v>
      </c>
      <c r="Q223" s="87" t="n">
        <v>0</v>
      </c>
      <c r="R223" s="87" t="n">
        <v>0</v>
      </c>
      <c r="S223" s="47" t="n">
        <v>1.6</v>
      </c>
      <c r="T223" s="47" t="n">
        <v>74.09999999999999</v>
      </c>
      <c r="U223" s="47" t="n"/>
      <c r="V223" s="87" t="n">
        <v>0</v>
      </c>
      <c r="W223" s="87" t="n">
        <v>0</v>
      </c>
      <c r="Y223" t="inlineStr">
        <is>
          <t>Aug</t>
        </is>
      </c>
      <c r="Z223" s="87" t="n">
        <v>2024</v>
      </c>
      <c r="AA223" s="47">
        <f>IF(F223="",0,F223)</f>
        <v/>
      </c>
      <c r="AB223" s="87">
        <f>IF(AA223&gt;=0.1,1,0)</f>
        <v/>
      </c>
      <c r="AC223" s="87" t="n">
        <v>0</v>
      </c>
      <c r="AD223" s="47">
        <f>IF(U223="",0,U223)</f>
        <v/>
      </c>
      <c r="AE223" s="87">
        <f>IF(OR(V223=1,W223=1),1,0)</f>
        <v/>
      </c>
      <c r="AF223" s="87" t="n">
        <v>0</v>
      </c>
      <c r="AG223" t="n">
        <v>7343</v>
      </c>
      <c r="AH223" t="n">
        <v>132128</v>
      </c>
      <c r="AI223" t="n">
        <v>0</v>
      </c>
      <c r="AJ223" s="88">
        <f>IF(OR(AG223&lt;=0,AH223&lt;=0),"",LN(AG223)-LN(AH223))</f>
        <v/>
      </c>
      <c r="AK223" t="n">
        <v>20457</v>
      </c>
      <c r="AL223" t="n">
        <v>119014</v>
      </c>
      <c r="AM223" s="88">
        <f>IF(OR(AK223&lt;=0,AL223&lt;=0),"",LN(AK223)-LN(AL223))</f>
        <v/>
      </c>
      <c r="AN223" t="n">
        <v>7206</v>
      </c>
      <c r="AO223" t="n">
        <v>127612</v>
      </c>
      <c r="AP223" s="88">
        <f>IF(OR(AN223&lt;=0,AO223&lt;=0),"",LN(AN223)-LN(AO223))</f>
        <v/>
      </c>
      <c r="AQ223" t="n">
        <v>7094</v>
      </c>
      <c r="AR223" t="n">
        <v>132128</v>
      </c>
      <c r="AS223" s="88">
        <f>IF(OR(AQ223&lt;=0,AR223&lt;=0),"",LN(AQ223)-LN(AR223))</f>
        <v/>
      </c>
      <c r="AT223" t="n">
        <v>9339</v>
      </c>
      <c r="AU223" t="n">
        <v>129314</v>
      </c>
      <c r="AV223" t="n">
        <v>830</v>
      </c>
      <c r="AW223" t="n">
        <v>786</v>
      </c>
      <c r="AX223" t="n">
        <v>6509</v>
      </c>
      <c r="AY223" s="88">
        <f>IF(OR(AT223&lt;=0,AU223&lt;=0),"",LN(AT223)-LN(AU223))</f>
        <v/>
      </c>
      <c r="AZ223" s="46" t="n">
        <v>6</v>
      </c>
      <c r="BA223" s="46" t="n">
        <v>15.55</v>
      </c>
      <c r="BB223" s="47" t="n">
        <v>2.8</v>
      </c>
    </row>
    <row r="224">
      <c r="A224" s="48" t="n">
        <v>45514</v>
      </c>
      <c r="B224" s="49" t="n">
        <v>114522</v>
      </c>
      <c r="C224" s="50" t="n">
        <v>23.96</v>
      </c>
      <c r="D224" s="51" t="inlineStr">
        <is>
          <t>Moderate</t>
        </is>
      </c>
      <c r="E224" s="52" t="n">
        <v>30</v>
      </c>
      <c r="F224" s="52" t="n"/>
      <c r="G224" s="51" t="inlineStr">
        <is>
          <t>Sat</t>
        </is>
      </c>
      <c r="H224" s="51" t="inlineStr">
        <is>
          <t>Weekend</t>
        </is>
      </c>
      <c r="I224" s="51" t="inlineStr">
        <is>
          <t>Summer</t>
        </is>
      </c>
      <c r="J224" s="51" t="n">
        <v>25</v>
      </c>
      <c r="K224" s="51" t="inlineStr">
        <is>
          <t>강수량 공란</t>
        </is>
      </c>
      <c r="L224" s="46" t="n">
        <v>32.08</v>
      </c>
      <c r="M224" t="inlineStr">
        <is>
          <t>Moderate</t>
        </is>
      </c>
      <c r="N224" s="87" t="n">
        <v>25</v>
      </c>
      <c r="O224" s="87" t="n">
        <v>0</v>
      </c>
      <c r="P224" s="87" t="n">
        <v>0</v>
      </c>
      <c r="Q224" s="87" t="n">
        <v>0</v>
      </c>
      <c r="R224" s="87" t="n">
        <v>0</v>
      </c>
      <c r="S224" s="47" t="n">
        <v>1.7</v>
      </c>
      <c r="T224" s="47" t="n">
        <v>70.8</v>
      </c>
      <c r="U224" s="47" t="n"/>
      <c r="V224" s="87" t="n">
        <v>1</v>
      </c>
      <c r="W224" s="87" t="n">
        <v>0</v>
      </c>
      <c r="Y224" t="inlineStr">
        <is>
          <t>Aug</t>
        </is>
      </c>
      <c r="Z224" s="87" t="n">
        <v>2024</v>
      </c>
      <c r="AA224" s="47">
        <f>IF(F224="",0,F224)</f>
        <v/>
      </c>
      <c r="AB224" s="87">
        <f>IF(AA224&gt;=0.1,1,0)</f>
        <v/>
      </c>
      <c r="AC224" s="87" t="n">
        <v>0</v>
      </c>
      <c r="AD224" s="47">
        <f>IF(U224="",0,U224)</f>
        <v/>
      </c>
      <c r="AE224" s="87">
        <f>IF(OR(V224=1,W224=1),1,0)</f>
        <v/>
      </c>
      <c r="AF224" s="87" t="n">
        <v>0</v>
      </c>
      <c r="AG224" t="n">
        <v>7404</v>
      </c>
      <c r="AH224" t="n">
        <v>107118</v>
      </c>
      <c r="AI224" t="n">
        <v>0</v>
      </c>
      <c r="AJ224" s="88">
        <f>IF(OR(AG224&lt;=0,AH224&lt;=0),"",LN(AG224)-LN(AH224))</f>
        <v/>
      </c>
      <c r="AK224" t="n">
        <v>18108</v>
      </c>
      <c r="AL224" t="n">
        <v>96414</v>
      </c>
      <c r="AM224" s="88">
        <f>IF(OR(AK224&lt;=0,AL224&lt;=0),"",LN(AK224)-LN(AL224))</f>
        <v/>
      </c>
      <c r="AN224" t="n">
        <v>7224</v>
      </c>
      <c r="AO224" t="n">
        <v>103491</v>
      </c>
      <c r="AP224" s="88">
        <f>IF(OR(AN224&lt;=0,AO224&lt;=0),"",LN(AN224)-LN(AO224))</f>
        <v/>
      </c>
      <c r="AQ224" t="n">
        <v>7179</v>
      </c>
      <c r="AR224" t="n">
        <v>107118</v>
      </c>
      <c r="AS224" s="88">
        <f>IF(OR(AQ224&lt;=0,AR224&lt;=0),"",LN(AQ224)-LN(AR224))</f>
        <v/>
      </c>
      <c r="AT224" t="n">
        <v>9981</v>
      </c>
      <c r="AU224" t="n">
        <v>103929</v>
      </c>
      <c r="AV224" t="n">
        <v>620</v>
      </c>
      <c r="AW224" t="n">
        <v>1036</v>
      </c>
      <c r="AX224" t="n">
        <v>6317</v>
      </c>
      <c r="AY224" s="88">
        <f>IF(OR(AT224&lt;=0,AU224&lt;=0),"",LN(AT224)-LN(AU224))</f>
        <v/>
      </c>
      <c r="AZ224" s="46" t="n">
        <v>4.3</v>
      </c>
      <c r="BA224" s="46" t="n">
        <v>15.76</v>
      </c>
      <c r="BB224" s="47" t="n">
        <v>6.8</v>
      </c>
    </row>
    <row r="225">
      <c r="A225" s="48" t="n">
        <v>45515</v>
      </c>
      <c r="B225" s="49" t="n">
        <v>99627</v>
      </c>
      <c r="C225" s="50" t="n">
        <v>21.6</v>
      </c>
      <c r="D225" s="51" t="inlineStr">
        <is>
          <t>Moderate</t>
        </is>
      </c>
      <c r="E225" s="52" t="n">
        <v>30.8</v>
      </c>
      <c r="F225" s="52" t="n"/>
      <c r="G225" s="51" t="inlineStr">
        <is>
          <t>Sun</t>
        </is>
      </c>
      <c r="H225" s="51" t="inlineStr">
        <is>
          <t>Weekend</t>
        </is>
      </c>
      <c r="I225" s="51" t="inlineStr">
        <is>
          <t>Summer</t>
        </is>
      </c>
      <c r="J225" s="51" t="n">
        <v>25</v>
      </c>
      <c r="K225" s="51" t="inlineStr">
        <is>
          <t>강수량 공란</t>
        </is>
      </c>
      <c r="L225" s="46" t="n">
        <v>27.92</v>
      </c>
      <c r="M225" t="inlineStr">
        <is>
          <t>Good</t>
        </is>
      </c>
      <c r="N225" s="87" t="n">
        <v>25</v>
      </c>
      <c r="O225" s="87" t="n">
        <v>0</v>
      </c>
      <c r="P225" s="87" t="n">
        <v>0</v>
      </c>
      <c r="Q225" s="87" t="n">
        <v>0</v>
      </c>
      <c r="R225" s="87" t="n">
        <v>0</v>
      </c>
      <c r="S225" s="47" t="n">
        <v>1.8</v>
      </c>
      <c r="T225" s="47" t="n">
        <v>67.8</v>
      </c>
      <c r="U225" s="47" t="n"/>
      <c r="V225" s="87" t="n">
        <v>1</v>
      </c>
      <c r="W225" s="87" t="n">
        <v>0</v>
      </c>
      <c r="Y225" t="inlineStr">
        <is>
          <t>Aug</t>
        </is>
      </c>
      <c r="Z225" s="87" t="n">
        <v>2024</v>
      </c>
      <c r="AA225" s="47">
        <f>IF(F225="",0,F225)</f>
        <v/>
      </c>
      <c r="AB225" s="87">
        <f>IF(AA225&gt;=0.1,1,0)</f>
        <v/>
      </c>
      <c r="AC225" s="87" t="n">
        <v>0</v>
      </c>
      <c r="AD225" s="47">
        <f>IF(U225="",0,U225)</f>
        <v/>
      </c>
      <c r="AE225" s="87">
        <f>IF(OR(V225=1,W225=1),1,0)</f>
        <v/>
      </c>
      <c r="AF225" s="87" t="n">
        <v>0</v>
      </c>
      <c r="AG225" t="n">
        <v>7157</v>
      </c>
      <c r="AH225" t="n">
        <v>92470</v>
      </c>
      <c r="AI225" t="n">
        <v>0</v>
      </c>
      <c r="AJ225" s="88">
        <f>IF(OR(AG225&lt;=0,AH225&lt;=0),"",LN(AG225)-LN(AH225))</f>
        <v/>
      </c>
      <c r="AK225" t="n">
        <v>16495</v>
      </c>
      <c r="AL225" t="n">
        <v>83132</v>
      </c>
      <c r="AM225" s="88">
        <f>IF(OR(AK225&lt;=0,AL225&lt;=0),"",LN(AK225)-LN(AL225))</f>
        <v/>
      </c>
      <c r="AN225" t="n">
        <v>6962</v>
      </c>
      <c r="AO225" t="n">
        <v>89489</v>
      </c>
      <c r="AP225" s="88">
        <f>IF(OR(AN225&lt;=0,AO225&lt;=0),"",LN(AN225)-LN(AO225))</f>
        <v/>
      </c>
      <c r="AQ225" t="n">
        <v>6902</v>
      </c>
      <c r="AR225" t="n">
        <v>92470</v>
      </c>
      <c r="AS225" s="88">
        <f>IF(OR(AQ225&lt;=0,AR225&lt;=0),"",LN(AQ225)-LN(AR225))</f>
        <v/>
      </c>
      <c r="AT225" t="n">
        <v>9751</v>
      </c>
      <c r="AU225" t="n">
        <v>89359</v>
      </c>
      <c r="AV225" t="n">
        <v>519</v>
      </c>
      <c r="AW225" t="n">
        <v>1145</v>
      </c>
      <c r="AX225" t="n">
        <v>5969</v>
      </c>
      <c r="AY225" s="88">
        <f>IF(OR(AT225&lt;=0,AU225&lt;=0),"",LN(AT225)-LN(AU225))</f>
        <v/>
      </c>
      <c r="AZ225" s="46" t="n">
        <v>4.4</v>
      </c>
      <c r="BA225" s="46" t="n">
        <v>17.14</v>
      </c>
      <c r="BB225" s="47" t="n">
        <v>6.3</v>
      </c>
    </row>
    <row r="226">
      <c r="A226" s="48" t="n">
        <v>45516</v>
      </c>
      <c r="B226" s="49" t="n">
        <v>143220</v>
      </c>
      <c r="C226" s="50" t="n">
        <v>19.24</v>
      </c>
      <c r="D226" s="51" t="inlineStr">
        <is>
          <t>Moderate</t>
        </is>
      </c>
      <c r="E226" s="52" t="n">
        <v>31.1</v>
      </c>
      <c r="F226" s="52" t="n"/>
      <c r="G226" s="51" t="inlineStr">
        <is>
          <t>Mon</t>
        </is>
      </c>
      <c r="H226" s="51" t="inlineStr">
        <is>
          <t>Weekday</t>
        </is>
      </c>
      <c r="I226" s="51" t="inlineStr">
        <is>
          <t>Summer</t>
        </is>
      </c>
      <c r="J226" s="51" t="n">
        <v>25</v>
      </c>
      <c r="K226" s="51" t="inlineStr">
        <is>
          <t>강수량 공란</t>
        </is>
      </c>
      <c r="L226" s="46" t="n">
        <v>26.8</v>
      </c>
      <c r="M226" t="inlineStr">
        <is>
          <t>Good</t>
        </is>
      </c>
      <c r="N226" s="87" t="n">
        <v>25</v>
      </c>
      <c r="O226" s="87" t="n">
        <v>0</v>
      </c>
      <c r="P226" s="87" t="n">
        <v>0</v>
      </c>
      <c r="Q226" s="87" t="n">
        <v>0</v>
      </c>
      <c r="R226" s="87" t="n">
        <v>0</v>
      </c>
      <c r="S226" s="47" t="n">
        <v>1.9</v>
      </c>
      <c r="T226" s="47" t="n">
        <v>70.5</v>
      </c>
      <c r="U226" s="47" t="n"/>
      <c r="V226" s="87" t="n">
        <v>0</v>
      </c>
      <c r="W226" s="87" t="n">
        <v>0</v>
      </c>
      <c r="Y226" t="inlineStr">
        <is>
          <t>Aug</t>
        </is>
      </c>
      <c r="Z226" s="87" t="n">
        <v>2024</v>
      </c>
      <c r="AA226" s="47">
        <f>IF(F226="",0,F226)</f>
        <v/>
      </c>
      <c r="AB226" s="87">
        <f>IF(AA226&gt;=0.1,1,0)</f>
        <v/>
      </c>
      <c r="AC226" s="87" t="n">
        <v>0</v>
      </c>
      <c r="AD226" s="47">
        <f>IF(U226="",0,U226)</f>
        <v/>
      </c>
      <c r="AE226" s="87">
        <f>IF(OR(V226=1,W226=1),1,0)</f>
        <v/>
      </c>
      <c r="AF226" s="87" t="n">
        <v>0</v>
      </c>
      <c r="AG226" t="n">
        <v>7761</v>
      </c>
      <c r="AH226" t="n">
        <v>135459</v>
      </c>
      <c r="AI226" t="n">
        <v>0</v>
      </c>
      <c r="AJ226" s="88">
        <f>IF(OR(AG226&lt;=0,AH226&lt;=0),"",LN(AG226)-LN(AH226))</f>
        <v/>
      </c>
      <c r="AK226" t="n">
        <v>21370</v>
      </c>
      <c r="AL226" t="n">
        <v>121850</v>
      </c>
      <c r="AM226" s="88">
        <f>IF(OR(AK226&lt;=0,AL226&lt;=0),"",LN(AK226)-LN(AL226))</f>
        <v/>
      </c>
      <c r="AN226" t="n">
        <v>7588</v>
      </c>
      <c r="AO226" t="n">
        <v>130941</v>
      </c>
      <c r="AP226" s="88">
        <f>IF(OR(AN226&lt;=0,AO226&lt;=0),"",LN(AN226)-LN(AO226))</f>
        <v/>
      </c>
      <c r="AQ226" t="n">
        <v>7551</v>
      </c>
      <c r="AR226" t="n">
        <v>135459</v>
      </c>
      <c r="AS226" s="88">
        <f>IF(OR(AQ226&lt;=0,AR226&lt;=0),"",LN(AQ226)-LN(AR226))</f>
        <v/>
      </c>
      <c r="AT226" t="n">
        <v>9593</v>
      </c>
      <c r="AU226" t="n">
        <v>132852</v>
      </c>
      <c r="AV226" t="n">
        <v>783</v>
      </c>
      <c r="AW226" t="n">
        <v>835</v>
      </c>
      <c r="AX226" t="n">
        <v>6863</v>
      </c>
      <c r="AY226" s="88">
        <f>IF(OR(AT226&lt;=0,AU226&lt;=0),"",LN(AT226)-LN(AU226))</f>
        <v/>
      </c>
      <c r="AZ226" s="46" t="n">
        <v>4.1</v>
      </c>
      <c r="BA226" s="46" t="n">
        <v>13.51</v>
      </c>
      <c r="BB226" s="47" t="n">
        <v>4.1</v>
      </c>
    </row>
    <row r="227">
      <c r="A227" s="48" t="n">
        <v>45517</v>
      </c>
      <c r="B227" s="49" t="n">
        <v>134065</v>
      </c>
      <c r="C227" s="50" t="n">
        <v>17.08</v>
      </c>
      <c r="D227" s="51" t="inlineStr">
        <is>
          <t>Moderate</t>
        </is>
      </c>
      <c r="E227" s="52" t="n">
        <v>31.3</v>
      </c>
      <c r="F227" s="52" t="n">
        <v>0</v>
      </c>
      <c r="G227" s="51" t="inlineStr">
        <is>
          <t>Tue</t>
        </is>
      </c>
      <c r="H227" s="51" t="inlineStr">
        <is>
          <t>Weekday</t>
        </is>
      </c>
      <c r="I227" s="51" t="inlineStr">
        <is>
          <t>Summer</t>
        </is>
      </c>
      <c r="J227" s="51" t="n">
        <v>25</v>
      </c>
      <c r="K227" s="51" t="inlineStr">
        <is>
          <t>OK</t>
        </is>
      </c>
      <c r="L227" s="46" t="n">
        <v>25.04</v>
      </c>
      <c r="M227" t="inlineStr">
        <is>
          <t>Good</t>
        </is>
      </c>
      <c r="N227" s="87" t="n">
        <v>25</v>
      </c>
      <c r="O227" s="87" t="n">
        <v>0</v>
      </c>
      <c r="P227" s="87" t="n">
        <v>0</v>
      </c>
      <c r="Q227" s="87" t="n">
        <v>0</v>
      </c>
      <c r="R227" s="87" t="n">
        <v>0</v>
      </c>
      <c r="S227" s="47" t="n">
        <v>1.8</v>
      </c>
      <c r="T227" s="47" t="n">
        <v>70</v>
      </c>
      <c r="U227" s="47" t="n"/>
      <c r="V227" s="87" t="n">
        <v>0</v>
      </c>
      <c r="W227" s="87" t="n">
        <v>0</v>
      </c>
      <c r="Y227" t="inlineStr">
        <is>
          <t>Aug</t>
        </is>
      </c>
      <c r="Z227" s="87" t="n">
        <v>2024</v>
      </c>
      <c r="AA227" s="47">
        <f>IF(F227="",0,F227)</f>
        <v/>
      </c>
      <c r="AB227" s="87">
        <f>IF(AA227&gt;=0.1,1,0)</f>
        <v/>
      </c>
      <c r="AC227" s="87" t="n">
        <v>1</v>
      </c>
      <c r="AD227" s="47">
        <f>IF(U227="",0,U227)</f>
        <v/>
      </c>
      <c r="AE227" s="87">
        <f>IF(OR(V227=1,W227=1),1,0)</f>
        <v/>
      </c>
      <c r="AF227" s="87" t="n">
        <v>0</v>
      </c>
      <c r="AG227" t="n">
        <v>6695</v>
      </c>
      <c r="AH227" t="n">
        <v>127370</v>
      </c>
      <c r="AI227" t="n">
        <v>0</v>
      </c>
      <c r="AJ227" s="88">
        <f>IF(OR(AG227&lt;=0,AH227&lt;=0),"",LN(AG227)-LN(AH227))</f>
        <v/>
      </c>
      <c r="AK227" t="n">
        <v>19038</v>
      </c>
      <c r="AL227" t="n">
        <v>115027</v>
      </c>
      <c r="AM227" s="88">
        <f>IF(OR(AK227&lt;=0,AL227&lt;=0),"",LN(AK227)-LN(AL227))</f>
        <v/>
      </c>
      <c r="AN227" t="n">
        <v>6566</v>
      </c>
      <c r="AO227" t="n">
        <v>123112</v>
      </c>
      <c r="AP227" s="88">
        <f>IF(OR(AN227&lt;=0,AO227&lt;=0),"",LN(AN227)-LN(AO227))</f>
        <v/>
      </c>
      <c r="AQ227" t="n">
        <v>6486</v>
      </c>
      <c r="AR227" t="n">
        <v>127370</v>
      </c>
      <c r="AS227" s="88">
        <f>IF(OR(AQ227&lt;=0,AR227&lt;=0),"",LN(AQ227)-LN(AR227))</f>
        <v/>
      </c>
      <c r="AT227" t="n">
        <v>8909</v>
      </c>
      <c r="AU227" t="n">
        <v>124397</v>
      </c>
      <c r="AV227" t="n">
        <v>767</v>
      </c>
      <c r="AW227" t="n">
        <v>723</v>
      </c>
      <c r="AX227" t="n">
        <v>5930</v>
      </c>
      <c r="AY227" s="88">
        <f>IF(OR(AT227&lt;=0,AU227&lt;=0),"",LN(AT227)-LN(AU227))</f>
        <v/>
      </c>
      <c r="AZ227" s="46" t="n">
        <v>7.5</v>
      </c>
      <c r="BA227" s="46" t="n">
        <v>20.81</v>
      </c>
      <c r="BB227" s="47" t="n">
        <v>4.9</v>
      </c>
    </row>
    <row r="228">
      <c r="A228" s="48" t="n">
        <v>45518</v>
      </c>
      <c r="B228" s="49" t="n">
        <v>132723</v>
      </c>
      <c r="C228" s="50" t="n">
        <v>16.64</v>
      </c>
      <c r="D228" s="51" t="inlineStr">
        <is>
          <t>Moderate</t>
        </is>
      </c>
      <c r="E228" s="52" t="n">
        <v>30</v>
      </c>
      <c r="F228" s="52" t="n">
        <v>3</v>
      </c>
      <c r="G228" s="51" t="inlineStr">
        <is>
          <t>Wed</t>
        </is>
      </c>
      <c r="H228" s="51" t="inlineStr">
        <is>
          <t>Weekday</t>
        </is>
      </c>
      <c r="I228" s="51" t="inlineStr">
        <is>
          <t>Summer</t>
        </is>
      </c>
      <c r="J228" s="51" t="n">
        <v>25</v>
      </c>
      <c r="K228" s="51" t="inlineStr">
        <is>
          <t>OK</t>
        </is>
      </c>
      <c r="L228" s="46" t="n">
        <v>24.24</v>
      </c>
      <c r="M228" t="inlineStr">
        <is>
          <t>Good</t>
        </is>
      </c>
      <c r="N228" s="87" t="n">
        <v>25</v>
      </c>
      <c r="O228" s="87" t="n">
        <v>0</v>
      </c>
      <c r="P228" s="87" t="n">
        <v>0</v>
      </c>
      <c r="Q228" s="87" t="n">
        <v>0</v>
      </c>
      <c r="R228" s="87" t="n">
        <v>0</v>
      </c>
      <c r="S228" s="47" t="n">
        <v>1.9</v>
      </c>
      <c r="T228" s="47" t="n">
        <v>73</v>
      </c>
      <c r="U228" s="47" t="n"/>
      <c r="V228" s="87" t="n">
        <v>0</v>
      </c>
      <c r="W228" s="87" t="n">
        <v>0</v>
      </c>
      <c r="Y228" t="inlineStr">
        <is>
          <t>Aug</t>
        </is>
      </c>
      <c r="Z228" s="87" t="n">
        <v>2024</v>
      </c>
      <c r="AA228" s="47">
        <f>IF(F228="",0,F228)</f>
        <v/>
      </c>
      <c r="AB228" s="87">
        <f>IF(AA228&gt;=0.1,1,0)</f>
        <v/>
      </c>
      <c r="AC228" s="87" t="n">
        <v>0</v>
      </c>
      <c r="AD228" s="47">
        <f>IF(U228="",0,U228)</f>
        <v/>
      </c>
      <c r="AE228" s="87">
        <f>IF(OR(V228=1,W228=1),1,0)</f>
        <v/>
      </c>
      <c r="AF228" s="87" t="n">
        <v>0</v>
      </c>
      <c r="AG228" t="n">
        <v>7212</v>
      </c>
      <c r="AH228" t="n">
        <v>125511</v>
      </c>
      <c r="AI228" t="n">
        <v>0</v>
      </c>
      <c r="AJ228" s="88">
        <f>IF(OR(AG228&lt;=0,AH228&lt;=0),"",LN(AG228)-LN(AH228))</f>
        <v/>
      </c>
      <c r="AK228" t="n">
        <v>19701</v>
      </c>
      <c r="AL228" t="n">
        <v>113022</v>
      </c>
      <c r="AM228" s="88">
        <f>IF(OR(AK228&lt;=0,AL228&lt;=0),"",LN(AK228)-LN(AL228))</f>
        <v/>
      </c>
      <c r="AN228" t="n">
        <v>7111</v>
      </c>
      <c r="AO228" t="n">
        <v>121243</v>
      </c>
      <c r="AP228" s="88">
        <f>IF(OR(AN228&lt;=0,AO228&lt;=0),"",LN(AN228)-LN(AO228))</f>
        <v/>
      </c>
      <c r="AQ228" t="n">
        <v>6997</v>
      </c>
      <c r="AR228" t="n">
        <v>125511</v>
      </c>
      <c r="AS228" s="88">
        <f>IF(OR(AQ228&lt;=0,AR228&lt;=0),"",LN(AQ228)-LN(AR228))</f>
        <v/>
      </c>
      <c r="AT228" t="n">
        <v>8867</v>
      </c>
      <c r="AU228" t="n">
        <v>123077</v>
      </c>
      <c r="AV228" t="n">
        <v>785</v>
      </c>
      <c r="AW228" t="n">
        <v>715</v>
      </c>
      <c r="AX228" t="n">
        <v>6460</v>
      </c>
      <c r="AY228" s="88">
        <f>IF(OR(AT228&lt;=0,AU228&lt;=0),"",LN(AT228)-LN(AU228))</f>
        <v/>
      </c>
      <c r="AZ228" s="46" t="n">
        <v>4.7</v>
      </c>
      <c r="BA228" s="46" t="n">
        <v>12.59</v>
      </c>
      <c r="BB228" s="47" t="n">
        <v>5.6</v>
      </c>
    </row>
    <row r="229">
      <c r="A229" s="48" t="n">
        <v>45519</v>
      </c>
      <c r="B229" s="49" t="n">
        <v>102408</v>
      </c>
      <c r="C229" s="50" t="n">
        <v>15.56</v>
      </c>
      <c r="D229" s="51" t="inlineStr">
        <is>
          <t>Moderate</t>
        </is>
      </c>
      <c r="E229" s="52" t="n">
        <v>29.2</v>
      </c>
      <c r="F229" s="52" t="n">
        <v>6.4</v>
      </c>
      <c r="G229" s="51" t="inlineStr">
        <is>
          <t>Thu</t>
        </is>
      </c>
      <c r="H229" s="51" t="inlineStr">
        <is>
          <t>Weekday</t>
        </is>
      </c>
      <c r="I229" s="51" t="inlineStr">
        <is>
          <t>Summer</t>
        </is>
      </c>
      <c r="J229" s="51" t="n">
        <v>25</v>
      </c>
      <c r="K229" s="51" t="inlineStr">
        <is>
          <t>OK</t>
        </is>
      </c>
      <c r="L229" s="46" t="n">
        <v>22.04</v>
      </c>
      <c r="M229" t="inlineStr">
        <is>
          <t>Good</t>
        </is>
      </c>
      <c r="N229" s="87" t="n">
        <v>25</v>
      </c>
      <c r="O229" s="87" t="n">
        <v>0</v>
      </c>
      <c r="P229" s="87" t="n">
        <v>0</v>
      </c>
      <c r="Q229" s="87" t="n">
        <v>0</v>
      </c>
      <c r="R229" s="87" t="n">
        <v>0</v>
      </c>
      <c r="S229" s="47" t="n">
        <v>1.8</v>
      </c>
      <c r="T229" s="47" t="n">
        <v>74.59999999999999</v>
      </c>
      <c r="U229" s="47" t="n"/>
      <c r="V229" s="87" t="n">
        <v>0</v>
      </c>
      <c r="W229" s="87" t="n">
        <v>1</v>
      </c>
      <c r="X229" t="inlineStr">
        <is>
          <t>광복절</t>
        </is>
      </c>
      <c r="Y229" t="inlineStr">
        <is>
          <t>Aug</t>
        </is>
      </c>
      <c r="Z229" s="87" t="n">
        <v>2024</v>
      </c>
      <c r="AA229" s="47">
        <f>IF(F229="",0,F229)</f>
        <v/>
      </c>
      <c r="AB229" s="87">
        <f>IF(AA229&gt;=0.1,1,0)</f>
        <v/>
      </c>
      <c r="AC229" s="87" t="n">
        <v>0</v>
      </c>
      <c r="AD229" s="47">
        <f>IF(U229="",0,U229)</f>
        <v/>
      </c>
      <c r="AE229" s="87">
        <f>IF(OR(V229=1,W229=1),1,0)</f>
        <v/>
      </c>
      <c r="AF229" s="87" t="n">
        <v>0</v>
      </c>
      <c r="AG229" t="n">
        <v>6865</v>
      </c>
      <c r="AH229" t="n">
        <v>95543</v>
      </c>
      <c r="AI229" t="n">
        <v>0</v>
      </c>
      <c r="AJ229" s="88">
        <f>IF(OR(AG229&lt;=0,AH229&lt;=0),"",LN(AG229)-LN(AH229))</f>
        <v/>
      </c>
      <c r="AK229" t="n">
        <v>16437</v>
      </c>
      <c r="AL229" t="n">
        <v>85971</v>
      </c>
      <c r="AM229" s="88">
        <f>IF(OR(AK229&lt;=0,AL229&lt;=0),"",LN(AK229)-LN(AL229))</f>
        <v/>
      </c>
      <c r="AN229" t="n">
        <v>6724</v>
      </c>
      <c r="AO229" t="n">
        <v>92323</v>
      </c>
      <c r="AP229" s="88">
        <f>IF(OR(AN229&lt;=0,AO229&lt;=0),"",LN(AN229)-LN(AO229))</f>
        <v/>
      </c>
      <c r="AQ229" t="n">
        <v>6652</v>
      </c>
      <c r="AR229" t="n">
        <v>95543</v>
      </c>
      <c r="AS229" s="88">
        <f>IF(OR(AQ229&lt;=0,AR229&lt;=0),"",LN(AQ229)-LN(AR229))</f>
        <v/>
      </c>
      <c r="AT229" t="n">
        <v>9594</v>
      </c>
      <c r="AU229" t="n">
        <v>92282</v>
      </c>
      <c r="AV229" t="n">
        <v>533</v>
      </c>
      <c r="AW229" t="n">
        <v>1092</v>
      </c>
      <c r="AX229" t="n">
        <v>5727</v>
      </c>
      <c r="AY229" s="88">
        <f>IF(OR(AT229&lt;=0,AU229&lt;=0),"",LN(AT229)-LN(AU229))</f>
        <v/>
      </c>
      <c r="AZ229" s="46" t="n">
        <v>4.1</v>
      </c>
      <c r="BA229" s="46" t="n">
        <v>15.98</v>
      </c>
      <c r="BB229" s="47" t="n">
        <v>5.4</v>
      </c>
    </row>
    <row r="230">
      <c r="A230" s="48" t="n">
        <v>45520</v>
      </c>
      <c r="B230" s="49" t="n">
        <v>140840</v>
      </c>
      <c r="C230" s="50" t="n">
        <v>14.2</v>
      </c>
      <c r="D230" s="51" t="inlineStr">
        <is>
          <t>Good</t>
        </is>
      </c>
      <c r="E230" s="52" t="n">
        <v>29.8</v>
      </c>
      <c r="F230" s="52" t="n">
        <v>0</v>
      </c>
      <c r="G230" s="51" t="inlineStr">
        <is>
          <t>Fri</t>
        </is>
      </c>
      <c r="H230" s="51" t="inlineStr">
        <is>
          <t>Weekday</t>
        </is>
      </c>
      <c r="I230" s="51" t="inlineStr">
        <is>
          <t>Summer</t>
        </is>
      </c>
      <c r="J230" s="51" t="n">
        <v>25</v>
      </c>
      <c r="K230" s="51" t="inlineStr">
        <is>
          <t>OK</t>
        </is>
      </c>
      <c r="L230" s="46" t="n">
        <v>21.04</v>
      </c>
      <c r="M230" t="inlineStr">
        <is>
          <t>Good</t>
        </is>
      </c>
      <c r="N230" s="87" t="n">
        <v>25</v>
      </c>
      <c r="O230" s="87" t="n">
        <v>0</v>
      </c>
      <c r="P230" s="87" t="n">
        <v>0</v>
      </c>
      <c r="Q230" s="87" t="n">
        <v>0</v>
      </c>
      <c r="R230" s="87" t="n">
        <v>0</v>
      </c>
      <c r="S230" s="47" t="n">
        <v>2</v>
      </c>
      <c r="T230" s="47" t="n">
        <v>69.40000000000001</v>
      </c>
      <c r="U230" s="47" t="n"/>
      <c r="V230" s="87" t="n">
        <v>0</v>
      </c>
      <c r="W230" s="87" t="n">
        <v>0</v>
      </c>
      <c r="Y230" t="inlineStr">
        <is>
          <t>Aug</t>
        </is>
      </c>
      <c r="Z230" s="87" t="n">
        <v>2024</v>
      </c>
      <c r="AA230" s="47">
        <f>IF(F230="",0,F230)</f>
        <v/>
      </c>
      <c r="AB230" s="87">
        <f>IF(AA230&gt;=0.1,1,0)</f>
        <v/>
      </c>
      <c r="AC230" s="87" t="n">
        <v>1</v>
      </c>
      <c r="AD230" s="47">
        <f>IF(U230="",0,U230)</f>
        <v/>
      </c>
      <c r="AE230" s="87">
        <f>IF(OR(V230=1,W230=1),1,0)</f>
        <v/>
      </c>
      <c r="AF230" s="87" t="n">
        <v>0</v>
      </c>
      <c r="AG230" t="n">
        <v>7902</v>
      </c>
      <c r="AH230" t="n">
        <v>132938</v>
      </c>
      <c r="AI230" t="n">
        <v>0</v>
      </c>
      <c r="AJ230" s="88">
        <f>IF(OR(AG230&lt;=0,AH230&lt;=0),"",LN(AG230)-LN(AH230))</f>
        <v/>
      </c>
      <c r="AK230" t="n">
        <v>21202</v>
      </c>
      <c r="AL230" t="n">
        <v>119638</v>
      </c>
      <c r="AM230" s="88">
        <f>IF(OR(AK230&lt;=0,AL230&lt;=0),"",LN(AK230)-LN(AL230))</f>
        <v/>
      </c>
      <c r="AN230" t="n">
        <v>7723</v>
      </c>
      <c r="AO230" t="n">
        <v>128528</v>
      </c>
      <c r="AP230" s="88">
        <f>IF(OR(AN230&lt;=0,AO230&lt;=0),"",LN(AN230)-LN(AO230))</f>
        <v/>
      </c>
      <c r="AQ230" t="n">
        <v>7688</v>
      </c>
      <c r="AR230" t="n">
        <v>132938</v>
      </c>
      <c r="AS230" s="88">
        <f>IF(OR(AQ230&lt;=0,AR230&lt;=0),"",LN(AQ230)-LN(AR230))</f>
        <v/>
      </c>
      <c r="AT230" t="n">
        <v>10049</v>
      </c>
      <c r="AU230" t="n">
        <v>130061</v>
      </c>
      <c r="AV230" t="n">
        <v>739</v>
      </c>
      <c r="AW230" t="n">
        <v>948</v>
      </c>
      <c r="AX230" t="n">
        <v>6913</v>
      </c>
      <c r="AY230" s="88">
        <f>IF(OR(AT230&lt;=0,AU230&lt;=0),"",LN(AT230)-LN(AU230))</f>
        <v/>
      </c>
      <c r="AZ230" s="46" t="n">
        <v>6.7</v>
      </c>
      <c r="BA230" s="46" t="n">
        <v>17.24</v>
      </c>
      <c r="BB230" s="47" t="n">
        <v>3</v>
      </c>
    </row>
    <row r="231">
      <c r="A231" s="48" t="n">
        <v>45521</v>
      </c>
      <c r="B231" s="49" t="n">
        <v>105962</v>
      </c>
      <c r="C231" s="50" t="n">
        <v>14.68</v>
      </c>
      <c r="D231" s="51" t="inlineStr">
        <is>
          <t>Good</t>
        </is>
      </c>
      <c r="E231" s="52" t="n">
        <v>29.8</v>
      </c>
      <c r="F231" s="52" t="n">
        <v>11</v>
      </c>
      <c r="G231" s="51" t="inlineStr">
        <is>
          <t>Sat</t>
        </is>
      </c>
      <c r="H231" s="51" t="inlineStr">
        <is>
          <t>Weekend</t>
        </is>
      </c>
      <c r="I231" s="51" t="inlineStr">
        <is>
          <t>Summer</t>
        </is>
      </c>
      <c r="J231" s="51" t="n">
        <v>25</v>
      </c>
      <c r="K231" s="51" t="inlineStr">
        <is>
          <t>OK</t>
        </is>
      </c>
      <c r="L231" s="46" t="n">
        <v>21.2</v>
      </c>
      <c r="M231" t="inlineStr">
        <is>
          <t>Good</t>
        </is>
      </c>
      <c r="N231" s="87" t="n">
        <v>25</v>
      </c>
      <c r="O231" s="87" t="n">
        <v>0</v>
      </c>
      <c r="P231" s="87" t="n">
        <v>0</v>
      </c>
      <c r="Q231" s="87" t="n">
        <v>0</v>
      </c>
      <c r="R231" s="87" t="n">
        <v>0</v>
      </c>
      <c r="S231" s="47" t="n">
        <v>1.7</v>
      </c>
      <c r="T231" s="47" t="n">
        <v>71</v>
      </c>
      <c r="U231" s="47" t="n"/>
      <c r="V231" s="87" t="n">
        <v>1</v>
      </c>
      <c r="W231" s="87" t="n">
        <v>0</v>
      </c>
      <c r="Y231" t="inlineStr">
        <is>
          <t>Aug</t>
        </is>
      </c>
      <c r="Z231" s="87" t="n">
        <v>2024</v>
      </c>
      <c r="AA231" s="47">
        <f>IF(F231="",0,F231)</f>
        <v/>
      </c>
      <c r="AB231" s="87">
        <f>IF(AA231&gt;=0.1,1,0)</f>
        <v/>
      </c>
      <c r="AC231" s="87" t="n">
        <v>0</v>
      </c>
      <c r="AD231" s="47">
        <f>IF(U231="",0,U231)</f>
        <v/>
      </c>
      <c r="AE231" s="87">
        <f>IF(OR(V231=1,W231=1),1,0)</f>
        <v/>
      </c>
      <c r="AF231" s="87" t="n">
        <v>0</v>
      </c>
      <c r="AG231" t="n">
        <v>7109</v>
      </c>
      <c r="AH231" t="n">
        <v>98853</v>
      </c>
      <c r="AI231" t="n">
        <v>0</v>
      </c>
      <c r="AJ231" s="88">
        <f>IF(OR(AG231&lt;=0,AH231&lt;=0),"",LN(AG231)-LN(AH231))</f>
        <v/>
      </c>
      <c r="AK231" t="n">
        <v>17030</v>
      </c>
      <c r="AL231" t="n">
        <v>88932</v>
      </c>
      <c r="AM231" s="88">
        <f>IF(OR(AK231&lt;=0,AL231&lt;=0),"",LN(AK231)-LN(AL231))</f>
        <v/>
      </c>
      <c r="AN231" t="n">
        <v>6910</v>
      </c>
      <c r="AO231" t="n">
        <v>95475</v>
      </c>
      <c r="AP231" s="88">
        <f>IF(OR(AN231&lt;=0,AO231&lt;=0),"",LN(AN231)-LN(AO231))</f>
        <v/>
      </c>
      <c r="AQ231" t="n">
        <v>6882</v>
      </c>
      <c r="AR231" t="n">
        <v>98853</v>
      </c>
      <c r="AS231" s="88">
        <f>IF(OR(AQ231&lt;=0,AR231&lt;=0),"",LN(AQ231)-LN(AR231))</f>
        <v/>
      </c>
      <c r="AT231" t="n">
        <v>9507</v>
      </c>
      <c r="AU231" t="n">
        <v>95876</v>
      </c>
      <c r="AV231" t="n">
        <v>579</v>
      </c>
      <c r="AW231" t="n">
        <v>1099</v>
      </c>
      <c r="AX231" t="n">
        <v>5959</v>
      </c>
      <c r="AY231" s="88">
        <f>IF(OR(AT231&lt;=0,AU231&lt;=0),"",LN(AT231)-LN(AU231))</f>
        <v/>
      </c>
      <c r="AZ231" s="46" t="n">
        <v>5.3</v>
      </c>
      <c r="BA231" s="46" t="n">
        <v>14.73</v>
      </c>
      <c r="BB231" s="47" t="n">
        <v>4.8</v>
      </c>
    </row>
    <row r="232">
      <c r="A232" s="48" t="n">
        <v>45522</v>
      </c>
      <c r="B232" s="49" t="n">
        <v>93504</v>
      </c>
      <c r="C232" s="50" t="n">
        <v>14.08</v>
      </c>
      <c r="D232" s="51" t="inlineStr">
        <is>
          <t>Good</t>
        </is>
      </c>
      <c r="E232" s="52" t="n">
        <v>29.5</v>
      </c>
      <c r="F232" s="52" t="n">
        <v>0</v>
      </c>
      <c r="G232" s="51" t="inlineStr">
        <is>
          <t>Sun</t>
        </is>
      </c>
      <c r="H232" s="51" t="inlineStr">
        <is>
          <t>Weekend</t>
        </is>
      </c>
      <c r="I232" s="51" t="inlineStr">
        <is>
          <t>Summer</t>
        </is>
      </c>
      <c r="J232" s="51" t="n">
        <v>25</v>
      </c>
      <c r="K232" s="51" t="inlineStr">
        <is>
          <t>OK</t>
        </is>
      </c>
      <c r="L232" s="46" t="n">
        <v>19.56</v>
      </c>
      <c r="M232" t="inlineStr">
        <is>
          <t>Good</t>
        </is>
      </c>
      <c r="N232" s="87" t="n">
        <v>25</v>
      </c>
      <c r="O232" s="87" t="n">
        <v>0</v>
      </c>
      <c r="P232" s="87" t="n">
        <v>0</v>
      </c>
      <c r="Q232" s="87" t="n">
        <v>0</v>
      </c>
      <c r="R232" s="87" t="n">
        <v>0</v>
      </c>
      <c r="S232" s="47" t="n">
        <v>2</v>
      </c>
      <c r="T232" s="47" t="n">
        <v>73.8</v>
      </c>
      <c r="U232" s="47" t="n"/>
      <c r="V232" s="87" t="n">
        <v>1</v>
      </c>
      <c r="W232" s="87" t="n">
        <v>0</v>
      </c>
      <c r="Y232" t="inlineStr">
        <is>
          <t>Aug</t>
        </is>
      </c>
      <c r="Z232" s="87" t="n">
        <v>2024</v>
      </c>
      <c r="AA232" s="47">
        <f>IF(F232="",0,F232)</f>
        <v/>
      </c>
      <c r="AB232" s="87">
        <f>IF(AA232&gt;=0.1,1,0)</f>
        <v/>
      </c>
      <c r="AC232" s="87" t="n">
        <v>1</v>
      </c>
      <c r="AD232" s="47">
        <f>IF(U232="",0,U232)</f>
        <v/>
      </c>
      <c r="AE232" s="87">
        <f>IF(OR(V232=1,W232=1),1,0)</f>
        <v/>
      </c>
      <c r="AF232" s="87" t="n">
        <v>0</v>
      </c>
      <c r="AG232" t="n">
        <v>6470</v>
      </c>
      <c r="AH232" t="n">
        <v>87034</v>
      </c>
      <c r="AI232" t="n">
        <v>0</v>
      </c>
      <c r="AJ232" s="88">
        <f>IF(OR(AG232&lt;=0,AH232&lt;=0),"",LN(AG232)-LN(AH232))</f>
        <v/>
      </c>
      <c r="AK232" t="n">
        <v>15302</v>
      </c>
      <c r="AL232" t="n">
        <v>78202</v>
      </c>
      <c r="AM232" s="88">
        <f>IF(OR(AK232&lt;=0,AL232&lt;=0),"",LN(AK232)-LN(AL232))</f>
        <v/>
      </c>
      <c r="AN232" t="n">
        <v>6252</v>
      </c>
      <c r="AO232" t="n">
        <v>84228</v>
      </c>
      <c r="AP232" s="88">
        <f>IF(OR(AN232&lt;=0,AO232&lt;=0),"",LN(AN232)-LN(AO232))</f>
        <v/>
      </c>
      <c r="AQ232" t="n">
        <v>6254</v>
      </c>
      <c r="AR232" t="n">
        <v>87034</v>
      </c>
      <c r="AS232" s="88">
        <f>IF(OR(AQ232&lt;=0,AR232&lt;=0),"",LN(AQ232)-LN(AR232))</f>
        <v/>
      </c>
      <c r="AT232" t="n">
        <v>9043</v>
      </c>
      <c r="AU232" t="n">
        <v>83967</v>
      </c>
      <c r="AV232" t="n">
        <v>498</v>
      </c>
      <c r="AW232" t="n">
        <v>971</v>
      </c>
      <c r="AX232" t="n">
        <v>5459</v>
      </c>
      <c r="AY232" s="88">
        <f>IF(OR(AT232&lt;=0,AU232&lt;=0),"",LN(AT232)-LN(AU232))</f>
        <v/>
      </c>
      <c r="AZ232" s="46" t="n">
        <v>6.4</v>
      </c>
      <c r="BA232" s="46" t="n">
        <v>17.64</v>
      </c>
      <c r="BB232" s="47" t="n">
        <v>5.5</v>
      </c>
    </row>
    <row r="233">
      <c r="A233" s="48" t="n">
        <v>45523</v>
      </c>
      <c r="B233" s="49" t="n">
        <v>142992</v>
      </c>
      <c r="C233" s="50" t="n">
        <v>17.24</v>
      </c>
      <c r="D233" s="51" t="inlineStr">
        <is>
          <t>Moderate</t>
        </is>
      </c>
      <c r="E233" s="52" t="n">
        <v>29.7</v>
      </c>
      <c r="F233" s="52" t="n">
        <v>2.3</v>
      </c>
      <c r="G233" s="51" t="inlineStr">
        <is>
          <t>Mon</t>
        </is>
      </c>
      <c r="H233" s="51" t="inlineStr">
        <is>
          <t>Weekday</t>
        </is>
      </c>
      <c r="I233" s="51" t="inlineStr">
        <is>
          <t>Summer</t>
        </is>
      </c>
      <c r="J233" s="51" t="n">
        <v>25</v>
      </c>
      <c r="K233" s="51" t="inlineStr">
        <is>
          <t>OK</t>
        </is>
      </c>
      <c r="L233" s="46" t="n">
        <v>24.68</v>
      </c>
      <c r="M233" t="inlineStr">
        <is>
          <t>Good</t>
        </is>
      </c>
      <c r="N233" s="87" t="n">
        <v>25</v>
      </c>
      <c r="O233" s="87" t="n">
        <v>0</v>
      </c>
      <c r="P233" s="87" t="n">
        <v>0</v>
      </c>
      <c r="Q233" s="87" t="n">
        <v>0</v>
      </c>
      <c r="R233" s="87" t="n">
        <v>0</v>
      </c>
      <c r="S233" s="47" t="n">
        <v>1.9</v>
      </c>
      <c r="T233" s="47" t="n">
        <v>72.3</v>
      </c>
      <c r="U233" s="47" t="n"/>
      <c r="V233" s="87" t="n">
        <v>0</v>
      </c>
      <c r="W233" s="87" t="n">
        <v>0</v>
      </c>
      <c r="Y233" t="inlineStr">
        <is>
          <t>Aug</t>
        </is>
      </c>
      <c r="Z233" s="87" t="n">
        <v>2024</v>
      </c>
      <c r="AA233" s="47">
        <f>IF(F233="",0,F233)</f>
        <v/>
      </c>
      <c r="AB233" s="87">
        <f>IF(AA233&gt;=0.1,1,0)</f>
        <v/>
      </c>
      <c r="AC233" s="87" t="n">
        <v>0</v>
      </c>
      <c r="AD233" s="47">
        <f>IF(U233="",0,U233)</f>
        <v/>
      </c>
      <c r="AE233" s="87">
        <f>IF(OR(V233=1,W233=1),1,0)</f>
        <v/>
      </c>
      <c r="AF233" s="87" t="n">
        <v>0</v>
      </c>
      <c r="AG233" t="n">
        <v>7428</v>
      </c>
      <c r="AH233" t="n">
        <v>135564</v>
      </c>
      <c r="AI233" t="n">
        <v>0</v>
      </c>
      <c r="AJ233" s="88">
        <f>IF(OR(AG233&lt;=0,AH233&lt;=0),"",LN(AG233)-LN(AH233))</f>
        <v/>
      </c>
      <c r="AK233" t="n">
        <v>21003</v>
      </c>
      <c r="AL233" t="n">
        <v>121989</v>
      </c>
      <c r="AM233" s="88">
        <f>IF(OR(AK233&lt;=0,AL233&lt;=0),"",LN(AK233)-LN(AL233))</f>
        <v/>
      </c>
      <c r="AN233" t="n">
        <v>7233</v>
      </c>
      <c r="AO233" t="n">
        <v>131148</v>
      </c>
      <c r="AP233" s="88">
        <f>IF(OR(AN233&lt;=0,AO233&lt;=0),"",LN(AN233)-LN(AO233))</f>
        <v/>
      </c>
      <c r="AQ233" t="n">
        <v>7199</v>
      </c>
      <c r="AR233" t="n">
        <v>135564</v>
      </c>
      <c r="AS233" s="88">
        <f>IF(OR(AQ233&lt;=0,AR233&lt;=0),"",LN(AQ233)-LN(AR233))</f>
        <v/>
      </c>
      <c r="AT233" t="n">
        <v>9554</v>
      </c>
      <c r="AU233" t="n">
        <v>132670</v>
      </c>
      <c r="AV233" t="n">
        <v>779</v>
      </c>
      <c r="AW233" t="n">
        <v>817</v>
      </c>
      <c r="AX233" t="n">
        <v>6568</v>
      </c>
      <c r="AY233" s="88">
        <f>IF(OR(AT233&lt;=0,AU233&lt;=0),"",LN(AT233)-LN(AU233))</f>
        <v/>
      </c>
      <c r="AZ233" s="46" t="n">
        <v>7.1</v>
      </c>
      <c r="BA233" s="46" t="n">
        <v>20.08</v>
      </c>
      <c r="BB233" s="47" t="n">
        <v>2.5</v>
      </c>
    </row>
    <row r="234">
      <c r="A234" s="48" t="n">
        <v>45524</v>
      </c>
      <c r="B234" s="49" t="n">
        <v>146658</v>
      </c>
      <c r="C234" s="50" t="n">
        <v>17.4</v>
      </c>
      <c r="D234" s="51" t="inlineStr">
        <is>
          <t>Moderate</t>
        </is>
      </c>
      <c r="E234" s="52" t="n">
        <v>31.4</v>
      </c>
      <c r="F234" s="52" t="n">
        <v>0</v>
      </c>
      <c r="G234" s="51" t="inlineStr">
        <is>
          <t>Tue</t>
        </is>
      </c>
      <c r="H234" s="51" t="inlineStr">
        <is>
          <t>Weekday</t>
        </is>
      </c>
      <c r="I234" s="51" t="inlineStr">
        <is>
          <t>Summer</t>
        </is>
      </c>
      <c r="J234" s="51" t="n">
        <v>25</v>
      </c>
      <c r="K234" s="51" t="inlineStr">
        <is>
          <t>OK</t>
        </is>
      </c>
      <c r="L234" s="46" t="n">
        <v>24.6</v>
      </c>
      <c r="M234" t="inlineStr">
        <is>
          <t>Good</t>
        </is>
      </c>
      <c r="N234" s="87" t="n">
        <v>25</v>
      </c>
      <c r="O234" s="87" t="n">
        <v>0</v>
      </c>
      <c r="P234" s="87" t="n">
        <v>0</v>
      </c>
      <c r="Q234" s="87" t="n">
        <v>0</v>
      </c>
      <c r="R234" s="87" t="n">
        <v>0</v>
      </c>
      <c r="S234" s="47" t="n">
        <v>2.3</v>
      </c>
      <c r="T234" s="47" t="n">
        <v>68.3</v>
      </c>
      <c r="U234" s="47" t="n"/>
      <c r="V234" s="87" t="n">
        <v>0</v>
      </c>
      <c r="W234" s="87" t="n">
        <v>0</v>
      </c>
      <c r="Y234" t="inlineStr">
        <is>
          <t>Aug</t>
        </is>
      </c>
      <c r="Z234" s="87" t="n">
        <v>2024</v>
      </c>
      <c r="AA234" s="47">
        <f>IF(F234="",0,F234)</f>
        <v/>
      </c>
      <c r="AB234" s="87">
        <f>IF(AA234&gt;=0.1,1,0)</f>
        <v/>
      </c>
      <c r="AC234" s="87" t="n">
        <v>1</v>
      </c>
      <c r="AD234" s="47">
        <f>IF(U234="",0,U234)</f>
        <v/>
      </c>
      <c r="AE234" s="87">
        <f>IF(OR(V234=1,W234=1),1,0)</f>
        <v/>
      </c>
      <c r="AF234" s="87" t="n">
        <v>0</v>
      </c>
      <c r="AG234" t="n">
        <v>7181</v>
      </c>
      <c r="AH234" t="n">
        <v>139477</v>
      </c>
      <c r="AI234" t="n">
        <v>0</v>
      </c>
      <c r="AJ234" s="88">
        <f>IF(OR(AG234&lt;=0,AH234&lt;=0),"",LN(AG234)-LN(AH234))</f>
        <v/>
      </c>
      <c r="AK234" t="n">
        <v>20870</v>
      </c>
      <c r="AL234" t="n">
        <v>125788</v>
      </c>
      <c r="AM234" s="88">
        <f>IF(OR(AK234&lt;=0,AL234&lt;=0),"",LN(AK234)-LN(AL234))</f>
        <v/>
      </c>
      <c r="AN234" t="n">
        <v>6990</v>
      </c>
      <c r="AO234" t="n">
        <v>134851</v>
      </c>
      <c r="AP234" s="88">
        <f>IF(OR(AN234&lt;=0,AO234&lt;=0),"",LN(AN234)-LN(AO234))</f>
        <v/>
      </c>
      <c r="AQ234" t="n">
        <v>6993</v>
      </c>
      <c r="AR234" t="n">
        <v>139477</v>
      </c>
      <c r="AS234" s="88">
        <f>IF(OR(AQ234&lt;=0,AR234&lt;=0),"",LN(AQ234)-LN(AR234))</f>
        <v/>
      </c>
      <c r="AT234" t="n">
        <v>9088</v>
      </c>
      <c r="AU234" t="n">
        <v>136745</v>
      </c>
      <c r="AV234" t="n">
        <v>830</v>
      </c>
      <c r="AW234" t="n">
        <v>660</v>
      </c>
      <c r="AX234" t="n">
        <v>6482</v>
      </c>
      <c r="AY234" s="88">
        <f>IF(OR(AT234&lt;=0,AU234&lt;=0),"",LN(AT234)-LN(AU234))</f>
        <v/>
      </c>
      <c r="AZ234" s="46" t="n">
        <v>7.7</v>
      </c>
      <c r="BA234" s="46" t="n">
        <v>19.09</v>
      </c>
      <c r="BB234" s="47" t="n">
        <v>6.1</v>
      </c>
    </row>
    <row r="235">
      <c r="A235" s="48" t="n">
        <v>45525</v>
      </c>
      <c r="B235" s="49" t="n">
        <v>73098</v>
      </c>
      <c r="C235" s="50" t="n">
        <v>5.8</v>
      </c>
      <c r="D235" s="51" t="inlineStr">
        <is>
          <t>Good</t>
        </is>
      </c>
      <c r="E235" s="52" t="n">
        <v>28.4</v>
      </c>
      <c r="F235" s="52" t="n">
        <v>42.2</v>
      </c>
      <c r="G235" s="51" t="inlineStr">
        <is>
          <t>Wed</t>
        </is>
      </c>
      <c r="H235" s="51" t="inlineStr">
        <is>
          <t>Weekday</t>
        </is>
      </c>
      <c r="I235" s="51" t="inlineStr">
        <is>
          <t>Summer</t>
        </is>
      </c>
      <c r="J235" s="51" t="n">
        <v>25</v>
      </c>
      <c r="K235" s="51" t="inlineStr">
        <is>
          <t>OK</t>
        </is>
      </c>
      <c r="L235" s="46" t="n">
        <v>12.48</v>
      </c>
      <c r="M235" t="inlineStr">
        <is>
          <t>Good</t>
        </is>
      </c>
      <c r="N235" s="87" t="n">
        <v>25</v>
      </c>
      <c r="O235" s="87" t="n">
        <v>0</v>
      </c>
      <c r="P235" s="87" t="n">
        <v>0</v>
      </c>
      <c r="Q235" s="87" t="n">
        <v>0</v>
      </c>
      <c r="R235" s="87" t="n">
        <v>0</v>
      </c>
      <c r="S235" s="47" t="n">
        <v>3.2</v>
      </c>
      <c r="T235" s="47" t="n">
        <v>85.90000000000001</v>
      </c>
      <c r="U235" s="47" t="n"/>
      <c r="V235" s="87" t="n">
        <v>0</v>
      </c>
      <c r="W235" s="87" t="n">
        <v>0</v>
      </c>
      <c r="Y235" t="inlineStr">
        <is>
          <t>Aug</t>
        </is>
      </c>
      <c r="Z235" s="87" t="n">
        <v>2024</v>
      </c>
      <c r="AA235" s="47">
        <f>IF(F235="",0,F235)</f>
        <v/>
      </c>
      <c r="AB235" s="87">
        <f>IF(AA235&gt;=0.1,1,0)</f>
        <v/>
      </c>
      <c r="AC235" s="87" t="n">
        <v>0</v>
      </c>
      <c r="AD235" s="47">
        <f>IF(U235="",0,U235)</f>
        <v/>
      </c>
      <c r="AE235" s="87">
        <f>IF(OR(V235=1,W235=1),1,0)</f>
        <v/>
      </c>
      <c r="AF235" s="87" t="n">
        <v>0</v>
      </c>
      <c r="AG235" t="n">
        <v>3584</v>
      </c>
      <c r="AH235" t="n">
        <v>69514</v>
      </c>
      <c r="AI235" t="n">
        <v>0</v>
      </c>
      <c r="AJ235" s="88">
        <f>IF(OR(AG235&lt;=0,AH235&lt;=0),"",LN(AG235)-LN(AH235))</f>
        <v/>
      </c>
      <c r="AK235" t="n">
        <v>10195</v>
      </c>
      <c r="AL235" t="n">
        <v>62903</v>
      </c>
      <c r="AM235" s="88">
        <f>IF(OR(AK235&lt;=0,AL235&lt;=0),"",LN(AK235)-LN(AL235))</f>
        <v/>
      </c>
      <c r="AN235" t="n">
        <v>3467</v>
      </c>
      <c r="AO235" t="n">
        <v>67106</v>
      </c>
      <c r="AP235" s="88">
        <f>IF(OR(AN235&lt;=0,AO235&lt;=0),"",LN(AN235)-LN(AO235))</f>
        <v/>
      </c>
      <c r="AQ235" t="n">
        <v>3483</v>
      </c>
      <c r="AR235" t="n">
        <v>69514</v>
      </c>
      <c r="AS235" s="88">
        <f>IF(OR(AQ235&lt;=0,AR235&lt;=0),"",LN(AQ235)-LN(AR235))</f>
        <v/>
      </c>
      <c r="AT235" t="n">
        <v>5321</v>
      </c>
      <c r="AU235" t="n">
        <v>67329</v>
      </c>
      <c r="AV235" t="n">
        <v>447</v>
      </c>
      <c r="AW235" t="n">
        <v>444</v>
      </c>
      <c r="AX235" t="n">
        <v>3123</v>
      </c>
      <c r="AY235" s="88">
        <f>IF(OR(AT235&lt;=0,AU235&lt;=0),"",LN(AT235)-LN(AU235))</f>
        <v/>
      </c>
      <c r="AZ235" s="46" t="n">
        <v>0</v>
      </c>
      <c r="BA235" s="46" t="n">
        <v>4.68</v>
      </c>
      <c r="BB235" s="47" t="n">
        <v>9.5</v>
      </c>
    </row>
    <row r="236">
      <c r="A236" s="48" t="n">
        <v>45526</v>
      </c>
      <c r="B236" s="49" t="n">
        <v>125868</v>
      </c>
      <c r="C236" s="50" t="n">
        <v>5.88</v>
      </c>
      <c r="D236" s="51" t="inlineStr">
        <is>
          <t>Good</t>
        </is>
      </c>
      <c r="E236" s="52" t="n">
        <v>28.6</v>
      </c>
      <c r="F236" s="52" t="n">
        <v>0.6</v>
      </c>
      <c r="G236" s="51" t="inlineStr">
        <is>
          <t>Thu</t>
        </is>
      </c>
      <c r="H236" s="51" t="inlineStr">
        <is>
          <t>Weekday</t>
        </is>
      </c>
      <c r="I236" s="51" t="inlineStr">
        <is>
          <t>Summer</t>
        </is>
      </c>
      <c r="J236" s="51" t="n">
        <v>25</v>
      </c>
      <c r="K236" s="51" t="inlineStr">
        <is>
          <t>OK</t>
        </is>
      </c>
      <c r="L236" s="46" t="n">
        <v>15.44</v>
      </c>
      <c r="M236" t="inlineStr">
        <is>
          <t>Good</t>
        </is>
      </c>
      <c r="N236" s="87" t="n">
        <v>25</v>
      </c>
      <c r="O236" s="87" t="n">
        <v>0</v>
      </c>
      <c r="P236" s="87" t="n">
        <v>0</v>
      </c>
      <c r="Q236" s="87" t="n">
        <v>0</v>
      </c>
      <c r="R236" s="87" t="n">
        <v>0</v>
      </c>
      <c r="S236" s="47" t="n">
        <v>3.4</v>
      </c>
      <c r="T236" s="47" t="n">
        <v>79.90000000000001</v>
      </c>
      <c r="U236" s="47" t="n"/>
      <c r="V236" s="87" t="n">
        <v>0</v>
      </c>
      <c r="W236" s="87" t="n">
        <v>0</v>
      </c>
      <c r="Y236" t="inlineStr">
        <is>
          <t>Aug</t>
        </is>
      </c>
      <c r="Z236" s="87" t="n">
        <v>2024</v>
      </c>
      <c r="AA236" s="47">
        <f>IF(F236="",0,F236)</f>
        <v/>
      </c>
      <c r="AB236" s="87">
        <f>IF(AA236&gt;=0.1,1,0)</f>
        <v/>
      </c>
      <c r="AC236" s="87" t="n">
        <v>0</v>
      </c>
      <c r="AD236" s="47">
        <f>IF(U236="",0,U236)</f>
        <v/>
      </c>
      <c r="AE236" s="87">
        <f>IF(OR(V236=1,W236=1),1,0)</f>
        <v/>
      </c>
      <c r="AF236" s="87" t="n">
        <v>0</v>
      </c>
      <c r="AG236" t="n">
        <v>6278</v>
      </c>
      <c r="AH236" t="n">
        <v>119590</v>
      </c>
      <c r="AI236" t="n">
        <v>0</v>
      </c>
      <c r="AJ236" s="88">
        <f>IF(OR(AG236&lt;=0,AH236&lt;=0),"",LN(AG236)-LN(AH236))</f>
        <v/>
      </c>
      <c r="AK236" t="n">
        <v>18003</v>
      </c>
      <c r="AL236" t="n">
        <v>107865</v>
      </c>
      <c r="AM236" s="88">
        <f>IF(OR(AK236&lt;=0,AL236&lt;=0),"",LN(AK236)-LN(AL236))</f>
        <v/>
      </c>
      <c r="AN236" t="n">
        <v>6131</v>
      </c>
      <c r="AO236" t="n">
        <v>115581</v>
      </c>
      <c r="AP236" s="88">
        <f>IF(OR(AN236&lt;=0,AO236&lt;=0),"",LN(AN236)-LN(AO236))</f>
        <v/>
      </c>
      <c r="AQ236" t="n">
        <v>6112</v>
      </c>
      <c r="AR236" t="n">
        <v>119590</v>
      </c>
      <c r="AS236" s="88">
        <f>IF(OR(AQ236&lt;=0,AR236&lt;=0),"",LN(AQ236)-LN(AR236))</f>
        <v/>
      </c>
      <c r="AT236" t="n">
        <v>7397</v>
      </c>
      <c r="AU236" t="n">
        <v>117790</v>
      </c>
      <c r="AV236" t="n">
        <v>690</v>
      </c>
      <c r="AW236" t="n">
        <v>605</v>
      </c>
      <c r="AX236" t="n">
        <v>5645</v>
      </c>
      <c r="AY236" s="88">
        <f>IF(OR(AT236&lt;=0,AU236&lt;=0),"",LN(AT236)-LN(AU236))</f>
        <v/>
      </c>
      <c r="AZ236" s="46" t="n">
        <v>1.8</v>
      </c>
      <c r="BA236" s="46" t="n">
        <v>7.27</v>
      </c>
      <c r="BB236" s="47" t="n">
        <v>8.800000000000001</v>
      </c>
    </row>
    <row r="237">
      <c r="A237" s="48" t="n">
        <v>45527</v>
      </c>
      <c r="B237" s="49" t="n">
        <v>151292</v>
      </c>
      <c r="C237" s="50" t="n">
        <v>20.8</v>
      </c>
      <c r="D237" s="51" t="inlineStr">
        <is>
          <t>Moderate</t>
        </is>
      </c>
      <c r="E237" s="52" t="n">
        <v>28.4</v>
      </c>
      <c r="F237" s="52" t="n">
        <v>0</v>
      </c>
      <c r="G237" s="51" t="inlineStr">
        <is>
          <t>Fri</t>
        </is>
      </c>
      <c r="H237" s="51" t="inlineStr">
        <is>
          <t>Weekday</t>
        </is>
      </c>
      <c r="I237" s="51" t="inlineStr">
        <is>
          <t>Summer</t>
        </is>
      </c>
      <c r="J237" s="51" t="n">
        <v>25</v>
      </c>
      <c r="K237" s="51" t="inlineStr">
        <is>
          <t>OK</t>
        </is>
      </c>
      <c r="L237" s="46" t="n">
        <v>28.64</v>
      </c>
      <c r="M237" t="inlineStr">
        <is>
          <t>Good</t>
        </is>
      </c>
      <c r="N237" s="87" t="n">
        <v>25</v>
      </c>
      <c r="O237" s="87" t="n">
        <v>0</v>
      </c>
      <c r="P237" s="87" t="n">
        <v>0</v>
      </c>
      <c r="Q237" s="87" t="n">
        <v>0</v>
      </c>
      <c r="R237" s="87" t="n">
        <v>0</v>
      </c>
      <c r="S237" s="47" t="n">
        <v>2.7</v>
      </c>
      <c r="T237" s="47" t="n">
        <v>73.5</v>
      </c>
      <c r="U237" s="47" t="n"/>
      <c r="V237" s="87" t="n">
        <v>0</v>
      </c>
      <c r="W237" s="87" t="n">
        <v>0</v>
      </c>
      <c r="Y237" t="inlineStr">
        <is>
          <t>Aug</t>
        </is>
      </c>
      <c r="Z237" s="87" t="n">
        <v>2024</v>
      </c>
      <c r="AA237" s="47">
        <f>IF(F237="",0,F237)</f>
        <v/>
      </c>
      <c r="AB237" s="87">
        <f>IF(AA237&gt;=0.1,1,0)</f>
        <v/>
      </c>
      <c r="AC237" s="87" t="n">
        <v>1</v>
      </c>
      <c r="AD237" s="47">
        <f>IF(U237="",0,U237)</f>
        <v/>
      </c>
      <c r="AE237" s="87">
        <f>IF(OR(V237=1,W237=1),1,0)</f>
        <v/>
      </c>
      <c r="AF237" s="87" t="n">
        <v>0</v>
      </c>
      <c r="AG237" t="n">
        <v>8322</v>
      </c>
      <c r="AH237" t="n">
        <v>142970</v>
      </c>
      <c r="AI237" t="n">
        <v>0</v>
      </c>
      <c r="AJ237" s="88">
        <f>IF(OR(AG237&lt;=0,AH237&lt;=0),"",LN(AG237)-LN(AH237))</f>
        <v/>
      </c>
      <c r="AK237" t="n">
        <v>22446</v>
      </c>
      <c r="AL237" t="n">
        <v>128846</v>
      </c>
      <c r="AM237" s="88">
        <f>IF(OR(AK237&lt;=0,AL237&lt;=0),"",LN(AK237)-LN(AL237))</f>
        <v/>
      </c>
      <c r="AN237" t="n">
        <v>8142</v>
      </c>
      <c r="AO237" t="n">
        <v>138143</v>
      </c>
      <c r="AP237" s="88">
        <f>IF(OR(AN237&lt;=0,AO237&lt;=0),"",LN(AN237)-LN(AO237))</f>
        <v/>
      </c>
      <c r="AQ237" t="n">
        <v>8076</v>
      </c>
      <c r="AR237" t="n">
        <v>142970</v>
      </c>
      <c r="AS237" s="88">
        <f>IF(OR(AQ237&lt;=0,AR237&lt;=0),"",LN(AQ237)-LN(AR237))</f>
        <v/>
      </c>
      <c r="AT237" t="n">
        <v>10085</v>
      </c>
      <c r="AU237" t="n">
        <v>140328</v>
      </c>
      <c r="AV237" t="n">
        <v>894</v>
      </c>
      <c r="AW237" t="n">
        <v>958</v>
      </c>
      <c r="AX237" t="n">
        <v>7322</v>
      </c>
      <c r="AY237" s="88">
        <f>IF(OR(AT237&lt;=0,AU237&lt;=0),"",LN(AT237)-LN(AU237))</f>
        <v/>
      </c>
      <c r="AZ237" s="46" t="n">
        <v>5.6</v>
      </c>
      <c r="BA237" s="46" t="n">
        <v>17.48</v>
      </c>
      <c r="BB237" s="47" t="n">
        <v>5.3</v>
      </c>
    </row>
    <row r="238">
      <c r="A238" s="48" t="n">
        <v>45528</v>
      </c>
      <c r="B238" s="49" t="n">
        <v>105509</v>
      </c>
      <c r="C238" s="50" t="n">
        <v>30.76</v>
      </c>
      <c r="D238" s="51" t="inlineStr">
        <is>
          <t>Moderate</t>
        </is>
      </c>
      <c r="E238" s="52" t="n">
        <v>27.6</v>
      </c>
      <c r="F238" s="52" t="n">
        <v>2</v>
      </c>
      <c r="G238" s="51" t="inlineStr">
        <is>
          <t>Sat</t>
        </is>
      </c>
      <c r="H238" s="51" t="inlineStr">
        <is>
          <t>Weekend</t>
        </is>
      </c>
      <c r="I238" s="51" t="inlineStr">
        <is>
          <t>Summer</t>
        </is>
      </c>
      <c r="J238" s="51" t="n">
        <v>25</v>
      </c>
      <c r="K238" s="51" t="inlineStr">
        <is>
          <t>OK</t>
        </is>
      </c>
      <c r="L238" s="46" t="n">
        <v>39</v>
      </c>
      <c r="M238" t="inlineStr">
        <is>
          <t>Moderate</t>
        </is>
      </c>
      <c r="N238" s="87" t="n">
        <v>25</v>
      </c>
      <c r="O238" s="87" t="n">
        <v>0</v>
      </c>
      <c r="P238" s="87" t="n">
        <v>0</v>
      </c>
      <c r="Q238" s="87" t="n">
        <v>0</v>
      </c>
      <c r="R238" s="87" t="n">
        <v>0</v>
      </c>
      <c r="S238" s="47" t="n">
        <v>1.4</v>
      </c>
      <c r="T238" s="47" t="n">
        <v>78.8</v>
      </c>
      <c r="U238" s="47" t="n"/>
      <c r="V238" s="87" t="n">
        <v>1</v>
      </c>
      <c r="W238" s="87" t="n">
        <v>0</v>
      </c>
      <c r="Y238" t="inlineStr">
        <is>
          <t>Aug</t>
        </is>
      </c>
      <c r="Z238" s="87" t="n">
        <v>2024</v>
      </c>
      <c r="AA238" s="47">
        <f>IF(F238="",0,F238)</f>
        <v/>
      </c>
      <c r="AB238" s="87">
        <f>IF(AA238&gt;=0.1,1,0)</f>
        <v/>
      </c>
      <c r="AC238" s="87" t="n">
        <v>0</v>
      </c>
      <c r="AD238" s="47">
        <f>IF(U238="",0,U238)</f>
        <v/>
      </c>
      <c r="AE238" s="87">
        <f>IF(OR(V238=1,W238=1),1,0)</f>
        <v/>
      </c>
      <c r="AF238" s="87" t="n">
        <v>0</v>
      </c>
      <c r="AG238" t="n">
        <v>6643</v>
      </c>
      <c r="AH238" t="n">
        <v>98866</v>
      </c>
      <c r="AI238" t="n">
        <v>0</v>
      </c>
      <c r="AJ238" s="88">
        <f>IF(OR(AG238&lt;=0,AH238&lt;=0),"",LN(AG238)-LN(AH238))</f>
        <v/>
      </c>
      <c r="AK238" t="n">
        <v>15736</v>
      </c>
      <c r="AL238" t="n">
        <v>89773</v>
      </c>
      <c r="AM238" s="88">
        <f>IF(OR(AK238&lt;=0,AL238&lt;=0),"",LN(AK238)-LN(AL238))</f>
        <v/>
      </c>
      <c r="AN238" t="n">
        <v>6449</v>
      </c>
      <c r="AO238" t="n">
        <v>95474</v>
      </c>
      <c r="AP238" s="88">
        <f>IF(OR(AN238&lt;=0,AO238&lt;=0),"",LN(AN238)-LN(AO238))</f>
        <v/>
      </c>
      <c r="AQ238" t="n">
        <v>6450</v>
      </c>
      <c r="AR238" t="n">
        <v>98866</v>
      </c>
      <c r="AS238" s="88">
        <f>IF(OR(AQ238&lt;=0,AR238&lt;=0),"",LN(AQ238)-LN(AR238))</f>
        <v/>
      </c>
      <c r="AT238" t="n">
        <v>9048</v>
      </c>
      <c r="AU238" t="n">
        <v>95873</v>
      </c>
      <c r="AV238" t="n">
        <v>592</v>
      </c>
      <c r="AW238" t="n">
        <v>965</v>
      </c>
      <c r="AX238" t="n">
        <v>5631</v>
      </c>
      <c r="AY238" s="88">
        <f>IF(OR(AT238&lt;=0,AU238&lt;=0),"",LN(AT238)-LN(AU238))</f>
        <v/>
      </c>
      <c r="AZ238" s="46" t="n">
        <v>2.4</v>
      </c>
      <c r="BA238" s="46" t="n">
        <v>12.04</v>
      </c>
      <c r="BB238" s="47" t="n">
        <v>3.8</v>
      </c>
    </row>
    <row r="239">
      <c r="A239" s="48" t="n">
        <v>45529</v>
      </c>
      <c r="B239" s="49" t="n">
        <v>101720</v>
      </c>
      <c r="C239" s="50" t="n">
        <v>29.76</v>
      </c>
      <c r="D239" s="51" t="inlineStr">
        <is>
          <t>Moderate</t>
        </is>
      </c>
      <c r="E239" s="52" t="n">
        <v>28.5</v>
      </c>
      <c r="F239" s="52" t="n"/>
      <c r="G239" s="51" t="inlineStr">
        <is>
          <t>Sun</t>
        </is>
      </c>
      <c r="H239" s="51" t="inlineStr">
        <is>
          <t>Weekend</t>
        </is>
      </c>
      <c r="I239" s="51" t="inlineStr">
        <is>
          <t>Summer</t>
        </is>
      </c>
      <c r="J239" s="51" t="n">
        <v>25</v>
      </c>
      <c r="K239" s="51" t="inlineStr">
        <is>
          <t>강수량 공란</t>
        </is>
      </c>
      <c r="L239" s="46" t="n">
        <v>37.48</v>
      </c>
      <c r="M239" t="inlineStr">
        <is>
          <t>Moderate</t>
        </is>
      </c>
      <c r="N239" s="87" t="n">
        <v>25</v>
      </c>
      <c r="O239" s="87" t="n">
        <v>0</v>
      </c>
      <c r="P239" s="87" t="n">
        <v>0</v>
      </c>
      <c r="Q239" s="87" t="n">
        <v>0</v>
      </c>
      <c r="R239" s="87" t="n">
        <v>0</v>
      </c>
      <c r="S239" s="47" t="n">
        <v>1.4</v>
      </c>
      <c r="T239" s="47" t="n">
        <v>76.59999999999999</v>
      </c>
      <c r="U239" s="47" t="n"/>
      <c r="V239" s="87" t="n">
        <v>1</v>
      </c>
      <c r="W239" s="87" t="n">
        <v>0</v>
      </c>
      <c r="Y239" t="inlineStr">
        <is>
          <t>Aug</t>
        </is>
      </c>
      <c r="Z239" s="87" t="n">
        <v>2024</v>
      </c>
      <c r="AA239" s="47">
        <f>IF(F239="",0,F239)</f>
        <v/>
      </c>
      <c r="AB239" s="87">
        <f>IF(AA239&gt;=0.1,1,0)</f>
        <v/>
      </c>
      <c r="AC239" s="87" t="n">
        <v>0</v>
      </c>
      <c r="AD239" s="47">
        <f>IF(U239="",0,U239)</f>
        <v/>
      </c>
      <c r="AE239" s="87">
        <f>IF(OR(V239=1,W239=1),1,0)</f>
        <v/>
      </c>
      <c r="AF239" s="87" t="n">
        <v>0</v>
      </c>
      <c r="AG239" t="n">
        <v>6980</v>
      </c>
      <c r="AH239" t="n">
        <v>94740</v>
      </c>
      <c r="AI239" t="n">
        <v>0</v>
      </c>
      <c r="AJ239" s="88">
        <f>IF(OR(AG239&lt;=0,AH239&lt;=0),"",LN(AG239)-LN(AH239))</f>
        <v/>
      </c>
      <c r="AK239" t="n">
        <v>16376</v>
      </c>
      <c r="AL239" t="n">
        <v>85344</v>
      </c>
      <c r="AM239" s="88">
        <f>IF(OR(AK239&lt;=0,AL239&lt;=0),"",LN(AK239)-LN(AL239))</f>
        <v/>
      </c>
      <c r="AN239" t="n">
        <v>6758</v>
      </c>
      <c r="AO239" t="n">
        <v>91727</v>
      </c>
      <c r="AP239" s="88">
        <f>IF(OR(AN239&lt;=0,AO239&lt;=0),"",LN(AN239)-LN(AO239))</f>
        <v/>
      </c>
      <c r="AQ239" t="n">
        <v>6748</v>
      </c>
      <c r="AR239" t="n">
        <v>94740</v>
      </c>
      <c r="AS239" s="88">
        <f>IF(OR(AQ239&lt;=0,AR239&lt;=0),"",LN(AQ239)-LN(AR239))</f>
        <v/>
      </c>
      <c r="AT239" t="n">
        <v>10004</v>
      </c>
      <c r="AU239" t="n">
        <v>91131</v>
      </c>
      <c r="AV239" t="n">
        <v>587</v>
      </c>
      <c r="AW239" t="n">
        <v>1190</v>
      </c>
      <c r="AX239" t="n">
        <v>5750</v>
      </c>
      <c r="AY239" s="88">
        <f>IF(OR(AT239&lt;=0,AU239&lt;=0),"",LN(AT239)-LN(AU239))</f>
        <v/>
      </c>
      <c r="AZ239" s="46" t="n">
        <v>5.1</v>
      </c>
      <c r="BA239" s="46" t="n">
        <v>15.82</v>
      </c>
      <c r="BB239" s="47" t="n">
        <v>3.4</v>
      </c>
    </row>
    <row r="240">
      <c r="A240" s="48" t="n">
        <v>45530</v>
      </c>
      <c r="B240" s="49" t="n">
        <v>142224</v>
      </c>
      <c r="C240" s="50" t="n">
        <v>27.4</v>
      </c>
      <c r="D240" s="51" t="inlineStr">
        <is>
          <t>Moderate</t>
        </is>
      </c>
      <c r="E240" s="52" t="n">
        <v>28.1</v>
      </c>
      <c r="F240" s="52" t="n">
        <v>0</v>
      </c>
      <c r="G240" s="51" t="inlineStr">
        <is>
          <t>Mon</t>
        </is>
      </c>
      <c r="H240" s="51" t="inlineStr">
        <is>
          <t>Weekday</t>
        </is>
      </c>
      <c r="I240" s="51" t="inlineStr">
        <is>
          <t>Summer</t>
        </is>
      </c>
      <c r="J240" s="51" t="n">
        <v>25</v>
      </c>
      <c r="K240" s="51" t="inlineStr">
        <is>
          <t>OK</t>
        </is>
      </c>
      <c r="L240" s="46" t="n">
        <v>36.28</v>
      </c>
      <c r="M240" t="inlineStr">
        <is>
          <t>Moderate</t>
        </is>
      </c>
      <c r="N240" s="87" t="n">
        <v>25</v>
      </c>
      <c r="O240" s="87" t="n">
        <v>0</v>
      </c>
      <c r="P240" s="87" t="n">
        <v>0</v>
      </c>
      <c r="Q240" s="87" t="n">
        <v>0</v>
      </c>
      <c r="R240" s="87" t="n">
        <v>0</v>
      </c>
      <c r="S240" s="47" t="n">
        <v>1.5</v>
      </c>
      <c r="T240" s="47" t="n">
        <v>77.8</v>
      </c>
      <c r="U240" s="47" t="n"/>
      <c r="V240" s="87" t="n">
        <v>0</v>
      </c>
      <c r="W240" s="87" t="n">
        <v>0</v>
      </c>
      <c r="Y240" t="inlineStr">
        <is>
          <t>Aug</t>
        </is>
      </c>
      <c r="Z240" s="87" t="n">
        <v>2024</v>
      </c>
      <c r="AA240" s="47">
        <f>IF(F240="",0,F240)</f>
        <v/>
      </c>
      <c r="AB240" s="87">
        <f>IF(AA240&gt;=0.1,1,0)</f>
        <v/>
      </c>
      <c r="AC240" s="87" t="n">
        <v>1</v>
      </c>
      <c r="AD240" s="47">
        <f>IF(U240="",0,U240)</f>
        <v/>
      </c>
      <c r="AE240" s="87">
        <f>IF(OR(V240=1,W240=1),1,0)</f>
        <v/>
      </c>
      <c r="AF240" s="87" t="n">
        <v>0</v>
      </c>
      <c r="AG240" t="n">
        <v>7463</v>
      </c>
      <c r="AH240" t="n">
        <v>134761</v>
      </c>
      <c r="AI240" t="n">
        <v>0</v>
      </c>
      <c r="AJ240" s="88">
        <f>IF(OR(AG240&lt;=0,AH240&lt;=0),"",LN(AG240)-LN(AH240))</f>
        <v/>
      </c>
      <c r="AK240" t="n">
        <v>20812</v>
      </c>
      <c r="AL240" t="n">
        <v>121412</v>
      </c>
      <c r="AM240" s="88">
        <f>IF(OR(AK240&lt;=0,AL240&lt;=0),"",LN(AK240)-LN(AL240))</f>
        <v/>
      </c>
      <c r="AN240" t="n">
        <v>7282</v>
      </c>
      <c r="AO240" t="n">
        <v>130257</v>
      </c>
      <c r="AP240" s="88">
        <f>IF(OR(AN240&lt;=0,AO240&lt;=0),"",LN(AN240)-LN(AO240))</f>
        <v/>
      </c>
      <c r="AQ240" t="n">
        <v>7241</v>
      </c>
      <c r="AR240" t="n">
        <v>134761</v>
      </c>
      <c r="AS240" s="88">
        <f>IF(OR(AQ240&lt;=0,AR240&lt;=0),"",LN(AQ240)-LN(AR240))</f>
        <v/>
      </c>
      <c r="AT240" t="n">
        <v>9191</v>
      </c>
      <c r="AU240" t="n">
        <v>132281</v>
      </c>
      <c r="AV240" t="n">
        <v>763</v>
      </c>
      <c r="AW240" t="n">
        <v>774</v>
      </c>
      <c r="AX240" t="n">
        <v>6651</v>
      </c>
      <c r="AY240" s="88">
        <f>IF(OR(AT240&lt;=0,AU240&lt;=0),"",LN(AT240)-LN(AU240))</f>
        <v/>
      </c>
      <c r="AZ240" s="46" t="n">
        <v>0.3</v>
      </c>
      <c r="BA240" s="46" t="n">
        <v>8.210000000000001</v>
      </c>
      <c r="BB240" s="47" t="n">
        <v>8</v>
      </c>
    </row>
    <row r="241">
      <c r="A241" s="48" t="n">
        <v>45531</v>
      </c>
      <c r="B241" s="49" t="n">
        <v>149058</v>
      </c>
      <c r="C241" s="50" t="n">
        <v>12.68</v>
      </c>
      <c r="D241" s="51" t="inlineStr">
        <is>
          <t>Good</t>
        </is>
      </c>
      <c r="E241" s="52" t="n">
        <v>26.5</v>
      </c>
      <c r="F241" s="52" t="n">
        <v>0.3</v>
      </c>
      <c r="G241" s="51" t="inlineStr">
        <is>
          <t>Tue</t>
        </is>
      </c>
      <c r="H241" s="51" t="inlineStr">
        <is>
          <t>Weekday</t>
        </is>
      </c>
      <c r="I241" s="51" t="inlineStr">
        <is>
          <t>Summer</t>
        </is>
      </c>
      <c r="J241" s="51" t="n">
        <v>25</v>
      </c>
      <c r="K241" s="51" t="inlineStr">
        <is>
          <t>OK</t>
        </is>
      </c>
      <c r="L241" s="46" t="n">
        <v>20.88</v>
      </c>
      <c r="M241" t="inlineStr">
        <is>
          <t>Good</t>
        </is>
      </c>
      <c r="N241" s="87" t="n">
        <v>25</v>
      </c>
      <c r="O241" s="87" t="n">
        <v>0</v>
      </c>
      <c r="P241" s="87" t="n">
        <v>0</v>
      </c>
      <c r="Q241" s="87" t="n">
        <v>0</v>
      </c>
      <c r="R241" s="87" t="n">
        <v>0</v>
      </c>
      <c r="S241" s="47" t="n">
        <v>1.9</v>
      </c>
      <c r="T241" s="47" t="n">
        <v>69.8</v>
      </c>
      <c r="U241" s="47" t="n"/>
      <c r="V241" s="87" t="n">
        <v>0</v>
      </c>
      <c r="W241" s="87" t="n">
        <v>0</v>
      </c>
      <c r="Y241" t="inlineStr">
        <is>
          <t>Aug</t>
        </is>
      </c>
      <c r="Z241" s="87" t="n">
        <v>2024</v>
      </c>
      <c r="AA241" s="47">
        <f>IF(F241="",0,F241)</f>
        <v/>
      </c>
      <c r="AB241" s="87">
        <f>IF(AA241&gt;=0.1,1,0)</f>
        <v/>
      </c>
      <c r="AC241" s="87" t="n">
        <v>0</v>
      </c>
      <c r="AD241" s="47">
        <f>IF(U241="",0,U241)</f>
        <v/>
      </c>
      <c r="AE241" s="87">
        <f>IF(OR(V241=1,W241=1),1,0)</f>
        <v/>
      </c>
      <c r="AF241" s="87" t="n">
        <v>0</v>
      </c>
      <c r="AG241" t="n">
        <v>8625</v>
      </c>
      <c r="AH241" t="n">
        <v>140433</v>
      </c>
      <c r="AI241" t="n">
        <v>0</v>
      </c>
      <c r="AJ241" s="88">
        <f>IF(OR(AG241&lt;=0,AH241&lt;=0),"",LN(AG241)-LN(AH241))</f>
        <v/>
      </c>
      <c r="AK241" t="n">
        <v>22378</v>
      </c>
      <c r="AL241" t="n">
        <v>126680</v>
      </c>
      <c r="AM241" s="88">
        <f>IF(OR(AK241&lt;=0,AL241&lt;=0),"",LN(AK241)-LN(AL241))</f>
        <v/>
      </c>
      <c r="AN241" t="n">
        <v>8417</v>
      </c>
      <c r="AO241" t="n">
        <v>135622</v>
      </c>
      <c r="AP241" s="88">
        <f>IF(OR(AN241&lt;=0,AO241&lt;=0),"",LN(AN241)-LN(AO241))</f>
        <v/>
      </c>
      <c r="AQ241" t="n">
        <v>8358</v>
      </c>
      <c r="AR241" t="n">
        <v>140433</v>
      </c>
      <c r="AS241" s="88">
        <f>IF(OR(AQ241&lt;=0,AR241&lt;=0),"",LN(AQ241)-LN(AR241))</f>
        <v/>
      </c>
      <c r="AT241" t="n">
        <v>10111</v>
      </c>
      <c r="AU241" t="n">
        <v>138177</v>
      </c>
      <c r="AV241" t="n">
        <v>782</v>
      </c>
      <c r="AW241" t="n">
        <v>922</v>
      </c>
      <c r="AX241" t="n">
        <v>7650</v>
      </c>
      <c r="AY241" s="88">
        <f>IF(OR(AT241&lt;=0,AU241&lt;=0),"",LN(AT241)-LN(AU241))</f>
        <v/>
      </c>
      <c r="AZ241" s="46" t="n">
        <v>3.7</v>
      </c>
      <c r="BA241" s="46" t="n">
        <v>10.04</v>
      </c>
      <c r="BB241" s="47" t="n">
        <v>6.1</v>
      </c>
    </row>
    <row r="242">
      <c r="A242" s="48" t="n">
        <v>45532</v>
      </c>
      <c r="B242" s="49" t="n">
        <v>166233</v>
      </c>
      <c r="C242" s="50" t="n">
        <v>7.56</v>
      </c>
      <c r="D242" s="51" t="inlineStr">
        <is>
          <t>Good</t>
        </is>
      </c>
      <c r="E242" s="52" t="n">
        <v>28.2</v>
      </c>
      <c r="F242" s="52" t="n"/>
      <c r="G242" s="51" t="inlineStr">
        <is>
          <t>Wed</t>
        </is>
      </c>
      <c r="H242" s="51" t="inlineStr">
        <is>
          <t>Weekday</t>
        </is>
      </c>
      <c r="I242" s="51" t="inlineStr">
        <is>
          <t>Summer</t>
        </is>
      </c>
      <c r="J242" s="51" t="n">
        <v>25</v>
      </c>
      <c r="K242" s="51" t="inlineStr">
        <is>
          <t>강수량 공란</t>
        </is>
      </c>
      <c r="L242" s="46" t="n">
        <v>13.44</v>
      </c>
      <c r="M242" t="inlineStr">
        <is>
          <t>Good</t>
        </is>
      </c>
      <c r="N242" s="87" t="n">
        <v>25</v>
      </c>
      <c r="O242" s="87" t="n">
        <v>0</v>
      </c>
      <c r="P242" s="87" t="n">
        <v>0</v>
      </c>
      <c r="Q242" s="87" t="n">
        <v>0</v>
      </c>
      <c r="R242" s="87" t="n">
        <v>0</v>
      </c>
      <c r="S242" s="47" t="n">
        <v>2.9</v>
      </c>
      <c r="T242" s="47" t="n">
        <v>62.1</v>
      </c>
      <c r="U242" s="47" t="n"/>
      <c r="V242" s="87" t="n">
        <v>0</v>
      </c>
      <c r="W242" s="87" t="n">
        <v>0</v>
      </c>
      <c r="Y242" t="inlineStr">
        <is>
          <t>Aug</t>
        </is>
      </c>
      <c r="Z242" s="87" t="n">
        <v>2024</v>
      </c>
      <c r="AA242" s="47">
        <f>IF(F242="",0,F242)</f>
        <v/>
      </c>
      <c r="AB242" s="87">
        <f>IF(AA242&gt;=0.1,1,0)</f>
        <v/>
      </c>
      <c r="AC242" s="87" t="n">
        <v>0</v>
      </c>
      <c r="AD242" s="47">
        <f>IF(U242="",0,U242)</f>
        <v/>
      </c>
      <c r="AE242" s="87">
        <f>IF(OR(V242=1,W242=1),1,0)</f>
        <v/>
      </c>
      <c r="AF242" s="87" t="n">
        <v>0</v>
      </c>
      <c r="AG242" t="n">
        <v>9604</v>
      </c>
      <c r="AH242" t="n">
        <v>156629</v>
      </c>
      <c r="AI242" t="n">
        <v>0</v>
      </c>
      <c r="AJ242" s="88">
        <f>IF(OR(AG242&lt;=0,AH242&lt;=0),"",LN(AG242)-LN(AH242))</f>
        <v/>
      </c>
      <c r="AK242" t="n">
        <v>25274</v>
      </c>
      <c r="AL242" t="n">
        <v>140959</v>
      </c>
      <c r="AM242" s="88">
        <f>IF(OR(AK242&lt;=0,AL242&lt;=0),"",LN(AK242)-LN(AL242))</f>
        <v/>
      </c>
      <c r="AN242" t="n">
        <v>9388</v>
      </c>
      <c r="AO242" t="n">
        <v>151250</v>
      </c>
      <c r="AP242" s="88">
        <f>IF(OR(AN242&lt;=0,AO242&lt;=0),"",LN(AN242)-LN(AO242))</f>
        <v/>
      </c>
      <c r="AQ242" t="n">
        <v>9321</v>
      </c>
      <c r="AR242" t="n">
        <v>156629</v>
      </c>
      <c r="AS242" s="88">
        <f>IF(OR(AQ242&lt;=0,AR242&lt;=0),"",LN(AQ242)-LN(AR242))</f>
        <v/>
      </c>
      <c r="AT242" t="n">
        <v>10619</v>
      </c>
      <c r="AU242" t="n">
        <v>154700</v>
      </c>
      <c r="AV242" t="n">
        <v>921</v>
      </c>
      <c r="AW242" t="n">
        <v>1013</v>
      </c>
      <c r="AX242" t="n">
        <v>8532</v>
      </c>
      <c r="AY242" s="88">
        <f>IF(OR(AT242&lt;=0,AU242&lt;=0),"",LN(AT242)-LN(AU242))</f>
        <v/>
      </c>
      <c r="AZ242" s="46" t="n">
        <v>11.5</v>
      </c>
      <c r="BA242" s="46" t="n">
        <v>23.98</v>
      </c>
      <c r="BB242" s="47" t="n">
        <v>0.4</v>
      </c>
    </row>
    <row r="243">
      <c r="A243" s="48" t="n">
        <v>45533</v>
      </c>
      <c r="B243" s="49" t="n">
        <v>166655</v>
      </c>
      <c r="C243" s="50" t="n">
        <v>4.32</v>
      </c>
      <c r="D243" s="51" t="inlineStr">
        <is>
          <t>Good</t>
        </is>
      </c>
      <c r="E243" s="52" t="n">
        <v>28.4</v>
      </c>
      <c r="F243" s="52" t="n"/>
      <c r="G243" s="51" t="inlineStr">
        <is>
          <t>Thu</t>
        </is>
      </c>
      <c r="H243" s="51" t="inlineStr">
        <is>
          <t>Weekday</t>
        </is>
      </c>
      <c r="I243" s="51" t="inlineStr">
        <is>
          <t>Summer</t>
        </is>
      </c>
      <c r="J243" s="51" t="n">
        <v>25</v>
      </c>
      <c r="K243" s="51" t="inlineStr">
        <is>
          <t>강수량 공란</t>
        </is>
      </c>
      <c r="L243" s="46" t="n">
        <v>9.52</v>
      </c>
      <c r="M243" t="inlineStr">
        <is>
          <t>Good</t>
        </is>
      </c>
      <c r="N243" s="87" t="n">
        <v>25</v>
      </c>
      <c r="O243" s="87" t="n">
        <v>0</v>
      </c>
      <c r="P243" s="87" t="n">
        <v>0</v>
      </c>
      <c r="Q243" s="87" t="n">
        <v>0</v>
      </c>
      <c r="R243" s="87" t="n">
        <v>0</v>
      </c>
      <c r="S243" s="47" t="n">
        <v>3.1</v>
      </c>
      <c r="T243" s="47" t="n">
        <v>61</v>
      </c>
      <c r="U243" s="47" t="n"/>
      <c r="V243" s="87" t="n">
        <v>0</v>
      </c>
      <c r="W243" s="87" t="n">
        <v>0</v>
      </c>
      <c r="Y243" t="inlineStr">
        <is>
          <t>Aug</t>
        </is>
      </c>
      <c r="Z243" s="87" t="n">
        <v>2024</v>
      </c>
      <c r="AA243" s="47">
        <f>IF(F243="",0,F243)</f>
        <v/>
      </c>
      <c r="AB243" s="87">
        <f>IF(AA243&gt;=0.1,1,0)</f>
        <v/>
      </c>
      <c r="AC243" s="87" t="n">
        <v>0</v>
      </c>
      <c r="AD243" s="47">
        <f>IF(U243="",0,U243)</f>
        <v/>
      </c>
      <c r="AE243" s="87">
        <f>IF(OR(V243=1,W243=1),1,0)</f>
        <v/>
      </c>
      <c r="AF243" s="87" t="n">
        <v>0</v>
      </c>
      <c r="AG243" t="n">
        <v>9808</v>
      </c>
      <c r="AH243" t="n">
        <v>156847</v>
      </c>
      <c r="AI243" t="n">
        <v>0</v>
      </c>
      <c r="AJ243" s="88">
        <f>IF(OR(AG243&lt;=0,AH243&lt;=0),"",LN(AG243)-LN(AH243))</f>
        <v/>
      </c>
      <c r="AK243" t="n">
        <v>25220</v>
      </c>
      <c r="AL243" t="n">
        <v>141435</v>
      </c>
      <c r="AM243" s="88">
        <f>IF(OR(AK243&lt;=0,AL243&lt;=0),"",LN(AK243)-LN(AL243))</f>
        <v/>
      </c>
      <c r="AN243" t="n">
        <v>9609</v>
      </c>
      <c r="AO243" t="n">
        <v>151317</v>
      </c>
      <c r="AP243" s="88">
        <f>IF(OR(AN243&lt;=0,AO243&lt;=0),"",LN(AN243)-LN(AO243))</f>
        <v/>
      </c>
      <c r="AQ243" t="n">
        <v>9500</v>
      </c>
      <c r="AR243" t="n">
        <v>156847</v>
      </c>
      <c r="AS243" s="88">
        <f>IF(OR(AQ243&lt;=0,AR243&lt;=0),"",LN(AQ243)-LN(AR243))</f>
        <v/>
      </c>
      <c r="AT243" t="n">
        <v>10432</v>
      </c>
      <c r="AU243" t="n">
        <v>155252</v>
      </c>
      <c r="AV243" t="n">
        <v>982</v>
      </c>
      <c r="AW243" t="n">
        <v>965</v>
      </c>
      <c r="AX243" t="n">
        <v>8765</v>
      </c>
      <c r="AY243" s="88">
        <f>IF(OR(AT243&lt;=0,AU243&lt;=0),"",LN(AT243)-LN(AU243))</f>
        <v/>
      </c>
      <c r="AZ243" s="46" t="n">
        <v>12</v>
      </c>
      <c r="BA243" s="46" t="n">
        <v>24.86</v>
      </c>
      <c r="BB243" s="47" t="n">
        <v>0.6</v>
      </c>
    </row>
    <row r="244">
      <c r="A244" s="48" t="n">
        <v>45534</v>
      </c>
      <c r="B244" s="49" t="n">
        <v>167324</v>
      </c>
      <c r="C244" s="50" t="n">
        <v>6.44</v>
      </c>
      <c r="D244" s="51" t="inlineStr">
        <is>
          <t>Good</t>
        </is>
      </c>
      <c r="E244" s="52" t="n">
        <v>28</v>
      </c>
      <c r="F244" s="52" t="n"/>
      <c r="G244" s="51" t="inlineStr">
        <is>
          <t>Fri</t>
        </is>
      </c>
      <c r="H244" s="51" t="inlineStr">
        <is>
          <t>Weekday</t>
        </is>
      </c>
      <c r="I244" s="51" t="inlineStr">
        <is>
          <t>Summer</t>
        </is>
      </c>
      <c r="J244" s="51" t="n">
        <v>25</v>
      </c>
      <c r="K244" s="51" t="inlineStr">
        <is>
          <t>강수량 공란</t>
        </is>
      </c>
      <c r="L244" s="46" t="n">
        <v>14.48</v>
      </c>
      <c r="M244" t="inlineStr">
        <is>
          <t>Good</t>
        </is>
      </c>
      <c r="N244" s="87" t="n">
        <v>25</v>
      </c>
      <c r="O244" s="87" t="n">
        <v>0</v>
      </c>
      <c r="P244" s="87" t="n">
        <v>0</v>
      </c>
      <c r="Q244" s="87" t="n">
        <v>0</v>
      </c>
      <c r="R244" s="87" t="n">
        <v>0</v>
      </c>
      <c r="S244" s="47" t="n">
        <v>2.4</v>
      </c>
      <c r="T244" s="47" t="n">
        <v>64</v>
      </c>
      <c r="U244" s="47" t="n"/>
      <c r="V244" s="87" t="n">
        <v>0</v>
      </c>
      <c r="W244" s="87" t="n">
        <v>0</v>
      </c>
      <c r="Y244" t="inlineStr">
        <is>
          <t>Aug</t>
        </is>
      </c>
      <c r="Z244" s="87" t="n">
        <v>2024</v>
      </c>
      <c r="AA244" s="47">
        <f>IF(F244="",0,F244)</f>
        <v/>
      </c>
      <c r="AB244" s="87">
        <f>IF(AA244&gt;=0.1,1,0)</f>
        <v/>
      </c>
      <c r="AC244" s="87" t="n">
        <v>0</v>
      </c>
      <c r="AD244" s="47">
        <f>IF(U244="",0,U244)</f>
        <v/>
      </c>
      <c r="AE244" s="87">
        <f>IF(OR(V244=1,W244=1),1,0)</f>
        <v/>
      </c>
      <c r="AF244" s="87" t="n">
        <v>0</v>
      </c>
      <c r="AG244" t="n">
        <v>9868</v>
      </c>
      <c r="AH244" t="n">
        <v>157456</v>
      </c>
      <c r="AI244" t="n">
        <v>0</v>
      </c>
      <c r="AJ244" s="88">
        <f>IF(OR(AG244&lt;=0,AH244&lt;=0),"",LN(AG244)-LN(AH244))</f>
        <v/>
      </c>
      <c r="AK244" t="n">
        <v>25371</v>
      </c>
      <c r="AL244" t="n">
        <v>141953</v>
      </c>
      <c r="AM244" s="88">
        <f>IF(OR(AK244&lt;=0,AL244&lt;=0),"",LN(AK244)-LN(AL244))</f>
        <v/>
      </c>
      <c r="AN244" t="n">
        <v>9630</v>
      </c>
      <c r="AO244" t="n">
        <v>151915</v>
      </c>
      <c r="AP244" s="88">
        <f>IF(OR(AN244&lt;=0,AO244&lt;=0),"",LN(AN244)-LN(AO244))</f>
        <v/>
      </c>
      <c r="AQ244" t="n">
        <v>9559</v>
      </c>
      <c r="AR244" t="n">
        <v>157456</v>
      </c>
      <c r="AS244" s="88">
        <f>IF(OR(AQ244&lt;=0,AR244&lt;=0),"",LN(AQ244)-LN(AR244))</f>
        <v/>
      </c>
      <c r="AT244" t="n">
        <v>10943</v>
      </c>
      <c r="AU244" t="n">
        <v>155362</v>
      </c>
      <c r="AV244" t="n">
        <v>1027</v>
      </c>
      <c r="AW244" t="n">
        <v>1077</v>
      </c>
      <c r="AX244" t="n">
        <v>8717</v>
      </c>
      <c r="AY244" s="88">
        <f>IF(OR(AT244&lt;=0,AU244&lt;=0),"",LN(AT244)-LN(AU244))</f>
        <v/>
      </c>
      <c r="AZ244" s="46" t="n">
        <v>12</v>
      </c>
      <c r="BA244" s="46" t="n">
        <v>24.53</v>
      </c>
      <c r="BB244" s="47" t="n">
        <v>0.9</v>
      </c>
    </row>
    <row r="245">
      <c r="A245" s="48" t="n">
        <v>45535</v>
      </c>
      <c r="B245" s="49" t="n">
        <v>134541</v>
      </c>
      <c r="C245" s="50" t="n">
        <v>19.32</v>
      </c>
      <c r="D245" s="51" t="inlineStr">
        <is>
          <t>Moderate</t>
        </is>
      </c>
      <c r="E245" s="52" t="n">
        <v>27.6</v>
      </c>
      <c r="F245" s="52" t="n"/>
      <c r="G245" s="51" t="inlineStr">
        <is>
          <t>Sat</t>
        </is>
      </c>
      <c r="H245" s="51" t="inlineStr">
        <is>
          <t>Weekend</t>
        </is>
      </c>
      <c r="I245" s="51" t="inlineStr">
        <is>
          <t>Summer</t>
        </is>
      </c>
      <c r="J245" s="51" t="n">
        <v>25</v>
      </c>
      <c r="K245" s="51" t="inlineStr">
        <is>
          <t>강수량 공란</t>
        </is>
      </c>
      <c r="L245" s="46" t="n">
        <v>35.92</v>
      </c>
      <c r="M245" t="inlineStr">
        <is>
          <t>Moderate</t>
        </is>
      </c>
      <c r="N245" s="87" t="n">
        <v>25</v>
      </c>
      <c r="O245" s="87" t="n">
        <v>0</v>
      </c>
      <c r="P245" s="87" t="n">
        <v>0</v>
      </c>
      <c r="Q245" s="87" t="n">
        <v>0</v>
      </c>
      <c r="R245" s="87" t="n">
        <v>0</v>
      </c>
      <c r="S245" s="47" t="n">
        <v>1.9</v>
      </c>
      <c r="T245" s="47" t="n">
        <v>65.59999999999999</v>
      </c>
      <c r="U245" s="47" t="n"/>
      <c r="V245" s="87" t="n">
        <v>1</v>
      </c>
      <c r="W245" s="87" t="n">
        <v>0</v>
      </c>
      <c r="Y245" t="inlineStr">
        <is>
          <t>Aug</t>
        </is>
      </c>
      <c r="Z245" s="87" t="n">
        <v>2024</v>
      </c>
      <c r="AA245" s="47">
        <f>IF(F245="",0,F245)</f>
        <v/>
      </c>
      <c r="AB245" s="87">
        <f>IF(AA245&gt;=0.1,1,0)</f>
        <v/>
      </c>
      <c r="AC245" s="87" t="n">
        <v>0</v>
      </c>
      <c r="AD245" s="47">
        <f>IF(U245="",0,U245)</f>
        <v/>
      </c>
      <c r="AE245" s="87">
        <f>IF(OR(V245=1,W245=1),1,0)</f>
        <v/>
      </c>
      <c r="AF245" s="87" t="n">
        <v>0</v>
      </c>
      <c r="AG245" t="n">
        <v>10445</v>
      </c>
      <c r="AH245" t="n">
        <v>124096</v>
      </c>
      <c r="AI245" t="n">
        <v>0</v>
      </c>
      <c r="AJ245" s="88">
        <f>IF(OR(AG245&lt;=0,AH245&lt;=0),"",LN(AG245)-LN(AH245))</f>
        <v/>
      </c>
      <c r="AK245" t="n">
        <v>23315</v>
      </c>
      <c r="AL245" t="n">
        <v>111226</v>
      </c>
      <c r="AM245" s="88">
        <f>IF(OR(AK245&lt;=0,AL245&lt;=0),"",LN(AK245)-LN(AL245))</f>
        <v/>
      </c>
      <c r="AN245" t="n">
        <v>10162</v>
      </c>
      <c r="AO245" t="n">
        <v>119846</v>
      </c>
      <c r="AP245" s="88">
        <f>IF(OR(AN245&lt;=0,AO245&lt;=0),"",LN(AN245)-LN(AO245))</f>
        <v/>
      </c>
      <c r="AQ245" t="n">
        <v>10065</v>
      </c>
      <c r="AR245" t="n">
        <v>124096</v>
      </c>
      <c r="AS245" s="88">
        <f>IF(OR(AQ245&lt;=0,AR245&lt;=0),"",LN(AQ245)-LN(AR245))</f>
        <v/>
      </c>
      <c r="AT245" t="n">
        <v>12104</v>
      </c>
      <c r="AU245" t="n">
        <v>121597</v>
      </c>
      <c r="AV245" t="n">
        <v>840</v>
      </c>
      <c r="AW245" t="n">
        <v>1640</v>
      </c>
      <c r="AX245" t="n">
        <v>8716</v>
      </c>
      <c r="AY245" s="88">
        <f>IF(OR(AT245&lt;=0,AU245&lt;=0),"",LN(AT245)-LN(AU245))</f>
        <v/>
      </c>
      <c r="AZ245" s="46" t="n">
        <v>12</v>
      </c>
      <c r="BA245" s="46" t="n">
        <v>24.15</v>
      </c>
      <c r="BB245" s="47" t="n">
        <v>1.8</v>
      </c>
    </row>
    <row r="246">
      <c r="A246" s="48" t="n">
        <v>45536</v>
      </c>
      <c r="B246" s="49" t="n">
        <v>125165</v>
      </c>
      <c r="C246" s="50" t="n">
        <v>20.32</v>
      </c>
      <c r="D246" s="51" t="inlineStr">
        <is>
          <t>Moderate</t>
        </is>
      </c>
      <c r="E246" s="52" t="n">
        <v>27.1</v>
      </c>
      <c r="F246" s="52" t="n"/>
      <c r="G246" s="51" t="inlineStr">
        <is>
          <t>Sun</t>
        </is>
      </c>
      <c r="H246" s="51" t="inlineStr">
        <is>
          <t>Weekend</t>
        </is>
      </c>
      <c r="I246" s="51" t="inlineStr">
        <is>
          <t>Fall</t>
        </is>
      </c>
      <c r="J246" s="51" t="n">
        <v>25</v>
      </c>
      <c r="K246" s="51" t="inlineStr">
        <is>
          <t>강수량 공란</t>
        </is>
      </c>
      <c r="L246" s="46" t="n">
        <v>29.76</v>
      </c>
      <c r="M246" t="inlineStr">
        <is>
          <t>Good</t>
        </is>
      </c>
      <c r="N246" s="87" t="n">
        <v>25</v>
      </c>
      <c r="O246" s="87" t="n">
        <v>0</v>
      </c>
      <c r="P246" s="87" t="n">
        <v>0</v>
      </c>
      <c r="Q246" s="87" t="n">
        <v>0</v>
      </c>
      <c r="R246" s="87" t="n">
        <v>0</v>
      </c>
      <c r="S246" s="47" t="n">
        <v>2</v>
      </c>
      <c r="T246" s="47" t="n">
        <v>64.90000000000001</v>
      </c>
      <c r="U246" s="47" t="n"/>
      <c r="V246" s="87" t="n">
        <v>1</v>
      </c>
      <c r="W246" s="87" t="n">
        <v>0</v>
      </c>
      <c r="Y246" t="inlineStr">
        <is>
          <t>Sep</t>
        </is>
      </c>
      <c r="Z246" s="87" t="n">
        <v>2024</v>
      </c>
      <c r="AA246" s="47">
        <f>IF(F246="",0,F246)</f>
        <v/>
      </c>
      <c r="AB246" s="87">
        <f>IF(AA246&gt;=0.1,1,0)</f>
        <v/>
      </c>
      <c r="AC246" s="87" t="n">
        <v>0</v>
      </c>
      <c r="AD246" s="47">
        <f>IF(U246="",0,U246)</f>
        <v/>
      </c>
      <c r="AE246" s="87">
        <f>IF(OR(V246=1,W246=1),1,0)</f>
        <v/>
      </c>
      <c r="AF246" s="87" t="n">
        <v>0</v>
      </c>
      <c r="AG246" t="n">
        <v>10506</v>
      </c>
      <c r="AH246" t="n">
        <v>114659</v>
      </c>
      <c r="AI246" t="n">
        <v>0</v>
      </c>
      <c r="AJ246" s="88">
        <f>IF(OR(AG246&lt;=0,AH246&lt;=0),"",LN(AG246)-LN(AH246))</f>
        <v/>
      </c>
      <c r="AK246" t="n">
        <v>22761</v>
      </c>
      <c r="AL246" t="n">
        <v>102404</v>
      </c>
      <c r="AM246" s="88">
        <f>IF(OR(AK246&lt;=0,AL246&lt;=0),"",LN(AK246)-LN(AL246))</f>
        <v/>
      </c>
      <c r="AN246" t="n">
        <v>10230</v>
      </c>
      <c r="AO246" t="n">
        <v>110771</v>
      </c>
      <c r="AP246" s="88">
        <f>IF(OR(AN246&lt;=0,AO246&lt;=0),"",LN(AN246)-LN(AO246))</f>
        <v/>
      </c>
      <c r="AQ246" t="n">
        <v>10147</v>
      </c>
      <c r="AR246" t="n">
        <v>114659</v>
      </c>
      <c r="AS246" s="88">
        <f>IF(OR(AQ246&lt;=0,AR246&lt;=0),"",LN(AQ246)-LN(AR246))</f>
        <v/>
      </c>
      <c r="AT246" t="n">
        <v>12453</v>
      </c>
      <c r="AU246" t="n">
        <v>112021</v>
      </c>
      <c r="AV246" t="n">
        <v>694</v>
      </c>
      <c r="AW246" t="n">
        <v>1688</v>
      </c>
      <c r="AX246" t="n">
        <v>8748</v>
      </c>
      <c r="AY246" s="88">
        <f>IF(OR(AT246&lt;=0,AU246&lt;=0),"",LN(AT246)-LN(AU246))</f>
        <v/>
      </c>
      <c r="AZ246" s="46" t="n">
        <v>6.9</v>
      </c>
      <c r="BA246" s="46" t="n">
        <v>20.05</v>
      </c>
      <c r="BB246" s="47" t="n">
        <v>4.5</v>
      </c>
    </row>
    <row r="247">
      <c r="A247" s="48" t="n">
        <v>45537</v>
      </c>
      <c r="B247" s="49" t="n">
        <v>153786</v>
      </c>
      <c r="C247" s="50" t="n">
        <v>12</v>
      </c>
      <c r="D247" s="51" t="inlineStr">
        <is>
          <t>Good</t>
        </is>
      </c>
      <c r="E247" s="52" t="n">
        <v>24.5</v>
      </c>
      <c r="F247" s="52" t="n">
        <v>2.7</v>
      </c>
      <c r="G247" s="51" t="inlineStr">
        <is>
          <t>Mon</t>
        </is>
      </c>
      <c r="H247" s="51" t="inlineStr">
        <is>
          <t>Weekday</t>
        </is>
      </c>
      <c r="I247" s="51" t="inlineStr">
        <is>
          <t>Fall</t>
        </is>
      </c>
      <c r="J247" s="51" t="n">
        <v>25</v>
      </c>
      <c r="K247" s="51" t="inlineStr">
        <is>
          <t>OK</t>
        </is>
      </c>
      <c r="L247" s="46" t="n">
        <v>19.25</v>
      </c>
      <c r="M247" t="inlineStr">
        <is>
          <t>Good</t>
        </is>
      </c>
      <c r="N247" s="87" t="n">
        <v>24</v>
      </c>
      <c r="O247" s="87" t="n">
        <v>0</v>
      </c>
      <c r="P247" s="87" t="n">
        <v>0</v>
      </c>
      <c r="Q247" s="87" t="n">
        <v>0</v>
      </c>
      <c r="R247" s="87" t="n">
        <v>0</v>
      </c>
      <c r="S247" s="47" t="n">
        <v>2.6</v>
      </c>
      <c r="T247" s="47" t="n">
        <v>73.59999999999999</v>
      </c>
      <c r="U247" s="47" t="n"/>
      <c r="V247" s="87" t="n">
        <v>0</v>
      </c>
      <c r="W247" s="87" t="n">
        <v>0</v>
      </c>
      <c r="Y247" t="inlineStr">
        <is>
          <t>Sep</t>
        </is>
      </c>
      <c r="Z247" s="87" t="n">
        <v>2024</v>
      </c>
      <c r="AA247" s="47">
        <f>IF(F247="",0,F247)</f>
        <v/>
      </c>
      <c r="AB247" s="87">
        <f>IF(AA247&gt;=0.1,1,0)</f>
        <v/>
      </c>
      <c r="AC247" s="87" t="n">
        <v>0</v>
      </c>
      <c r="AD247" s="47">
        <f>IF(U247="",0,U247)</f>
        <v/>
      </c>
      <c r="AE247" s="87">
        <f>IF(OR(V247=1,W247=1),1,0)</f>
        <v/>
      </c>
      <c r="AF247" s="87" t="n">
        <v>0</v>
      </c>
      <c r="AG247" t="n">
        <v>8975</v>
      </c>
      <c r="AH247" t="n">
        <v>144810</v>
      </c>
      <c r="AI247" t="n">
        <v>1</v>
      </c>
      <c r="AJ247" s="88">
        <f>IF(OR(AG247&lt;=0,AH247&lt;=0),"",LN(AG247)-LN(AH247))</f>
        <v/>
      </c>
      <c r="AK247" t="n">
        <v>22983</v>
      </c>
      <c r="AL247" t="n">
        <v>130802</v>
      </c>
      <c r="AM247" s="88">
        <f>IF(OR(AK247&lt;=0,AL247&lt;=0),"",LN(AK247)-LN(AL247))</f>
        <v/>
      </c>
      <c r="AN247" t="n">
        <v>8759</v>
      </c>
      <c r="AO247" t="n">
        <v>139750</v>
      </c>
      <c r="AP247" s="88">
        <f>IF(OR(AN247&lt;=0,AO247&lt;=0),"",LN(AN247)-LN(AO247))</f>
        <v/>
      </c>
      <c r="AQ247" t="n">
        <v>8736</v>
      </c>
      <c r="AR247" t="n">
        <v>144810</v>
      </c>
      <c r="AS247" s="88">
        <f>IF(OR(AQ247&lt;=0,AR247&lt;=0),"",LN(AQ247)-LN(AR247))</f>
        <v/>
      </c>
      <c r="AT247" t="n">
        <v>10280</v>
      </c>
      <c r="AU247" t="n">
        <v>142692</v>
      </c>
      <c r="AV247" t="n">
        <v>822</v>
      </c>
      <c r="AW247" t="n">
        <v>997</v>
      </c>
      <c r="AX247" t="n">
        <v>7926</v>
      </c>
      <c r="AY247" s="88">
        <f>IF(OR(AT247&lt;=0,AU247&lt;=0),"",LN(AT247)-LN(AU247))</f>
        <v/>
      </c>
      <c r="AZ247" s="46" t="n">
        <v>0.1</v>
      </c>
      <c r="BA247" s="46" t="n">
        <v>5.82</v>
      </c>
      <c r="BB247" s="47" t="n">
        <v>8</v>
      </c>
    </row>
    <row r="248">
      <c r="A248" s="48" t="n">
        <v>45538</v>
      </c>
      <c r="B248" s="49" t="n">
        <v>178899</v>
      </c>
      <c r="C248" s="50" t="n">
        <v>4.88</v>
      </c>
      <c r="D248" s="51" t="inlineStr">
        <is>
          <t>Good</t>
        </is>
      </c>
      <c r="E248" s="52" t="n">
        <v>27</v>
      </c>
      <c r="F248" s="52" t="n"/>
      <c r="G248" s="51" t="inlineStr">
        <is>
          <t>Tue</t>
        </is>
      </c>
      <c r="H248" s="51" t="inlineStr">
        <is>
          <t>Weekday</t>
        </is>
      </c>
      <c r="I248" s="51" t="inlineStr">
        <is>
          <t>Fall</t>
        </is>
      </c>
      <c r="J248" s="51" t="n">
        <v>25</v>
      </c>
      <c r="K248" s="51" t="inlineStr">
        <is>
          <t>강수량 공란</t>
        </is>
      </c>
      <c r="L248" s="46" t="n">
        <v>12.12</v>
      </c>
      <c r="M248" t="inlineStr">
        <is>
          <t>Good</t>
        </is>
      </c>
      <c r="N248" s="87" t="n">
        <v>25</v>
      </c>
      <c r="O248" s="87" t="n">
        <v>0</v>
      </c>
      <c r="P248" s="87" t="n">
        <v>0</v>
      </c>
      <c r="Q248" s="87" t="n">
        <v>0</v>
      </c>
      <c r="R248" s="87" t="n">
        <v>0</v>
      </c>
      <c r="S248" s="47" t="n">
        <v>2.9</v>
      </c>
      <c r="T248" s="47" t="n">
        <v>54.5</v>
      </c>
      <c r="U248" s="47" t="n"/>
      <c r="V248" s="87" t="n">
        <v>0</v>
      </c>
      <c r="W248" s="87" t="n">
        <v>0</v>
      </c>
      <c r="Y248" t="inlineStr">
        <is>
          <t>Sep</t>
        </is>
      </c>
      <c r="Z248" s="87" t="n">
        <v>2024</v>
      </c>
      <c r="AA248" s="47">
        <f>IF(F248="",0,F248)</f>
        <v/>
      </c>
      <c r="AB248" s="87">
        <f>IF(AA248&gt;=0.1,1,0)</f>
        <v/>
      </c>
      <c r="AC248" s="87" t="n">
        <v>0</v>
      </c>
      <c r="AD248" s="47">
        <f>IF(U248="",0,U248)</f>
        <v/>
      </c>
      <c r="AE248" s="87">
        <f>IF(OR(V248=1,W248=1),1,0)</f>
        <v/>
      </c>
      <c r="AF248" s="87" t="n">
        <v>0</v>
      </c>
      <c r="AG248" t="n">
        <v>10528</v>
      </c>
      <c r="AH248" t="n">
        <v>168371</v>
      </c>
      <c r="AI248" t="n">
        <v>0</v>
      </c>
      <c r="AJ248" s="88">
        <f>IF(OR(AG248&lt;=0,AH248&lt;=0),"",LN(AG248)-LN(AH248))</f>
        <v/>
      </c>
      <c r="AK248" t="n">
        <v>27019</v>
      </c>
      <c r="AL248" t="n">
        <v>151880</v>
      </c>
      <c r="AM248" s="88">
        <f>IF(OR(AK248&lt;=0,AL248&lt;=0),"",LN(AK248)-LN(AL248))</f>
        <v/>
      </c>
      <c r="AN248" t="n">
        <v>10269</v>
      </c>
      <c r="AO248" t="n">
        <v>162316</v>
      </c>
      <c r="AP248" s="88">
        <f>IF(OR(AN248&lt;=0,AO248&lt;=0),"",LN(AN248)-LN(AO248))</f>
        <v/>
      </c>
      <c r="AQ248" t="n">
        <v>10196</v>
      </c>
      <c r="AR248" t="n">
        <v>168371</v>
      </c>
      <c r="AS248" s="88">
        <f>IF(OR(AQ248&lt;=0,AR248&lt;=0),"",LN(AQ248)-LN(AR248))</f>
        <v/>
      </c>
      <c r="AT248" t="n">
        <v>11248</v>
      </c>
      <c r="AU248" t="n">
        <v>166665</v>
      </c>
      <c r="AV248" t="n">
        <v>992</v>
      </c>
      <c r="AW248" t="n">
        <v>1056</v>
      </c>
      <c r="AX248" t="n">
        <v>9410</v>
      </c>
      <c r="AY248" s="88">
        <f>IF(OR(AT248&lt;=0,AU248&lt;=0),"",LN(AT248)-LN(AU248))</f>
        <v/>
      </c>
      <c r="AZ248" s="46" t="n">
        <v>7.4</v>
      </c>
      <c r="BA248" s="46" t="n">
        <v>20.85</v>
      </c>
      <c r="BB248" s="47" t="n">
        <v>2.6</v>
      </c>
    </row>
    <row r="249">
      <c r="A249" s="48" t="n">
        <v>45539</v>
      </c>
      <c r="B249" s="49" t="n">
        <v>176847</v>
      </c>
      <c r="C249" s="50" t="n">
        <v>10.08</v>
      </c>
      <c r="D249" s="51" t="inlineStr">
        <is>
          <t>Good</t>
        </is>
      </c>
      <c r="E249" s="52" t="n">
        <v>27.9</v>
      </c>
      <c r="F249" s="52" t="n"/>
      <c r="G249" s="51" t="inlineStr">
        <is>
          <t>Wed</t>
        </is>
      </c>
      <c r="H249" s="51" t="inlineStr">
        <is>
          <t>Weekday</t>
        </is>
      </c>
      <c r="I249" s="51" t="inlineStr">
        <is>
          <t>Fall</t>
        </is>
      </c>
      <c r="J249" s="51" t="n">
        <v>25</v>
      </c>
      <c r="K249" s="51" t="inlineStr">
        <is>
          <t>강수량 공란</t>
        </is>
      </c>
      <c r="L249" s="46" t="n">
        <v>19.48</v>
      </c>
      <c r="M249" t="inlineStr">
        <is>
          <t>Good</t>
        </is>
      </c>
      <c r="N249" s="87" t="n">
        <v>25</v>
      </c>
      <c r="O249" s="87" t="n">
        <v>0</v>
      </c>
      <c r="P249" s="87" t="n">
        <v>0</v>
      </c>
      <c r="Q249" s="87" t="n">
        <v>0</v>
      </c>
      <c r="R249" s="87" t="n">
        <v>0</v>
      </c>
      <c r="S249" s="47" t="n">
        <v>2.2</v>
      </c>
      <c r="T249" s="47" t="n">
        <v>61.4</v>
      </c>
      <c r="U249" s="47" t="n"/>
      <c r="V249" s="87" t="n">
        <v>0</v>
      </c>
      <c r="W249" s="87" t="n">
        <v>0</v>
      </c>
      <c r="Y249" t="inlineStr">
        <is>
          <t>Sep</t>
        </is>
      </c>
      <c r="Z249" s="87" t="n">
        <v>2024</v>
      </c>
      <c r="AA249" s="47">
        <f>IF(F249="",0,F249)</f>
        <v/>
      </c>
      <c r="AB249" s="87">
        <f>IF(AA249&gt;=0.1,1,0)</f>
        <v/>
      </c>
      <c r="AC249" s="87" t="n">
        <v>0</v>
      </c>
      <c r="AD249" s="47">
        <f>IF(U249="",0,U249)</f>
        <v/>
      </c>
      <c r="AE249" s="87">
        <f>IF(OR(V249=1,W249=1),1,0)</f>
        <v/>
      </c>
      <c r="AF249" s="87" t="n">
        <v>0</v>
      </c>
      <c r="AG249" t="n">
        <v>10249</v>
      </c>
      <c r="AH249" t="n">
        <v>166598</v>
      </c>
      <c r="AI249" t="n">
        <v>0</v>
      </c>
      <c r="AJ249" s="88">
        <f>IF(OR(AG249&lt;=0,AH249&lt;=0),"",LN(AG249)-LN(AH249))</f>
        <v/>
      </c>
      <c r="AK249" t="n">
        <v>26746</v>
      </c>
      <c r="AL249" t="n">
        <v>150101</v>
      </c>
      <c r="AM249" s="88">
        <f>IF(OR(AK249&lt;=0,AL249&lt;=0),"",LN(AK249)-LN(AL249))</f>
        <v/>
      </c>
      <c r="AN249" t="n">
        <v>10009</v>
      </c>
      <c r="AO249" t="n">
        <v>160786</v>
      </c>
      <c r="AP249" s="88">
        <f>IF(OR(AN249&lt;=0,AO249&lt;=0),"",LN(AN249)-LN(AO249))</f>
        <v/>
      </c>
      <c r="AQ249" t="n">
        <v>9955</v>
      </c>
      <c r="AR249" t="n">
        <v>166598</v>
      </c>
      <c r="AS249" s="88">
        <f>IF(OR(AQ249&lt;=0,AR249&lt;=0),"",LN(AQ249)-LN(AR249))</f>
        <v/>
      </c>
      <c r="AT249" t="n">
        <v>10789</v>
      </c>
      <c r="AU249" t="n">
        <v>165140</v>
      </c>
      <c r="AV249" t="n">
        <v>921</v>
      </c>
      <c r="AW249" t="n">
        <v>1041</v>
      </c>
      <c r="AX249" t="n">
        <v>9149</v>
      </c>
      <c r="AY249" s="88">
        <f>IF(OR(AT249&lt;=0,AU249&lt;=0),"",LN(AT249)-LN(AU249))</f>
        <v/>
      </c>
      <c r="AZ249" s="46" t="n">
        <v>10.6</v>
      </c>
      <c r="BA249" s="46" t="n">
        <v>22.99</v>
      </c>
      <c r="BB249" s="47" t="n">
        <v>3</v>
      </c>
    </row>
    <row r="250">
      <c r="A250" s="48" t="n">
        <v>45540</v>
      </c>
      <c r="B250" s="49" t="n">
        <v>142465</v>
      </c>
      <c r="C250" s="50" t="n">
        <v>13.16</v>
      </c>
      <c r="D250" s="51" t="inlineStr">
        <is>
          <t>Good</t>
        </is>
      </c>
      <c r="E250" s="52" t="n">
        <v>26.3</v>
      </c>
      <c r="F250" s="52" t="n">
        <v>6.9</v>
      </c>
      <c r="G250" s="51" t="inlineStr">
        <is>
          <t>Thu</t>
        </is>
      </c>
      <c r="H250" s="51" t="inlineStr">
        <is>
          <t>Weekday</t>
        </is>
      </c>
      <c r="I250" s="51" t="inlineStr">
        <is>
          <t>Fall</t>
        </is>
      </c>
      <c r="J250" s="51" t="n">
        <v>25</v>
      </c>
      <c r="K250" s="51" t="inlineStr">
        <is>
          <t>OK</t>
        </is>
      </c>
      <c r="L250" s="46" t="n">
        <v>23.28</v>
      </c>
      <c r="M250" t="inlineStr">
        <is>
          <t>Good</t>
        </is>
      </c>
      <c r="N250" s="87" t="n">
        <v>25</v>
      </c>
      <c r="O250" s="87" t="n">
        <v>0</v>
      </c>
      <c r="P250" s="87" t="n">
        <v>0</v>
      </c>
      <c r="Q250" s="87" t="n">
        <v>0</v>
      </c>
      <c r="R250" s="87" t="n">
        <v>0</v>
      </c>
      <c r="S250" s="47" t="n">
        <v>2.4</v>
      </c>
      <c r="T250" s="47" t="n">
        <v>79.09999999999999</v>
      </c>
      <c r="U250" s="47" t="n"/>
      <c r="V250" s="87" t="n">
        <v>0</v>
      </c>
      <c r="W250" s="87" t="n">
        <v>0</v>
      </c>
      <c r="Y250" t="inlineStr">
        <is>
          <t>Sep</t>
        </is>
      </c>
      <c r="Z250" s="87" t="n">
        <v>2024</v>
      </c>
      <c r="AA250" s="47">
        <f>IF(F250="",0,F250)</f>
        <v/>
      </c>
      <c r="AB250" s="87">
        <f>IF(AA250&gt;=0.1,1,0)</f>
        <v/>
      </c>
      <c r="AC250" s="87" t="n">
        <v>0</v>
      </c>
      <c r="AD250" s="47">
        <f>IF(U250="",0,U250)</f>
        <v/>
      </c>
      <c r="AE250" s="87">
        <f>IF(OR(V250=1,W250=1),1,0)</f>
        <v/>
      </c>
      <c r="AF250" s="87" t="n">
        <v>0</v>
      </c>
      <c r="AG250" t="n">
        <v>7417</v>
      </c>
      <c r="AH250" t="n">
        <v>135048</v>
      </c>
      <c r="AI250" t="n">
        <v>0</v>
      </c>
      <c r="AJ250" s="88">
        <f>IF(OR(AG250&lt;=0,AH250&lt;=0),"",LN(AG250)-LN(AH250))</f>
        <v/>
      </c>
      <c r="AK250" t="n">
        <v>20199</v>
      </c>
      <c r="AL250" t="n">
        <v>122266</v>
      </c>
      <c r="AM250" s="88">
        <f>IF(OR(AK250&lt;=0,AL250&lt;=0),"",LN(AK250)-LN(AL250))</f>
        <v/>
      </c>
      <c r="AN250" t="n">
        <v>7262</v>
      </c>
      <c r="AO250" t="n">
        <v>130184</v>
      </c>
      <c r="AP250" s="88">
        <f>IF(OR(AN250&lt;=0,AO250&lt;=0),"",LN(AN250)-LN(AO250))</f>
        <v/>
      </c>
      <c r="AQ250" t="n">
        <v>7219</v>
      </c>
      <c r="AR250" t="n">
        <v>135048</v>
      </c>
      <c r="AS250" s="88">
        <f>IF(OR(AQ250&lt;=0,AR250&lt;=0),"",LN(AQ250)-LN(AR250))</f>
        <v/>
      </c>
      <c r="AT250" t="n">
        <v>7604</v>
      </c>
      <c r="AU250" t="n">
        <v>134036</v>
      </c>
      <c r="AV250" t="n">
        <v>834</v>
      </c>
      <c r="AW250" t="n">
        <v>613</v>
      </c>
      <c r="AX250" t="n">
        <v>6750</v>
      </c>
      <c r="AY250" s="88">
        <f>IF(OR(AT250&lt;=0,AU250&lt;=0),"",LN(AT250)-LN(AU250))</f>
        <v/>
      </c>
      <c r="AZ250" s="46" t="n">
        <v>0.9</v>
      </c>
      <c r="BA250" s="46" t="n">
        <v>6.91</v>
      </c>
      <c r="BB250" s="47" t="n">
        <v>8.800000000000001</v>
      </c>
    </row>
    <row r="251">
      <c r="A251" s="48" t="n">
        <v>45541</v>
      </c>
      <c r="B251" s="49" t="n">
        <v>150532</v>
      </c>
      <c r="C251" s="50" t="n">
        <v>7.6</v>
      </c>
      <c r="D251" s="51" t="inlineStr">
        <is>
          <t>Good</t>
        </is>
      </c>
      <c r="E251" s="52" t="n">
        <v>24</v>
      </c>
      <c r="F251" s="52" t="n">
        <v>0.7</v>
      </c>
      <c r="G251" s="51" t="inlineStr">
        <is>
          <t>Fri</t>
        </is>
      </c>
      <c r="H251" s="51" t="inlineStr">
        <is>
          <t>Weekday</t>
        </is>
      </c>
      <c r="I251" s="51" t="inlineStr">
        <is>
          <t>Fall</t>
        </is>
      </c>
      <c r="J251" s="51" t="n">
        <v>25</v>
      </c>
      <c r="K251" s="51" t="inlineStr">
        <is>
          <t>OK</t>
        </is>
      </c>
      <c r="L251" s="46" t="n">
        <v>14.68</v>
      </c>
      <c r="M251" t="inlineStr">
        <is>
          <t>Good</t>
        </is>
      </c>
      <c r="N251" s="87" t="n">
        <v>25</v>
      </c>
      <c r="O251" s="87" t="n">
        <v>0</v>
      </c>
      <c r="P251" s="87" t="n">
        <v>0</v>
      </c>
      <c r="Q251" s="87" t="n">
        <v>0</v>
      </c>
      <c r="R251" s="87" t="n">
        <v>0</v>
      </c>
      <c r="S251" s="47" t="n">
        <v>2.6</v>
      </c>
      <c r="T251" s="47" t="n">
        <v>79.3</v>
      </c>
      <c r="U251" s="47" t="n"/>
      <c r="V251" s="87" t="n">
        <v>0</v>
      </c>
      <c r="W251" s="87" t="n">
        <v>0</v>
      </c>
      <c r="Y251" t="inlineStr">
        <is>
          <t>Sep</t>
        </is>
      </c>
      <c r="Z251" s="87" t="n">
        <v>2024</v>
      </c>
      <c r="AA251" s="47">
        <f>IF(F251="",0,F251)</f>
        <v/>
      </c>
      <c r="AB251" s="87">
        <f>IF(AA251&gt;=0.1,1,0)</f>
        <v/>
      </c>
      <c r="AC251" s="87" t="n">
        <v>0</v>
      </c>
      <c r="AD251" s="47">
        <f>IF(U251="",0,U251)</f>
        <v/>
      </c>
      <c r="AE251" s="87">
        <f>IF(OR(V251=1,W251=1),1,0)</f>
        <v/>
      </c>
      <c r="AF251" s="87" t="n">
        <v>0</v>
      </c>
      <c r="AG251" t="n">
        <v>8469</v>
      </c>
      <c r="AH251" t="n">
        <v>142062</v>
      </c>
      <c r="AI251" t="n">
        <v>1</v>
      </c>
      <c r="AJ251" s="88">
        <f>IF(OR(AG251&lt;=0,AH251&lt;=0),"",LN(AG251)-LN(AH251))</f>
        <v/>
      </c>
      <c r="AK251" t="n">
        <v>21998</v>
      </c>
      <c r="AL251" t="n">
        <v>128533</v>
      </c>
      <c r="AM251" s="88">
        <f>IF(OR(AK251&lt;=0,AL251&lt;=0),"",LN(AK251)-LN(AL251))</f>
        <v/>
      </c>
      <c r="AN251" t="n">
        <v>8286</v>
      </c>
      <c r="AO251" t="n">
        <v>136733</v>
      </c>
      <c r="AP251" s="88">
        <f>IF(OR(AN251&lt;=0,AO251&lt;=0),"",LN(AN251)-LN(AO251))</f>
        <v/>
      </c>
      <c r="AQ251" t="n">
        <v>8194</v>
      </c>
      <c r="AR251" t="n">
        <v>142062</v>
      </c>
      <c r="AS251" s="88">
        <f>IF(OR(AQ251&lt;=0,AR251&lt;=0),"",LN(AQ251)-LN(AR251))</f>
        <v/>
      </c>
      <c r="AT251" t="n">
        <v>8916</v>
      </c>
      <c r="AU251" t="n">
        <v>140712</v>
      </c>
      <c r="AV251" t="n">
        <v>909</v>
      </c>
      <c r="AW251" t="n">
        <v>849</v>
      </c>
      <c r="AX251" t="n">
        <v>7556</v>
      </c>
      <c r="AY251" s="88">
        <f>IF(OR(AT251&lt;=0,AU251&lt;=0),"",LN(AT251)-LN(AU251))</f>
        <v/>
      </c>
      <c r="AZ251" s="46" t="n">
        <v>0</v>
      </c>
      <c r="BA251" s="46" t="n">
        <v>4.41</v>
      </c>
      <c r="BB251" s="47" t="n">
        <v>10</v>
      </c>
    </row>
    <row r="252">
      <c r="A252" s="48" t="n">
        <v>45542</v>
      </c>
      <c r="B252" s="49" t="n">
        <v>148975</v>
      </c>
      <c r="C252" s="50" t="n">
        <v>13.76</v>
      </c>
      <c r="D252" s="51" t="inlineStr">
        <is>
          <t>Good</t>
        </is>
      </c>
      <c r="E252" s="52" t="n">
        <v>26.5</v>
      </c>
      <c r="F252" s="52" t="n">
        <v>0</v>
      </c>
      <c r="G252" s="51" t="inlineStr">
        <is>
          <t>Sat</t>
        </is>
      </c>
      <c r="H252" s="51" t="inlineStr">
        <is>
          <t>Weekend</t>
        </is>
      </c>
      <c r="I252" s="51" t="inlineStr">
        <is>
          <t>Fall</t>
        </is>
      </c>
      <c r="J252" s="51" t="n">
        <v>25</v>
      </c>
      <c r="K252" s="51" t="inlineStr">
        <is>
          <t>OK</t>
        </is>
      </c>
      <c r="L252" s="46" t="n">
        <v>22.08</v>
      </c>
      <c r="M252" t="inlineStr">
        <is>
          <t>Good</t>
        </is>
      </c>
      <c r="N252" s="87" t="n">
        <v>25</v>
      </c>
      <c r="O252" s="87" t="n">
        <v>0</v>
      </c>
      <c r="P252" s="87" t="n">
        <v>0</v>
      </c>
      <c r="Q252" s="87" t="n">
        <v>0</v>
      </c>
      <c r="R252" s="87" t="n">
        <v>0</v>
      </c>
      <c r="S252" s="47" t="n">
        <v>1.9</v>
      </c>
      <c r="T252" s="47" t="n">
        <v>68.90000000000001</v>
      </c>
      <c r="U252" s="47" t="n"/>
      <c r="V252" s="87" t="n">
        <v>1</v>
      </c>
      <c r="W252" s="87" t="n">
        <v>0</v>
      </c>
      <c r="Y252" t="inlineStr">
        <is>
          <t>Sep</t>
        </is>
      </c>
      <c r="Z252" s="87" t="n">
        <v>2024</v>
      </c>
      <c r="AA252" s="47">
        <f>IF(F252="",0,F252)</f>
        <v/>
      </c>
      <c r="AB252" s="87">
        <f>IF(AA252&gt;=0.1,1,0)</f>
        <v/>
      </c>
      <c r="AC252" s="87" t="n">
        <v>1</v>
      </c>
      <c r="AD252" s="47">
        <f>IF(U252="",0,U252)</f>
        <v/>
      </c>
      <c r="AE252" s="87">
        <f>IF(OR(V252=1,W252=1),1,0)</f>
        <v/>
      </c>
      <c r="AF252" s="87" t="n">
        <v>0</v>
      </c>
      <c r="AG252" t="n">
        <v>12049</v>
      </c>
      <c r="AH252" t="n">
        <v>136926</v>
      </c>
      <c r="AI252" t="n">
        <v>0</v>
      </c>
      <c r="AJ252" s="88">
        <f>IF(OR(AG252&lt;=0,AH252&lt;=0),"",LN(AG252)-LN(AH252))</f>
        <v/>
      </c>
      <c r="AK252" t="n">
        <v>26514</v>
      </c>
      <c r="AL252" t="n">
        <v>122461</v>
      </c>
      <c r="AM252" s="88">
        <f>IF(OR(AK252&lt;=0,AL252&lt;=0),"",LN(AK252)-LN(AL252))</f>
        <v/>
      </c>
      <c r="AN252" t="n">
        <v>11759</v>
      </c>
      <c r="AO252" t="n">
        <v>132096</v>
      </c>
      <c r="AP252" s="88">
        <f>IF(OR(AN252&lt;=0,AO252&lt;=0),"",LN(AN252)-LN(AO252))</f>
        <v/>
      </c>
      <c r="AQ252" t="n">
        <v>11685</v>
      </c>
      <c r="AR252" t="n">
        <v>136926</v>
      </c>
      <c r="AS252" s="88">
        <f>IF(OR(AQ252&lt;=0,AR252&lt;=0),"",LN(AQ252)-LN(AR252))</f>
        <v/>
      </c>
      <c r="AT252" t="n">
        <v>12978</v>
      </c>
      <c r="AU252" t="n">
        <v>135110</v>
      </c>
      <c r="AV252" t="n">
        <v>888</v>
      </c>
      <c r="AW252" t="n">
        <v>1844</v>
      </c>
      <c r="AX252" t="n">
        <v>10097</v>
      </c>
      <c r="AY252" s="88">
        <f>IF(OR(AT252&lt;=0,AU252&lt;=0),"",LN(AT252)-LN(AU252))</f>
        <v/>
      </c>
      <c r="AZ252" s="46" t="n">
        <v>7.6</v>
      </c>
      <c r="BA252" s="46" t="n">
        <v>18.81</v>
      </c>
      <c r="BB252" s="47" t="n">
        <v>4</v>
      </c>
    </row>
    <row r="253">
      <c r="A253" s="48" t="n">
        <v>45543</v>
      </c>
      <c r="B253" s="49" t="n">
        <v>131428</v>
      </c>
      <c r="C253" s="50" t="n">
        <v>22.16</v>
      </c>
      <c r="D253" s="51" t="inlineStr">
        <is>
          <t>Moderate</t>
        </is>
      </c>
      <c r="E253" s="52" t="n">
        <v>27.2</v>
      </c>
      <c r="F253" s="52" t="n"/>
      <c r="G253" s="51" t="inlineStr">
        <is>
          <t>Sun</t>
        </is>
      </c>
      <c r="H253" s="51" t="inlineStr">
        <is>
          <t>Weekend</t>
        </is>
      </c>
      <c r="I253" s="51" t="inlineStr">
        <is>
          <t>Fall</t>
        </is>
      </c>
      <c r="J253" s="51" t="n">
        <v>25</v>
      </c>
      <c r="K253" s="51" t="inlineStr">
        <is>
          <t>강수량 공란</t>
        </is>
      </c>
      <c r="L253" s="46" t="n">
        <v>29.12</v>
      </c>
      <c r="M253" t="inlineStr">
        <is>
          <t>Good</t>
        </is>
      </c>
      <c r="N253" s="87" t="n">
        <v>25</v>
      </c>
      <c r="O253" s="87" t="n">
        <v>0</v>
      </c>
      <c r="P253" s="87" t="n">
        <v>0</v>
      </c>
      <c r="Q253" s="87" t="n">
        <v>0</v>
      </c>
      <c r="R253" s="87" t="n">
        <v>0</v>
      </c>
      <c r="S253" s="47" t="n">
        <v>1.6</v>
      </c>
      <c r="T253" s="47" t="n">
        <v>69.59999999999999</v>
      </c>
      <c r="U253" s="47" t="n"/>
      <c r="V253" s="87" t="n">
        <v>1</v>
      </c>
      <c r="W253" s="87" t="n">
        <v>0</v>
      </c>
      <c r="Y253" t="inlineStr">
        <is>
          <t>Sep</t>
        </is>
      </c>
      <c r="Z253" s="87" t="n">
        <v>2024</v>
      </c>
      <c r="AA253" s="47">
        <f>IF(F253="",0,F253)</f>
        <v/>
      </c>
      <c r="AB253" s="87">
        <f>IF(AA253&gt;=0.1,1,0)</f>
        <v/>
      </c>
      <c r="AC253" s="87" t="n">
        <v>0</v>
      </c>
      <c r="AD253" s="47">
        <f>IF(U253="",0,U253)</f>
        <v/>
      </c>
      <c r="AE253" s="87">
        <f>IF(OR(V253=1,W253=1),1,0)</f>
        <v/>
      </c>
      <c r="AF253" s="87" t="n">
        <v>0</v>
      </c>
      <c r="AG253" t="n">
        <v>11329</v>
      </c>
      <c r="AH253" t="n">
        <v>120099</v>
      </c>
      <c r="AI253" t="n">
        <v>0</v>
      </c>
      <c r="AJ253" s="88">
        <f>IF(OR(AG253&lt;=0,AH253&lt;=0),"",LN(AG253)-LN(AH253))</f>
        <v/>
      </c>
      <c r="AK253" t="n">
        <v>24026</v>
      </c>
      <c r="AL253" t="n">
        <v>107402</v>
      </c>
      <c r="AM253" s="88">
        <f>IF(OR(AK253&lt;=0,AL253&lt;=0),"",LN(AK253)-LN(AL253))</f>
        <v/>
      </c>
      <c r="AN253" t="n">
        <v>11066</v>
      </c>
      <c r="AO253" t="n">
        <v>115999</v>
      </c>
      <c r="AP253" s="88">
        <f>IF(OR(AN253&lt;=0,AO253&lt;=0),"",LN(AN253)-LN(AO253))</f>
        <v/>
      </c>
      <c r="AQ253" t="n">
        <v>10964</v>
      </c>
      <c r="AR253" t="n">
        <v>120099</v>
      </c>
      <c r="AS253" s="88">
        <f>IF(OR(AQ253&lt;=0,AR253&lt;=0),"",LN(AQ253)-LN(AR253))</f>
        <v/>
      </c>
      <c r="AT253" t="n">
        <v>13326</v>
      </c>
      <c r="AU253" t="n">
        <v>117360</v>
      </c>
      <c r="AV253" t="n">
        <v>744</v>
      </c>
      <c r="AW253" t="n">
        <v>1834</v>
      </c>
      <c r="AX253" t="n">
        <v>9412</v>
      </c>
      <c r="AY253" s="88">
        <f>IF(OR(AT253&lt;=0,AU253&lt;=0),"",LN(AT253)-LN(AU253))</f>
        <v/>
      </c>
      <c r="AZ253" s="46" t="n">
        <v>9.1</v>
      </c>
      <c r="BA253" s="46" t="n">
        <v>20.01</v>
      </c>
      <c r="BB253" s="47" t="n">
        <v>2</v>
      </c>
    </row>
    <row r="254">
      <c r="A254" s="48" t="n">
        <v>45544</v>
      </c>
      <c r="B254" s="49" t="n">
        <v>170520</v>
      </c>
      <c r="C254" s="50" t="n">
        <v>19.8</v>
      </c>
      <c r="D254" s="51" t="inlineStr">
        <is>
          <t>Moderate</t>
        </is>
      </c>
      <c r="E254" s="52" t="n">
        <v>28.5</v>
      </c>
      <c r="F254" s="52" t="n"/>
      <c r="G254" s="51" t="inlineStr">
        <is>
          <t>Mon</t>
        </is>
      </c>
      <c r="H254" s="51" t="inlineStr">
        <is>
          <t>Weekday</t>
        </is>
      </c>
      <c r="I254" s="51" t="inlineStr">
        <is>
          <t>Fall</t>
        </is>
      </c>
      <c r="J254" s="51" t="n">
        <v>25</v>
      </c>
      <c r="K254" s="51" t="inlineStr">
        <is>
          <t>강수량 공란</t>
        </is>
      </c>
      <c r="L254" s="46" t="n">
        <v>27.92</v>
      </c>
      <c r="M254" t="inlineStr">
        <is>
          <t>Good</t>
        </is>
      </c>
      <c r="N254" s="87" t="n">
        <v>25</v>
      </c>
      <c r="O254" s="87" t="n">
        <v>0</v>
      </c>
      <c r="P254" s="87" t="n">
        <v>0</v>
      </c>
      <c r="Q254" s="87" t="n">
        <v>0</v>
      </c>
      <c r="R254" s="87" t="n">
        <v>0</v>
      </c>
      <c r="S254" s="47" t="n">
        <v>1.9</v>
      </c>
      <c r="T254" s="47" t="n">
        <v>69</v>
      </c>
      <c r="U254" s="47" t="n"/>
      <c r="V254" s="87" t="n">
        <v>0</v>
      </c>
      <c r="W254" s="87" t="n">
        <v>0</v>
      </c>
      <c r="Y254" t="inlineStr">
        <is>
          <t>Sep</t>
        </is>
      </c>
      <c r="Z254" s="87" t="n">
        <v>2024</v>
      </c>
      <c r="AA254" s="47">
        <f>IF(F254="",0,F254)</f>
        <v/>
      </c>
      <c r="AB254" s="87">
        <f>IF(AA254&gt;=0.1,1,0)</f>
        <v/>
      </c>
      <c r="AC254" s="87" t="n">
        <v>0</v>
      </c>
      <c r="AD254" s="47">
        <f>IF(U254="",0,U254)</f>
        <v/>
      </c>
      <c r="AE254" s="87">
        <f>IF(OR(V254=1,W254=1),1,0)</f>
        <v/>
      </c>
      <c r="AF254" s="87" t="n">
        <v>0</v>
      </c>
      <c r="AG254" t="n">
        <v>9584</v>
      </c>
      <c r="AH254" t="n">
        <v>160936</v>
      </c>
      <c r="AI254" t="n">
        <v>0</v>
      </c>
      <c r="AJ254" s="88">
        <f>IF(OR(AG254&lt;=0,AH254&lt;=0),"",LN(AG254)-LN(AH254))</f>
        <v/>
      </c>
      <c r="AK254" t="n">
        <v>25542</v>
      </c>
      <c r="AL254" t="n">
        <v>144978</v>
      </c>
      <c r="AM254" s="88">
        <f>IF(OR(AK254&lt;=0,AL254&lt;=0),"",LN(AK254)-LN(AL254))</f>
        <v/>
      </c>
      <c r="AN254" t="n">
        <v>9359</v>
      </c>
      <c r="AO254" t="n">
        <v>155270</v>
      </c>
      <c r="AP254" s="88">
        <f>IF(OR(AN254&lt;=0,AO254&lt;=0),"",LN(AN254)-LN(AO254))</f>
        <v/>
      </c>
      <c r="AQ254" t="n">
        <v>9311</v>
      </c>
      <c r="AR254" t="n">
        <v>160936</v>
      </c>
      <c r="AS254" s="88">
        <f>IF(OR(AQ254&lt;=0,AR254&lt;=0),"",LN(AQ254)-LN(AR254))</f>
        <v/>
      </c>
      <c r="AT254" t="n">
        <v>10869</v>
      </c>
      <c r="AU254" t="n">
        <v>158719</v>
      </c>
      <c r="AV254" t="n">
        <v>940</v>
      </c>
      <c r="AW254" t="n">
        <v>936</v>
      </c>
      <c r="AX254" t="n">
        <v>8575</v>
      </c>
      <c r="AY254" s="88">
        <f>IF(OR(AT254&lt;=0,AU254&lt;=0),"",LN(AT254)-LN(AU254))</f>
        <v/>
      </c>
      <c r="AZ254" s="46" t="n">
        <v>6</v>
      </c>
      <c r="BA254" s="46" t="n">
        <v>16.38</v>
      </c>
      <c r="BB254" s="47" t="n">
        <v>3.6</v>
      </c>
    </row>
    <row r="255">
      <c r="A255" s="48" t="n">
        <v>45545</v>
      </c>
      <c r="B255" s="49" t="n">
        <v>169974</v>
      </c>
      <c r="C255" s="50" t="n">
        <v>20.84</v>
      </c>
      <c r="D255" s="51" t="inlineStr">
        <is>
          <t>Moderate</t>
        </is>
      </c>
      <c r="E255" s="52" t="n">
        <v>29.4</v>
      </c>
      <c r="F255" s="52" t="n"/>
      <c r="G255" s="51" t="inlineStr">
        <is>
          <t>Tue</t>
        </is>
      </c>
      <c r="H255" s="51" t="inlineStr">
        <is>
          <t>Weekday</t>
        </is>
      </c>
      <c r="I255" s="51" t="inlineStr">
        <is>
          <t>Fall</t>
        </is>
      </c>
      <c r="J255" s="51" t="n">
        <v>25</v>
      </c>
      <c r="K255" s="51" t="inlineStr">
        <is>
          <t>강수량 공란</t>
        </is>
      </c>
      <c r="L255" s="46" t="n">
        <v>29.36</v>
      </c>
      <c r="M255" t="inlineStr">
        <is>
          <t>Good</t>
        </is>
      </c>
      <c r="N255" s="87" t="n">
        <v>25</v>
      </c>
      <c r="O255" s="87" t="n">
        <v>0</v>
      </c>
      <c r="P255" s="87" t="n">
        <v>0</v>
      </c>
      <c r="Q255" s="87" t="n">
        <v>0</v>
      </c>
      <c r="R255" s="87" t="n">
        <v>0</v>
      </c>
      <c r="S255" s="47" t="n">
        <v>1.8</v>
      </c>
      <c r="T255" s="47" t="n">
        <v>67.3</v>
      </c>
      <c r="U255" s="47" t="n"/>
      <c r="V255" s="87" t="n">
        <v>0</v>
      </c>
      <c r="W255" s="87" t="n">
        <v>0</v>
      </c>
      <c r="Y255" t="inlineStr">
        <is>
          <t>Sep</t>
        </is>
      </c>
      <c r="Z255" s="87" t="n">
        <v>2024</v>
      </c>
      <c r="AA255" s="47">
        <f>IF(F255="",0,F255)</f>
        <v/>
      </c>
      <c r="AB255" s="87">
        <f>IF(AA255&gt;=0.1,1,0)</f>
        <v/>
      </c>
      <c r="AC255" s="87" t="n">
        <v>0</v>
      </c>
      <c r="AD255" s="47">
        <f>IF(U255="",0,U255)</f>
        <v/>
      </c>
      <c r="AE255" s="87">
        <f>IF(OR(V255=1,W255=1),1,0)</f>
        <v/>
      </c>
      <c r="AF255" s="87" t="n">
        <v>0</v>
      </c>
      <c r="AG255" t="n">
        <v>9164</v>
      </c>
      <c r="AH255" t="n">
        <v>160810</v>
      </c>
      <c r="AI255" t="n">
        <v>0</v>
      </c>
      <c r="AJ255" s="88">
        <f>IF(OR(AG255&lt;=0,AH255&lt;=0),"",LN(AG255)-LN(AH255))</f>
        <v/>
      </c>
      <c r="AK255" t="n">
        <v>24612</v>
      </c>
      <c r="AL255" t="n">
        <v>145362</v>
      </c>
      <c r="AM255" s="88">
        <f>IF(OR(AK255&lt;=0,AL255&lt;=0),"",LN(AK255)-LN(AL255))</f>
        <v/>
      </c>
      <c r="AN255" t="n">
        <v>9002</v>
      </c>
      <c r="AO255" t="n">
        <v>154894</v>
      </c>
      <c r="AP255" s="88">
        <f>IF(OR(AN255&lt;=0,AO255&lt;=0),"",LN(AN255)-LN(AO255))</f>
        <v/>
      </c>
      <c r="AQ255" t="n">
        <v>8910</v>
      </c>
      <c r="AR255" t="n">
        <v>160810</v>
      </c>
      <c r="AS255" s="88">
        <f>IF(OR(AQ255&lt;=0,AR255&lt;=0),"",LN(AQ255)-LN(AR255))</f>
        <v/>
      </c>
      <c r="AT255" t="n">
        <v>10320</v>
      </c>
      <c r="AU255" t="n">
        <v>158695</v>
      </c>
      <c r="AV255" t="n">
        <v>967</v>
      </c>
      <c r="AW255" t="n">
        <v>860</v>
      </c>
      <c r="AX255" t="n">
        <v>8239</v>
      </c>
      <c r="AY255" s="88">
        <f>IF(OR(AT255&lt;=0,AU255&lt;=0),"",LN(AT255)-LN(AU255))</f>
        <v/>
      </c>
      <c r="AZ255" s="46" t="n">
        <v>9</v>
      </c>
      <c r="BA255" s="46" t="n">
        <v>17.2</v>
      </c>
      <c r="BB255" s="47" t="n">
        <v>1.3</v>
      </c>
    </row>
    <row r="256">
      <c r="A256" s="48" t="n">
        <v>45546</v>
      </c>
      <c r="B256" s="49" t="n">
        <v>154072</v>
      </c>
      <c r="C256" s="50" t="n">
        <v>22.36</v>
      </c>
      <c r="D256" s="51" t="inlineStr">
        <is>
          <t>Moderate</t>
        </is>
      </c>
      <c r="E256" s="52" t="n">
        <v>29</v>
      </c>
      <c r="F256" s="52" t="n">
        <v>0.4</v>
      </c>
      <c r="G256" s="51" t="inlineStr">
        <is>
          <t>Wed</t>
        </is>
      </c>
      <c r="H256" s="51" t="inlineStr">
        <is>
          <t>Weekday</t>
        </is>
      </c>
      <c r="I256" s="51" t="inlineStr">
        <is>
          <t>Fall</t>
        </is>
      </c>
      <c r="J256" s="51" t="n">
        <v>25</v>
      </c>
      <c r="K256" s="51" t="inlineStr">
        <is>
          <t>OK</t>
        </is>
      </c>
      <c r="L256" s="46" t="n">
        <v>30.84</v>
      </c>
      <c r="M256" t="inlineStr">
        <is>
          <t>Moderate</t>
        </is>
      </c>
      <c r="N256" s="87" t="n">
        <v>25</v>
      </c>
      <c r="O256" s="87" t="n">
        <v>0</v>
      </c>
      <c r="P256" s="87" t="n">
        <v>0</v>
      </c>
      <c r="Q256" s="87" t="n">
        <v>0</v>
      </c>
      <c r="R256" s="87" t="n">
        <v>0</v>
      </c>
      <c r="S256" s="47" t="n">
        <v>1.8</v>
      </c>
      <c r="T256" s="47" t="n">
        <v>71.5</v>
      </c>
      <c r="U256" s="47" t="n"/>
      <c r="V256" s="87" t="n">
        <v>0</v>
      </c>
      <c r="W256" s="87" t="n">
        <v>0</v>
      </c>
      <c r="Y256" t="inlineStr">
        <is>
          <t>Sep</t>
        </is>
      </c>
      <c r="Z256" s="87" t="n">
        <v>2024</v>
      </c>
      <c r="AA256" s="47">
        <f>IF(F256="",0,F256)</f>
        <v/>
      </c>
      <c r="AB256" s="87">
        <f>IF(AA256&gt;=0.1,1,0)</f>
        <v/>
      </c>
      <c r="AC256" s="87" t="n">
        <v>0</v>
      </c>
      <c r="AD256" s="47">
        <f>IF(U256="",0,U256)</f>
        <v/>
      </c>
      <c r="AE256" s="87">
        <f>IF(OR(V256=1,W256=1),1,0)</f>
        <v/>
      </c>
      <c r="AF256" s="87" t="n">
        <v>0</v>
      </c>
      <c r="AG256" t="n">
        <v>7790</v>
      </c>
      <c r="AH256" t="n">
        <v>146282</v>
      </c>
      <c r="AI256" t="n">
        <v>0</v>
      </c>
      <c r="AJ256" s="88">
        <f>IF(OR(AG256&lt;=0,AH256&lt;=0),"",LN(AG256)-LN(AH256))</f>
        <v/>
      </c>
      <c r="AK256" t="n">
        <v>21959</v>
      </c>
      <c r="AL256" t="n">
        <v>132113</v>
      </c>
      <c r="AM256" s="88">
        <f>IF(OR(AK256&lt;=0,AL256&lt;=0),"",LN(AK256)-LN(AL256))</f>
        <v/>
      </c>
      <c r="AN256" t="n">
        <v>7646</v>
      </c>
      <c r="AO256" t="n">
        <v>140972</v>
      </c>
      <c r="AP256" s="88">
        <f>IF(OR(AN256&lt;=0,AO256&lt;=0),"",LN(AN256)-LN(AO256))</f>
        <v/>
      </c>
      <c r="AQ256" t="n">
        <v>7570</v>
      </c>
      <c r="AR256" t="n">
        <v>146282</v>
      </c>
      <c r="AS256" s="88">
        <f>IF(OR(AQ256&lt;=0,AR256&lt;=0),"",LN(AQ256)-LN(AR256))</f>
        <v/>
      </c>
      <c r="AT256" t="n">
        <v>9179</v>
      </c>
      <c r="AU256" t="n">
        <v>143940</v>
      </c>
      <c r="AV256" t="n">
        <v>962</v>
      </c>
      <c r="AW256" t="n">
        <v>691</v>
      </c>
      <c r="AX256" t="n">
        <v>7040</v>
      </c>
      <c r="AY256" s="88">
        <f>IF(OR(AT256&lt;=0,AU256&lt;=0),"",LN(AT256)-LN(AU256))</f>
        <v/>
      </c>
      <c r="AZ256" s="46" t="n">
        <v>5.2</v>
      </c>
      <c r="BA256" s="46" t="n">
        <v>12.49</v>
      </c>
      <c r="BB256" s="47" t="n">
        <v>5.5</v>
      </c>
    </row>
    <row r="257">
      <c r="A257" s="48" t="n">
        <v>45547</v>
      </c>
      <c r="B257" s="49" t="n">
        <v>62018</v>
      </c>
      <c r="C257" s="50" t="n">
        <v>5.52</v>
      </c>
      <c r="D257" s="51" t="inlineStr">
        <is>
          <t>Good</t>
        </is>
      </c>
      <c r="E257" s="52" t="n">
        <v>25.4</v>
      </c>
      <c r="F257" s="52" t="n">
        <v>32.7</v>
      </c>
      <c r="G257" s="51" t="inlineStr">
        <is>
          <t>Thu</t>
        </is>
      </c>
      <c r="H257" s="51" t="inlineStr">
        <is>
          <t>Weekday</t>
        </is>
      </c>
      <c r="I257" s="51" t="inlineStr">
        <is>
          <t>Fall</t>
        </is>
      </c>
      <c r="J257" s="51" t="n">
        <v>25</v>
      </c>
      <c r="K257" s="51" t="inlineStr">
        <is>
          <t>OK</t>
        </is>
      </c>
      <c r="L257" s="46" t="n">
        <v>9.640000000000001</v>
      </c>
      <c r="M257" t="inlineStr">
        <is>
          <t>Good</t>
        </is>
      </c>
      <c r="N257" s="87" t="n">
        <v>25</v>
      </c>
      <c r="O257" s="87" t="n">
        <v>0</v>
      </c>
      <c r="P257" s="87" t="n">
        <v>0</v>
      </c>
      <c r="Q257" s="87" t="n">
        <v>0</v>
      </c>
      <c r="R257" s="87" t="n">
        <v>0</v>
      </c>
      <c r="S257" s="47" t="n">
        <v>2.1</v>
      </c>
      <c r="T257" s="47" t="n">
        <v>91.5</v>
      </c>
      <c r="U257" s="47" t="n"/>
      <c r="V257" s="87" t="n">
        <v>0</v>
      </c>
      <c r="W257" s="87" t="n">
        <v>0</v>
      </c>
      <c r="Y257" t="inlineStr">
        <is>
          <t>Sep</t>
        </is>
      </c>
      <c r="Z257" s="87" t="n">
        <v>2024</v>
      </c>
      <c r="AA257" s="47">
        <f>IF(F257="",0,F257)</f>
        <v/>
      </c>
      <c r="AB257" s="87">
        <f>IF(AA257&gt;=0.1,1,0)</f>
        <v/>
      </c>
      <c r="AC257" s="87" t="n">
        <v>0</v>
      </c>
      <c r="AD257" s="47">
        <f>IF(U257="",0,U257)</f>
        <v/>
      </c>
      <c r="AE257" s="87">
        <f>IF(OR(V257=1,W257=1),1,0)</f>
        <v/>
      </c>
      <c r="AF257" s="87" t="n">
        <v>0</v>
      </c>
      <c r="AG257" t="n">
        <v>2784</v>
      </c>
      <c r="AH257" t="n">
        <v>59233</v>
      </c>
      <c r="AI257" t="n">
        <v>1</v>
      </c>
      <c r="AJ257" s="88">
        <f>IF(OR(AG257&lt;=0,AH257&lt;=0),"",LN(AG257)-LN(AH257))</f>
        <v/>
      </c>
      <c r="AK257" t="n">
        <v>7777</v>
      </c>
      <c r="AL257" t="n">
        <v>54240</v>
      </c>
      <c r="AM257" s="88">
        <f>IF(OR(AK257&lt;=0,AL257&lt;=0),"",LN(AK257)-LN(AL257))</f>
        <v/>
      </c>
      <c r="AN257" t="n">
        <v>2731</v>
      </c>
      <c r="AO257" t="n">
        <v>56975</v>
      </c>
      <c r="AP257" s="88">
        <f>IF(OR(AN257&lt;=0,AO257&lt;=0),"",LN(AN257)-LN(AO257))</f>
        <v/>
      </c>
      <c r="AQ257" t="n">
        <v>2702</v>
      </c>
      <c r="AR257" t="n">
        <v>59233</v>
      </c>
      <c r="AS257" s="88">
        <f>IF(OR(AQ257&lt;=0,AR257&lt;=0),"",LN(AQ257)-LN(AR257))</f>
        <v/>
      </c>
      <c r="AT257" t="n">
        <v>4138</v>
      </c>
      <c r="AU257" t="n">
        <v>57469</v>
      </c>
      <c r="AV257" t="n">
        <v>415</v>
      </c>
      <c r="AW257" t="n">
        <v>302</v>
      </c>
      <c r="AX257" t="n">
        <v>2464</v>
      </c>
      <c r="AY257" s="88">
        <f>IF(OR(AT257&lt;=0,AU257&lt;=0),"",LN(AT257)-LN(AU257))</f>
        <v/>
      </c>
      <c r="AZ257" s="46" t="n">
        <v>0</v>
      </c>
      <c r="BA257" s="46" t="n">
        <v>3.78</v>
      </c>
      <c r="BB257" s="47" t="n">
        <v>9.800000000000001</v>
      </c>
    </row>
    <row r="258">
      <c r="A258" s="48" t="n">
        <v>45548</v>
      </c>
      <c r="B258" s="49" t="n">
        <v>75820</v>
      </c>
      <c r="C258" s="50" t="n">
        <v>7.4</v>
      </c>
      <c r="D258" s="51" t="inlineStr">
        <is>
          <t>Good</t>
        </is>
      </c>
      <c r="E258" s="52" t="n">
        <v>25.9</v>
      </c>
      <c r="F258" s="52" t="n">
        <v>7.6</v>
      </c>
      <c r="G258" s="51" t="inlineStr">
        <is>
          <t>Fri</t>
        </is>
      </c>
      <c r="H258" s="51" t="inlineStr">
        <is>
          <t>Weekday</t>
        </is>
      </c>
      <c r="I258" s="51" t="inlineStr">
        <is>
          <t>Fall</t>
        </is>
      </c>
      <c r="J258" s="51" t="n">
        <v>25</v>
      </c>
      <c r="K258" s="51" t="inlineStr">
        <is>
          <t>OK</t>
        </is>
      </c>
      <c r="L258" s="46" t="n">
        <v>14.52</v>
      </c>
      <c r="M258" t="inlineStr">
        <is>
          <t>Good</t>
        </is>
      </c>
      <c r="N258" s="87" t="n">
        <v>25</v>
      </c>
      <c r="O258" s="87" t="n">
        <v>0</v>
      </c>
      <c r="P258" s="87" t="n">
        <v>0</v>
      </c>
      <c r="Q258" s="87" t="n">
        <v>0</v>
      </c>
      <c r="R258" s="87" t="n">
        <v>0</v>
      </c>
      <c r="S258" s="47" t="n">
        <v>2.2</v>
      </c>
      <c r="T258" s="47" t="n">
        <v>91.40000000000001</v>
      </c>
      <c r="U258" s="47" t="n"/>
      <c r="V258" s="87" t="n">
        <v>0</v>
      </c>
      <c r="W258" s="87" t="n">
        <v>0</v>
      </c>
      <c r="Y258" t="inlineStr">
        <is>
          <t>Sep</t>
        </is>
      </c>
      <c r="Z258" s="87" t="n">
        <v>2024</v>
      </c>
      <c r="AA258" s="47">
        <f>IF(F258="",0,F258)</f>
        <v/>
      </c>
      <c r="AB258" s="87">
        <f>IF(AA258&gt;=0.1,1,0)</f>
        <v/>
      </c>
      <c r="AC258" s="87" t="n">
        <v>0</v>
      </c>
      <c r="AD258" s="47">
        <f>IF(U258="",0,U258)</f>
        <v/>
      </c>
      <c r="AE258" s="87">
        <f>IF(OR(V258=1,W258=1),1,0)</f>
        <v/>
      </c>
      <c r="AF258" s="87" t="n">
        <v>0</v>
      </c>
      <c r="AG258" t="n">
        <v>3601</v>
      </c>
      <c r="AH258" t="n">
        <v>72219</v>
      </c>
      <c r="AI258" t="n">
        <v>0</v>
      </c>
      <c r="AJ258" s="88">
        <f>IF(OR(AG258&lt;=0,AH258&lt;=0),"",LN(AG258)-LN(AH258))</f>
        <v/>
      </c>
      <c r="AK258" t="n">
        <v>10559</v>
      </c>
      <c r="AL258" t="n">
        <v>65261</v>
      </c>
      <c r="AM258" s="88">
        <f>IF(OR(AK258&lt;=0,AL258&lt;=0),"",LN(AK258)-LN(AL258))</f>
        <v/>
      </c>
      <c r="AN258" t="n">
        <v>3542</v>
      </c>
      <c r="AO258" t="n">
        <v>69556</v>
      </c>
      <c r="AP258" s="88">
        <f>IF(OR(AN258&lt;=0,AO258&lt;=0),"",LN(AN258)-LN(AO258))</f>
        <v/>
      </c>
      <c r="AQ258" t="n">
        <v>3500</v>
      </c>
      <c r="AR258" t="n">
        <v>72219</v>
      </c>
      <c r="AS258" s="88">
        <f>IF(OR(AQ258&lt;=0,AR258&lt;=0),"",LN(AQ258)-LN(AR258))</f>
        <v/>
      </c>
      <c r="AT258" t="n">
        <v>4294</v>
      </c>
      <c r="AU258" t="n">
        <v>71015</v>
      </c>
      <c r="AV258" t="n">
        <v>516</v>
      </c>
      <c r="AW258" t="n">
        <v>302</v>
      </c>
      <c r="AX258" t="n">
        <v>3286</v>
      </c>
      <c r="AY258" s="88">
        <f>IF(OR(AT258&lt;=0,AU258&lt;=0),"",LN(AT258)-LN(AU258))</f>
        <v/>
      </c>
      <c r="AZ258" s="46" t="n">
        <v>0</v>
      </c>
      <c r="BA258" s="46" t="n">
        <v>4.86</v>
      </c>
      <c r="BB258" s="47" t="n">
        <v>10</v>
      </c>
    </row>
    <row r="259">
      <c r="A259" s="48" t="n">
        <v>45549</v>
      </c>
      <c r="B259" s="49" t="n">
        <v>115902</v>
      </c>
      <c r="C259" s="50" t="n">
        <v>6.12</v>
      </c>
      <c r="D259" s="51" t="inlineStr">
        <is>
          <t>Good</t>
        </is>
      </c>
      <c r="E259" s="52" t="n">
        <v>28</v>
      </c>
      <c r="F259" s="52" t="n">
        <v>0</v>
      </c>
      <c r="G259" s="51" t="inlineStr">
        <is>
          <t>Sat</t>
        </is>
      </c>
      <c r="H259" s="51" t="inlineStr">
        <is>
          <t>Weekend</t>
        </is>
      </c>
      <c r="I259" s="51" t="inlineStr">
        <is>
          <t>Fall</t>
        </is>
      </c>
      <c r="J259" s="51" t="n">
        <v>25</v>
      </c>
      <c r="K259" s="51" t="inlineStr">
        <is>
          <t>OK</t>
        </is>
      </c>
      <c r="L259" s="46" t="n">
        <v>11.96</v>
      </c>
      <c r="M259" t="inlineStr">
        <is>
          <t>Good</t>
        </is>
      </c>
      <c r="N259" s="87" t="n">
        <v>25</v>
      </c>
      <c r="O259" s="87" t="n">
        <v>0</v>
      </c>
      <c r="P259" s="87" t="n">
        <v>0</v>
      </c>
      <c r="Q259" s="87" t="n">
        <v>0</v>
      </c>
      <c r="R259" s="87" t="n">
        <v>0</v>
      </c>
      <c r="S259" s="47" t="n">
        <v>1.7</v>
      </c>
      <c r="T259" s="47" t="n">
        <v>80.3</v>
      </c>
      <c r="U259" s="47" t="n"/>
      <c r="V259" s="87" t="n">
        <v>1</v>
      </c>
      <c r="W259" s="87" t="n">
        <v>0</v>
      </c>
      <c r="Y259" t="inlineStr">
        <is>
          <t>Sep</t>
        </is>
      </c>
      <c r="Z259" s="87" t="n">
        <v>2024</v>
      </c>
      <c r="AA259" s="47">
        <f>IF(F259="",0,F259)</f>
        <v/>
      </c>
      <c r="AB259" s="87">
        <f>IF(AA259&gt;=0.1,1,0)</f>
        <v/>
      </c>
      <c r="AC259" s="87" t="n">
        <v>1</v>
      </c>
      <c r="AD259" s="47">
        <f>IF(U259="",0,U259)</f>
        <v/>
      </c>
      <c r="AE259" s="87">
        <f>IF(OR(V259=1,W259=1),1,0)</f>
        <v/>
      </c>
      <c r="AF259" s="87" t="n">
        <v>0</v>
      </c>
      <c r="AG259" t="n">
        <v>8167</v>
      </c>
      <c r="AH259" t="n">
        <v>107735</v>
      </c>
      <c r="AI259" t="n">
        <v>0</v>
      </c>
      <c r="AJ259" s="88">
        <f>IF(OR(AG259&lt;=0,AH259&lt;=0),"",LN(AG259)-LN(AH259))</f>
        <v/>
      </c>
      <c r="AK259" t="n">
        <v>18989</v>
      </c>
      <c r="AL259" t="n">
        <v>96913</v>
      </c>
      <c r="AM259" s="88">
        <f>IF(OR(AK259&lt;=0,AL259&lt;=0),"",LN(AK259)-LN(AL259))</f>
        <v/>
      </c>
      <c r="AN259" t="n">
        <v>7982</v>
      </c>
      <c r="AO259" t="n">
        <v>103609</v>
      </c>
      <c r="AP259" s="88">
        <f>IF(OR(AN259&lt;=0,AO259&lt;=0),"",LN(AN259)-LN(AO259))</f>
        <v/>
      </c>
      <c r="AQ259" t="n">
        <v>7887</v>
      </c>
      <c r="AR259" t="n">
        <v>107735</v>
      </c>
      <c r="AS259" s="88">
        <f>IF(OR(AQ259&lt;=0,AR259&lt;=0),"",LN(AQ259)-LN(AR259))</f>
        <v/>
      </c>
      <c r="AT259" t="n">
        <v>10873</v>
      </c>
      <c r="AU259" t="n">
        <v>104366</v>
      </c>
      <c r="AV259" t="n">
        <v>667</v>
      </c>
      <c r="AW259" t="n">
        <v>1242</v>
      </c>
      <c r="AX259" t="n">
        <v>6873</v>
      </c>
      <c r="AY259" s="88">
        <f>IF(OR(AT259&lt;=0,AU259&lt;=0),"",LN(AT259)-LN(AU259))</f>
        <v/>
      </c>
      <c r="AZ259" s="46" t="n">
        <v>5.1</v>
      </c>
      <c r="BA259" s="46" t="n">
        <v>14.61</v>
      </c>
      <c r="BB259" s="47" t="n">
        <v>4.8</v>
      </c>
    </row>
    <row r="260">
      <c r="A260" s="48" t="n">
        <v>45550</v>
      </c>
      <c r="B260" s="49" t="n">
        <v>102885</v>
      </c>
      <c r="C260" s="50" t="n">
        <v>6</v>
      </c>
      <c r="D260" s="51" t="inlineStr">
        <is>
          <t>Good</t>
        </is>
      </c>
      <c r="E260" s="52" t="n">
        <v>27.5</v>
      </c>
      <c r="F260" s="52" t="n"/>
      <c r="G260" s="51" t="inlineStr">
        <is>
          <t>Sun</t>
        </is>
      </c>
      <c r="H260" s="51" t="inlineStr">
        <is>
          <t>Weekend</t>
        </is>
      </c>
      <c r="I260" s="51" t="inlineStr">
        <is>
          <t>Fall</t>
        </is>
      </c>
      <c r="J260" s="51" t="n">
        <v>25</v>
      </c>
      <c r="K260" s="51" t="inlineStr">
        <is>
          <t>강수량 공란</t>
        </is>
      </c>
      <c r="L260" s="46" t="n">
        <v>12.24</v>
      </c>
      <c r="M260" t="inlineStr">
        <is>
          <t>Good</t>
        </is>
      </c>
      <c r="N260" s="87" t="n">
        <v>25</v>
      </c>
      <c r="O260" s="87" t="n">
        <v>0</v>
      </c>
      <c r="P260" s="87" t="n">
        <v>0</v>
      </c>
      <c r="Q260" s="87" t="n">
        <v>0</v>
      </c>
      <c r="R260" s="87" t="n">
        <v>0</v>
      </c>
      <c r="S260" s="47" t="n">
        <v>2.8</v>
      </c>
      <c r="T260" s="47" t="n">
        <v>73.59999999999999</v>
      </c>
      <c r="U260" s="47" t="n"/>
      <c r="V260" s="87" t="n">
        <v>1</v>
      </c>
      <c r="W260" s="87" t="n">
        <v>0</v>
      </c>
      <c r="Y260" t="inlineStr">
        <is>
          <t>Sep</t>
        </is>
      </c>
      <c r="Z260" s="87" t="n">
        <v>2024</v>
      </c>
      <c r="AA260" s="47">
        <f>IF(F260="",0,F260)</f>
        <v/>
      </c>
      <c r="AB260" s="87">
        <f>IF(AA260&gt;=0.1,1,0)</f>
        <v/>
      </c>
      <c r="AC260" s="87" t="n">
        <v>0</v>
      </c>
      <c r="AD260" s="47">
        <f>IF(U260="",0,U260)</f>
        <v/>
      </c>
      <c r="AE260" s="87">
        <f>IF(OR(V260=1,W260=1),1,0)</f>
        <v/>
      </c>
      <c r="AF260" s="87" t="n">
        <v>0</v>
      </c>
      <c r="AG260" t="n">
        <v>8543</v>
      </c>
      <c r="AH260" t="n">
        <v>94342</v>
      </c>
      <c r="AI260" t="n">
        <v>0</v>
      </c>
      <c r="AJ260" s="88">
        <f>IF(OR(AG260&lt;=0,AH260&lt;=0),"",LN(AG260)-LN(AH260))</f>
        <v/>
      </c>
      <c r="AK260" t="n">
        <v>18115</v>
      </c>
      <c r="AL260" t="n">
        <v>84770</v>
      </c>
      <c r="AM260" s="88">
        <f>IF(OR(AK260&lt;=0,AL260&lt;=0),"",LN(AK260)-LN(AL260))</f>
        <v/>
      </c>
      <c r="AN260" t="n">
        <v>8331</v>
      </c>
      <c r="AO260" t="n">
        <v>90919</v>
      </c>
      <c r="AP260" s="88">
        <f>IF(OR(AN260&lt;=0,AO260&lt;=0),"",LN(AN260)-LN(AO260))</f>
        <v/>
      </c>
      <c r="AQ260" t="n">
        <v>8246</v>
      </c>
      <c r="AR260" t="n">
        <v>94342</v>
      </c>
      <c r="AS260" s="88">
        <f>IF(OR(AQ260&lt;=0,AR260&lt;=0),"",LN(AQ260)-LN(AR260))</f>
        <v/>
      </c>
      <c r="AT260" t="n">
        <v>10762</v>
      </c>
      <c r="AU260" t="n">
        <v>91496</v>
      </c>
      <c r="AV260" t="n">
        <v>627</v>
      </c>
      <c r="AW260" t="n">
        <v>1624</v>
      </c>
      <c r="AX260" t="n">
        <v>6851</v>
      </c>
      <c r="AY260" s="88">
        <f>IF(OR(AT260&lt;=0,AU260&lt;=0),"",LN(AT260)-LN(AU260))</f>
        <v/>
      </c>
      <c r="AZ260" s="46" t="n">
        <v>8.199999999999999</v>
      </c>
      <c r="BA260" s="46" t="n">
        <v>18.89</v>
      </c>
      <c r="BB260" s="47" t="n">
        <v>3.1</v>
      </c>
    </row>
    <row r="261">
      <c r="A261" s="48" t="n">
        <v>45551</v>
      </c>
      <c r="B261" s="49" t="n">
        <v>89290</v>
      </c>
      <c r="C261" s="50" t="n">
        <v>2.88</v>
      </c>
      <c r="D261" s="51" t="inlineStr">
        <is>
          <t>Good</t>
        </is>
      </c>
      <c r="E261" s="52" t="n">
        <v>26.8</v>
      </c>
      <c r="F261" s="52" t="n">
        <v>9.5</v>
      </c>
      <c r="G261" s="51" t="inlineStr">
        <is>
          <t>Mon</t>
        </is>
      </c>
      <c r="H261" s="51" t="inlineStr">
        <is>
          <t>Weekday</t>
        </is>
      </c>
      <c r="I261" s="51" t="inlineStr">
        <is>
          <t>Fall</t>
        </is>
      </c>
      <c r="J261" s="51" t="n">
        <v>25</v>
      </c>
      <c r="K261" s="51" t="inlineStr">
        <is>
          <t>OK</t>
        </is>
      </c>
      <c r="L261" s="46" t="n">
        <v>7.04</v>
      </c>
      <c r="M261" t="inlineStr">
        <is>
          <t>Good</t>
        </is>
      </c>
      <c r="N261" s="87" t="n">
        <v>25</v>
      </c>
      <c r="O261" s="87" t="n">
        <v>0</v>
      </c>
      <c r="P261" s="87" t="n">
        <v>0</v>
      </c>
      <c r="Q261" s="87" t="n">
        <v>0</v>
      </c>
      <c r="R261" s="87" t="n">
        <v>0</v>
      </c>
      <c r="S261" s="47" t="n">
        <v>2.8</v>
      </c>
      <c r="T261" s="47" t="n">
        <v>74</v>
      </c>
      <c r="U261" s="47" t="n"/>
      <c r="V261" s="87" t="n">
        <v>0</v>
      </c>
      <c r="W261" s="87" t="n">
        <v>1</v>
      </c>
      <c r="X261" t="inlineStr">
        <is>
          <t>추석 연휴</t>
        </is>
      </c>
      <c r="Y261" t="inlineStr">
        <is>
          <t>Sep</t>
        </is>
      </c>
      <c r="Z261" s="87" t="n">
        <v>2024</v>
      </c>
      <c r="AA261" s="47">
        <f>IF(F261="",0,F261)</f>
        <v/>
      </c>
      <c r="AB261" s="87">
        <f>IF(AA261&gt;=0.1,1,0)</f>
        <v/>
      </c>
      <c r="AC261" s="87" t="n">
        <v>0</v>
      </c>
      <c r="AD261" s="47">
        <f>IF(U261="",0,U261)</f>
        <v/>
      </c>
      <c r="AE261" s="87">
        <f>IF(OR(V261=1,W261=1),1,0)</f>
        <v/>
      </c>
      <c r="AF261" s="87" t="n">
        <v>0</v>
      </c>
      <c r="AG261" t="n">
        <v>8079</v>
      </c>
      <c r="AH261" t="n">
        <v>81211</v>
      </c>
      <c r="AI261" t="n">
        <v>0</v>
      </c>
      <c r="AJ261" s="88">
        <f>IF(OR(AG261&lt;=0,AH261&lt;=0),"",LN(AG261)-LN(AH261))</f>
        <v/>
      </c>
      <c r="AK261" t="n">
        <v>16846</v>
      </c>
      <c r="AL261" t="n">
        <v>72444</v>
      </c>
      <c r="AM261" s="88">
        <f>IF(OR(AK261&lt;=0,AL261&lt;=0),"",LN(AK261)-LN(AL261))</f>
        <v/>
      </c>
      <c r="AN261" t="n">
        <v>7856</v>
      </c>
      <c r="AO261" t="n">
        <v>78220</v>
      </c>
      <c r="AP261" s="88">
        <f>IF(OR(AN261&lt;=0,AO261&lt;=0),"",LN(AN261)-LN(AO261))</f>
        <v/>
      </c>
      <c r="AQ261" t="n">
        <v>7833</v>
      </c>
      <c r="AR261" t="n">
        <v>81211</v>
      </c>
      <c r="AS261" s="88">
        <f>IF(OR(AQ261&lt;=0,AR261&lt;=0),"",LN(AQ261)-LN(AR261))</f>
        <v/>
      </c>
      <c r="AT261" t="n">
        <v>10616</v>
      </c>
      <c r="AU261" t="n">
        <v>78169</v>
      </c>
      <c r="AV261" t="n">
        <v>503</v>
      </c>
      <c r="AW261" t="n">
        <v>1654</v>
      </c>
      <c r="AX261" t="n">
        <v>6352</v>
      </c>
      <c r="AY261" s="88">
        <f>IF(OR(AT261&lt;=0,AU261&lt;=0),"",LN(AT261)-LN(AU261))</f>
        <v/>
      </c>
      <c r="AZ261" s="46" t="n">
        <v>6.2</v>
      </c>
      <c r="BA261" s="46" t="n">
        <v>17.09</v>
      </c>
      <c r="BB261" s="47" t="n">
        <v>5.6</v>
      </c>
    </row>
    <row r="262">
      <c r="A262" s="48" t="n">
        <v>45552</v>
      </c>
      <c r="B262" s="49" t="n">
        <v>79398</v>
      </c>
      <c r="C262" s="50" t="n">
        <v>6.36</v>
      </c>
      <c r="D262" s="51" t="inlineStr">
        <is>
          <t>Good</t>
        </is>
      </c>
      <c r="E262" s="52" t="n">
        <v>28.6</v>
      </c>
      <c r="F262" s="52" t="n"/>
      <c r="G262" s="51" t="inlineStr">
        <is>
          <t>Tue</t>
        </is>
      </c>
      <c r="H262" s="51" t="inlineStr">
        <is>
          <t>Weekday</t>
        </is>
      </c>
      <c r="I262" s="51" t="inlineStr">
        <is>
          <t>Fall</t>
        </is>
      </c>
      <c r="J262" s="51" t="n">
        <v>25</v>
      </c>
      <c r="K262" s="51" t="inlineStr">
        <is>
          <t>강수량 공란</t>
        </is>
      </c>
      <c r="L262" s="46" t="n">
        <v>12.44</v>
      </c>
      <c r="M262" t="inlineStr">
        <is>
          <t>Good</t>
        </is>
      </c>
      <c r="N262" s="87" t="n">
        <v>25</v>
      </c>
      <c r="O262" s="87" t="n">
        <v>0</v>
      </c>
      <c r="P262" s="87" t="n">
        <v>0</v>
      </c>
      <c r="Q262" s="87" t="n">
        <v>0</v>
      </c>
      <c r="R262" s="87" t="n">
        <v>0</v>
      </c>
      <c r="S262" s="47" t="n">
        <v>1.7</v>
      </c>
      <c r="T262" s="47" t="n">
        <v>77</v>
      </c>
      <c r="U262" s="47" t="n"/>
      <c r="V262" s="87" t="n">
        <v>0</v>
      </c>
      <c r="W262" s="87" t="n">
        <v>1</v>
      </c>
      <c r="X262" t="inlineStr">
        <is>
          <t>추석</t>
        </is>
      </c>
      <c r="Y262" t="inlineStr">
        <is>
          <t>Sep</t>
        </is>
      </c>
      <c r="Z262" s="87" t="n">
        <v>2024</v>
      </c>
      <c r="AA262" s="47">
        <f>IF(F262="",0,F262)</f>
        <v/>
      </c>
      <c r="AB262" s="87">
        <f>IF(AA262&gt;=0.1,1,0)</f>
        <v/>
      </c>
      <c r="AC262" s="87" t="n">
        <v>0</v>
      </c>
      <c r="AD262" s="47">
        <f>IF(U262="",0,U262)</f>
        <v/>
      </c>
      <c r="AE262" s="87">
        <f>IF(OR(V262=1,W262=1),1,0)</f>
        <v/>
      </c>
      <c r="AF262" s="87" t="n">
        <v>0</v>
      </c>
      <c r="AG262" t="n">
        <v>7047</v>
      </c>
      <c r="AH262" t="n">
        <v>72351</v>
      </c>
      <c r="AI262" t="n">
        <v>0</v>
      </c>
      <c r="AJ262" s="88">
        <f>IF(OR(AG262&lt;=0,AH262&lt;=0),"",LN(AG262)-LN(AH262))</f>
        <v/>
      </c>
      <c r="AK262" t="n">
        <v>14286</v>
      </c>
      <c r="AL262" t="n">
        <v>65112</v>
      </c>
      <c r="AM262" s="88">
        <f>IF(OR(AK262&lt;=0,AL262&lt;=0),"",LN(AK262)-LN(AL262))</f>
        <v/>
      </c>
      <c r="AN262" t="n">
        <v>6834</v>
      </c>
      <c r="AO262" t="n">
        <v>69672</v>
      </c>
      <c r="AP262" s="88">
        <f>IF(OR(AN262&lt;=0,AO262&lt;=0),"",LN(AN262)-LN(AO262))</f>
        <v/>
      </c>
      <c r="AQ262" t="n">
        <v>6788</v>
      </c>
      <c r="AR262" t="n">
        <v>72351</v>
      </c>
      <c r="AS262" s="88">
        <f>IF(OR(AQ262&lt;=0,AR262&lt;=0),"",LN(AQ262)-LN(AR262))</f>
        <v/>
      </c>
      <c r="AT262" t="n">
        <v>9570</v>
      </c>
      <c r="AU262" t="n">
        <v>69377</v>
      </c>
      <c r="AV262" t="n">
        <v>454</v>
      </c>
      <c r="AW262" t="n">
        <v>1451</v>
      </c>
      <c r="AX262" t="n">
        <v>5544</v>
      </c>
      <c r="AY262" s="88">
        <f>IF(OR(AT262&lt;=0,AU262&lt;=0),"",LN(AT262)-LN(AU262))</f>
        <v/>
      </c>
      <c r="AZ262" s="46" t="n">
        <v>3.5</v>
      </c>
      <c r="BA262" s="46" t="n">
        <v>14.62</v>
      </c>
      <c r="BB262" s="47" t="n">
        <v>7.4</v>
      </c>
    </row>
    <row r="263">
      <c r="A263" s="48" t="n">
        <v>45553</v>
      </c>
      <c r="B263" s="49" t="n">
        <v>101362</v>
      </c>
      <c r="C263" s="50" t="n">
        <v>10.32</v>
      </c>
      <c r="D263" s="51" t="inlineStr">
        <is>
          <t>Good</t>
        </is>
      </c>
      <c r="E263" s="52" t="n">
        <v>29.4</v>
      </c>
      <c r="F263" s="52" t="n">
        <v>0.7</v>
      </c>
      <c r="G263" s="51" t="inlineStr">
        <is>
          <t>Wed</t>
        </is>
      </c>
      <c r="H263" s="51" t="inlineStr">
        <is>
          <t>Weekday</t>
        </is>
      </c>
      <c r="I263" s="51" t="inlineStr">
        <is>
          <t>Fall</t>
        </is>
      </c>
      <c r="J263" s="51" t="n">
        <v>25</v>
      </c>
      <c r="K263" s="51" t="inlineStr">
        <is>
          <t>OK</t>
        </is>
      </c>
      <c r="L263" s="46" t="n">
        <v>16.32</v>
      </c>
      <c r="M263" t="inlineStr">
        <is>
          <t>Good</t>
        </is>
      </c>
      <c r="N263" s="87" t="n">
        <v>25</v>
      </c>
      <c r="O263" s="87" t="n">
        <v>0</v>
      </c>
      <c r="P263" s="87" t="n">
        <v>0</v>
      </c>
      <c r="Q263" s="87" t="n">
        <v>0</v>
      </c>
      <c r="R263" s="87" t="n">
        <v>0</v>
      </c>
      <c r="S263" s="47" t="n">
        <v>1.6</v>
      </c>
      <c r="T263" s="47" t="n">
        <v>76.8</v>
      </c>
      <c r="U263" s="47" t="n"/>
      <c r="V263" s="87" t="n">
        <v>0</v>
      </c>
      <c r="W263" s="87" t="n">
        <v>1</v>
      </c>
      <c r="X263" t="inlineStr">
        <is>
          <t>추석 연휴</t>
        </is>
      </c>
      <c r="Y263" t="inlineStr">
        <is>
          <t>Sep</t>
        </is>
      </c>
      <c r="Z263" s="87" t="n">
        <v>2024</v>
      </c>
      <c r="AA263" s="47">
        <f>IF(F263="",0,F263)</f>
        <v/>
      </c>
      <c r="AB263" s="87">
        <f>IF(AA263&gt;=0.1,1,0)</f>
        <v/>
      </c>
      <c r="AC263" s="87" t="n">
        <v>0</v>
      </c>
      <c r="AD263" s="47">
        <f>IF(U263="",0,U263)</f>
        <v/>
      </c>
      <c r="AE263" s="87">
        <f>IF(OR(V263=1,W263=1),1,0)</f>
        <v/>
      </c>
      <c r="AF263" s="87" t="n">
        <v>0</v>
      </c>
      <c r="AG263" t="n">
        <v>7888</v>
      </c>
      <c r="AH263" t="n">
        <v>93474</v>
      </c>
      <c r="AI263" t="n">
        <v>0</v>
      </c>
      <c r="AJ263" s="88">
        <f>IF(OR(AG263&lt;=0,AH263&lt;=0),"",LN(AG263)-LN(AH263))</f>
        <v/>
      </c>
      <c r="AK263" t="n">
        <v>17647</v>
      </c>
      <c r="AL263" t="n">
        <v>83715</v>
      </c>
      <c r="AM263" s="88">
        <f>IF(OR(AK263&lt;=0,AL263&lt;=0),"",LN(AK263)-LN(AL263))</f>
        <v/>
      </c>
      <c r="AN263" t="n">
        <v>7681</v>
      </c>
      <c r="AO263" t="n">
        <v>90032</v>
      </c>
      <c r="AP263" s="88">
        <f>IF(OR(AN263&lt;=0,AO263&lt;=0),"",LN(AN263)-LN(AO263))</f>
        <v/>
      </c>
      <c r="AQ263" t="n">
        <v>7579</v>
      </c>
      <c r="AR263" t="n">
        <v>93474</v>
      </c>
      <c r="AS263" s="88">
        <f>IF(OR(AQ263&lt;=0,AR263&lt;=0),"",LN(AQ263)-LN(AR263))</f>
        <v/>
      </c>
      <c r="AT263" t="n">
        <v>10550</v>
      </c>
      <c r="AU263" t="n">
        <v>90254</v>
      </c>
      <c r="AV263" t="n">
        <v>562</v>
      </c>
      <c r="AW263" t="n">
        <v>1375</v>
      </c>
      <c r="AX263" t="n">
        <v>6438</v>
      </c>
      <c r="AY263" s="88">
        <f>IF(OR(AT263&lt;=0,AU263&lt;=0),"",LN(AT263)-LN(AU263))</f>
        <v/>
      </c>
      <c r="AZ263" s="46" t="n">
        <v>6.5</v>
      </c>
      <c r="BA263" s="46" t="n">
        <v>17.53</v>
      </c>
      <c r="BB263" s="47" t="n">
        <v>7</v>
      </c>
    </row>
    <row r="264">
      <c r="A264" s="48" t="n">
        <v>45554</v>
      </c>
      <c r="B264" s="49" t="n">
        <v>155480</v>
      </c>
      <c r="C264" s="50" t="n">
        <v>12.64</v>
      </c>
      <c r="D264" s="51" t="inlineStr">
        <is>
          <t>Good</t>
        </is>
      </c>
      <c r="E264" s="52" t="n">
        <v>29.1</v>
      </c>
      <c r="F264" s="52" t="n"/>
      <c r="G264" s="51" t="inlineStr">
        <is>
          <t>Thu</t>
        </is>
      </c>
      <c r="H264" s="51" t="inlineStr">
        <is>
          <t>Weekday</t>
        </is>
      </c>
      <c r="I264" s="51" t="inlineStr">
        <is>
          <t>Fall</t>
        </is>
      </c>
      <c r="J264" s="51" t="n">
        <v>25</v>
      </c>
      <c r="K264" s="51" t="inlineStr">
        <is>
          <t>강수량 공란</t>
        </is>
      </c>
      <c r="L264" s="46" t="n">
        <v>19.6</v>
      </c>
      <c r="M264" t="inlineStr">
        <is>
          <t>Good</t>
        </is>
      </c>
      <c r="N264" s="87" t="n">
        <v>25</v>
      </c>
      <c r="O264" s="87" t="n">
        <v>0</v>
      </c>
      <c r="P264" s="87" t="n">
        <v>0</v>
      </c>
      <c r="Q264" s="87" t="n">
        <v>0</v>
      </c>
      <c r="R264" s="87" t="n">
        <v>0</v>
      </c>
      <c r="S264" s="47" t="n">
        <v>1.7</v>
      </c>
      <c r="T264" s="47" t="n">
        <v>77.40000000000001</v>
      </c>
      <c r="U264" s="47" t="n"/>
      <c r="V264" s="87" t="n">
        <v>0</v>
      </c>
      <c r="W264" s="87" t="n">
        <v>0</v>
      </c>
      <c r="Y264" t="inlineStr">
        <is>
          <t>Sep</t>
        </is>
      </c>
      <c r="Z264" s="87" t="n">
        <v>2024</v>
      </c>
      <c r="AA264" s="47">
        <f>IF(F264="",0,F264)</f>
        <v/>
      </c>
      <c r="AB264" s="87">
        <f>IF(AA264&gt;=0.1,1,0)</f>
        <v/>
      </c>
      <c r="AC264" s="87" t="n">
        <v>0</v>
      </c>
      <c r="AD264" s="47">
        <f>IF(U264="",0,U264)</f>
        <v/>
      </c>
      <c r="AE264" s="87">
        <f>IF(OR(V264=1,W264=1),1,0)</f>
        <v/>
      </c>
      <c r="AF264" s="87" t="n">
        <v>0</v>
      </c>
      <c r="AG264" t="n">
        <v>8341</v>
      </c>
      <c r="AH264" t="n">
        <v>147139</v>
      </c>
      <c r="AI264" t="n">
        <v>0</v>
      </c>
      <c r="AJ264" s="88">
        <f>IF(OR(AG264&lt;=0,AH264&lt;=0),"",LN(AG264)-LN(AH264))</f>
        <v/>
      </c>
      <c r="AK264" t="n">
        <v>22809</v>
      </c>
      <c r="AL264" t="n">
        <v>132671</v>
      </c>
      <c r="AM264" s="88">
        <f>IF(OR(AK264&lt;=0,AL264&lt;=0),"",LN(AK264)-LN(AL264))</f>
        <v/>
      </c>
      <c r="AN264" t="n">
        <v>8134</v>
      </c>
      <c r="AO264" t="n">
        <v>141575</v>
      </c>
      <c r="AP264" s="88">
        <f>IF(OR(AN264&lt;=0,AO264&lt;=0),"",LN(AN264)-LN(AO264))</f>
        <v/>
      </c>
      <c r="AQ264" t="n">
        <v>8141</v>
      </c>
      <c r="AR264" t="n">
        <v>147139</v>
      </c>
      <c r="AS264" s="88">
        <f>IF(OR(AQ264&lt;=0,AR264&lt;=0),"",LN(AQ264)-LN(AR264))</f>
        <v/>
      </c>
      <c r="AT264" t="n">
        <v>10612</v>
      </c>
      <c r="AU264" t="n">
        <v>144084</v>
      </c>
      <c r="AV264" t="n">
        <v>792</v>
      </c>
      <c r="AW264" t="n">
        <v>878</v>
      </c>
      <c r="AX264" t="n">
        <v>7415</v>
      </c>
      <c r="AY264" s="88">
        <f>IF(OR(AT264&lt;=0,AU264&lt;=0),"",LN(AT264)-LN(AU264))</f>
        <v/>
      </c>
      <c r="AZ264" s="46" t="n">
        <v>1.4</v>
      </c>
      <c r="BA264" s="46" t="n">
        <v>11.47</v>
      </c>
      <c r="BB264" s="47" t="n">
        <v>8.5</v>
      </c>
    </row>
    <row r="265">
      <c r="A265" s="48" t="n">
        <v>45555</v>
      </c>
      <c r="B265" s="49" t="n">
        <v>49117</v>
      </c>
      <c r="C265" s="50" t="n">
        <v>7.44</v>
      </c>
      <c r="D265" s="51" t="inlineStr">
        <is>
          <t>Good</t>
        </is>
      </c>
      <c r="E265" s="52" t="n">
        <v>25</v>
      </c>
      <c r="F265" s="52" t="n">
        <v>54.5</v>
      </c>
      <c r="G265" s="51" t="inlineStr">
        <is>
          <t>Fri</t>
        </is>
      </c>
      <c r="H265" s="51" t="inlineStr">
        <is>
          <t>Weekday</t>
        </is>
      </c>
      <c r="I265" s="51" t="inlineStr">
        <is>
          <t>Fall</t>
        </is>
      </c>
      <c r="J265" s="51" t="n">
        <v>25</v>
      </c>
      <c r="K265" s="51" t="inlineStr">
        <is>
          <t>OK</t>
        </is>
      </c>
      <c r="L265" s="46" t="n">
        <v>12.64</v>
      </c>
      <c r="M265" t="inlineStr">
        <is>
          <t>Good</t>
        </is>
      </c>
      <c r="N265" s="87" t="n">
        <v>25</v>
      </c>
      <c r="O265" s="87" t="n">
        <v>0</v>
      </c>
      <c r="P265" s="87" t="n">
        <v>0</v>
      </c>
      <c r="Q265" s="87" t="n">
        <v>0</v>
      </c>
      <c r="R265" s="87" t="n">
        <v>0</v>
      </c>
      <c r="S265" s="47" t="n">
        <v>2.4</v>
      </c>
      <c r="T265" s="47" t="n">
        <v>89.8</v>
      </c>
      <c r="U265" s="47" t="n"/>
      <c r="V265" s="87" t="n">
        <v>0</v>
      </c>
      <c r="W265" s="87" t="n">
        <v>0</v>
      </c>
      <c r="Y265" t="inlineStr">
        <is>
          <t>Sep</t>
        </is>
      </c>
      <c r="Z265" s="87" t="n">
        <v>2024</v>
      </c>
      <c r="AA265" s="47">
        <f>IF(F265="",0,F265)</f>
        <v/>
      </c>
      <c r="AB265" s="87">
        <f>IF(AA265&gt;=0.1,1,0)</f>
        <v/>
      </c>
      <c r="AC265" s="87" t="n">
        <v>0</v>
      </c>
      <c r="AD265" s="47">
        <f>IF(U265="",0,U265)</f>
        <v/>
      </c>
      <c r="AE265" s="87">
        <f>IF(OR(V265=1,W265=1),1,0)</f>
        <v/>
      </c>
      <c r="AF265" s="87" t="n">
        <v>0</v>
      </c>
      <c r="AG265" t="n">
        <v>2480</v>
      </c>
      <c r="AH265" t="n">
        <v>46637</v>
      </c>
      <c r="AI265" t="n">
        <v>0</v>
      </c>
      <c r="AJ265" s="88">
        <f>IF(OR(AG265&lt;=0,AH265&lt;=0),"",LN(AG265)-LN(AH265))</f>
        <v/>
      </c>
      <c r="AK265" t="n">
        <v>6640</v>
      </c>
      <c r="AL265" t="n">
        <v>42477</v>
      </c>
      <c r="AM265" s="88">
        <f>IF(OR(AK265&lt;=0,AL265&lt;=0),"",LN(AK265)-LN(AL265))</f>
        <v/>
      </c>
      <c r="AN265" t="n">
        <v>2439</v>
      </c>
      <c r="AO265" t="n">
        <v>44946</v>
      </c>
      <c r="AP265" s="88">
        <f>IF(OR(AN265&lt;=0,AO265&lt;=0),"",LN(AN265)-LN(AO265))</f>
        <v/>
      </c>
      <c r="AQ265" t="n">
        <v>2403</v>
      </c>
      <c r="AR265" t="n">
        <v>46637</v>
      </c>
      <c r="AS265" s="88">
        <f>IF(OR(AQ265&lt;=0,AR265&lt;=0),"",LN(AQ265)-LN(AR265))</f>
        <v/>
      </c>
      <c r="AT265" t="n">
        <v>2530</v>
      </c>
      <c r="AU265" t="n">
        <v>46342</v>
      </c>
      <c r="AV265" t="n">
        <v>256</v>
      </c>
      <c r="AW265" t="n">
        <v>166</v>
      </c>
      <c r="AX265" t="n">
        <v>2301</v>
      </c>
      <c r="AY265" s="88">
        <f>IF(OR(AT265&lt;=0,AU265&lt;=0),"",LN(AT265)-LN(AU265))</f>
        <v/>
      </c>
      <c r="AZ265" s="46" t="n">
        <v>0.1</v>
      </c>
      <c r="BA265" s="46" t="n">
        <v>3.58</v>
      </c>
      <c r="BB265" s="47" t="n">
        <v>10</v>
      </c>
    </row>
    <row r="266">
      <c r="A266" s="48" t="n">
        <v>45556</v>
      </c>
      <c r="B266" s="49" t="n">
        <v>112108</v>
      </c>
      <c r="C266" s="50" t="n">
        <v>1.4</v>
      </c>
      <c r="D266" s="51" t="inlineStr">
        <is>
          <t>Good</t>
        </is>
      </c>
      <c r="E266" s="52" t="n">
        <v>19.3</v>
      </c>
      <c r="F266" s="52" t="n">
        <v>27</v>
      </c>
      <c r="G266" s="51" t="inlineStr">
        <is>
          <t>Sat</t>
        </is>
      </c>
      <c r="H266" s="51" t="inlineStr">
        <is>
          <t>Weekend</t>
        </is>
      </c>
      <c r="I266" s="51" t="inlineStr">
        <is>
          <t>Fall</t>
        </is>
      </c>
      <c r="J266" s="51" t="n">
        <v>25</v>
      </c>
      <c r="K266" s="51" t="inlineStr">
        <is>
          <t>OK</t>
        </is>
      </c>
      <c r="L266" s="46" t="n">
        <v>4.64</v>
      </c>
      <c r="M266" t="inlineStr">
        <is>
          <t>Good</t>
        </is>
      </c>
      <c r="N266" s="87" t="n">
        <v>25</v>
      </c>
      <c r="O266" s="87" t="n">
        <v>0</v>
      </c>
      <c r="P266" s="87" t="n">
        <v>0</v>
      </c>
      <c r="Q266" s="87" t="n">
        <v>0</v>
      </c>
      <c r="R266" s="87" t="n">
        <v>0</v>
      </c>
      <c r="S266" s="47" t="n">
        <v>4.3</v>
      </c>
      <c r="T266" s="47" t="n">
        <v>82.3</v>
      </c>
      <c r="U266" s="47" t="n"/>
      <c r="V266" s="87" t="n">
        <v>1</v>
      </c>
      <c r="W266" s="87" t="n">
        <v>0</v>
      </c>
      <c r="Y266" t="inlineStr">
        <is>
          <t>Sep</t>
        </is>
      </c>
      <c r="Z266" s="87" t="n">
        <v>2024</v>
      </c>
      <c r="AA266" s="47">
        <f>IF(F266="",0,F266)</f>
        <v/>
      </c>
      <c r="AB266" s="87">
        <f>IF(AA266&gt;=0.1,1,0)</f>
        <v/>
      </c>
      <c r="AC266" s="87" t="n">
        <v>0</v>
      </c>
      <c r="AD266" s="47">
        <f>IF(U266="",0,U266)</f>
        <v/>
      </c>
      <c r="AE266" s="87">
        <f>IF(OR(V266=1,W266=1),1,0)</f>
        <v/>
      </c>
      <c r="AF266" s="87" t="n">
        <v>0</v>
      </c>
      <c r="AG266" t="n">
        <v>8874</v>
      </c>
      <c r="AH266" t="n">
        <v>103234</v>
      </c>
      <c r="AI266" t="n">
        <v>0</v>
      </c>
      <c r="AJ266" s="88">
        <f>IF(OR(AG266&lt;=0,AH266&lt;=0),"",LN(AG266)-LN(AH266))</f>
        <v/>
      </c>
      <c r="AK266" t="n">
        <v>20048</v>
      </c>
      <c r="AL266" t="n">
        <v>92060</v>
      </c>
      <c r="AM266" s="88">
        <f>IF(OR(AK266&lt;=0,AL266&lt;=0),"",LN(AK266)-LN(AL266))</f>
        <v/>
      </c>
      <c r="AN266" t="n">
        <v>8611</v>
      </c>
      <c r="AO266" t="n">
        <v>99393</v>
      </c>
      <c r="AP266" s="88">
        <f>IF(OR(AN266&lt;=0,AO266&lt;=0),"",LN(AN266)-LN(AO266))</f>
        <v/>
      </c>
      <c r="AQ266" t="n">
        <v>8599</v>
      </c>
      <c r="AR266" t="n">
        <v>103234</v>
      </c>
      <c r="AS266" s="88">
        <f>IF(OR(AQ266&lt;=0,AR266&lt;=0),"",LN(AQ266)-LN(AR266))</f>
        <v/>
      </c>
      <c r="AT266" t="n">
        <v>10774</v>
      </c>
      <c r="AU266" t="n">
        <v>100525</v>
      </c>
      <c r="AV266" t="n">
        <v>809</v>
      </c>
      <c r="AW266" t="n">
        <v>1418</v>
      </c>
      <c r="AX266" t="n">
        <v>7363</v>
      </c>
      <c r="AY266" s="88">
        <f>IF(OR(AT266&lt;=0,AU266&lt;=0),"",LN(AT266)-LN(AU266))</f>
        <v/>
      </c>
      <c r="AZ266" s="46" t="n">
        <v>0</v>
      </c>
      <c r="BA266" s="46" t="n">
        <v>6.31</v>
      </c>
      <c r="BB266" s="47" t="n">
        <v>8.5</v>
      </c>
    </row>
    <row r="267">
      <c r="A267" s="48" t="n">
        <v>45557</v>
      </c>
      <c r="B267" s="49" t="n">
        <v>159558</v>
      </c>
      <c r="C267" s="50" t="n">
        <v>1.56</v>
      </c>
      <c r="D267" s="51" t="inlineStr">
        <is>
          <t>Good</t>
        </is>
      </c>
      <c r="E267" s="52" t="n">
        <v>21</v>
      </c>
      <c r="F267" s="52" t="n"/>
      <c r="G267" s="51" t="inlineStr">
        <is>
          <t>Sun</t>
        </is>
      </c>
      <c r="H267" s="51" t="inlineStr">
        <is>
          <t>Weekend</t>
        </is>
      </c>
      <c r="I267" s="51" t="inlineStr">
        <is>
          <t>Fall</t>
        </is>
      </c>
      <c r="J267" s="51" t="n">
        <v>25</v>
      </c>
      <c r="K267" s="51" t="inlineStr">
        <is>
          <t>강수량 공란</t>
        </is>
      </c>
      <c r="L267" s="46" t="n">
        <v>4.52</v>
      </c>
      <c r="M267" t="inlineStr">
        <is>
          <t>Good</t>
        </is>
      </c>
      <c r="N267" s="87" t="n">
        <v>25</v>
      </c>
      <c r="O267" s="87" t="n">
        <v>0</v>
      </c>
      <c r="P267" s="87" t="n">
        <v>0</v>
      </c>
      <c r="Q267" s="87" t="n">
        <v>0</v>
      </c>
      <c r="R267" s="87" t="n">
        <v>0</v>
      </c>
      <c r="S267" s="47" t="n">
        <v>2.7</v>
      </c>
      <c r="T267" s="47" t="n">
        <v>67.40000000000001</v>
      </c>
      <c r="U267" s="47" t="n"/>
      <c r="V267" s="87" t="n">
        <v>1</v>
      </c>
      <c r="W267" s="87" t="n">
        <v>0</v>
      </c>
      <c r="Y267" t="inlineStr">
        <is>
          <t>Sep</t>
        </is>
      </c>
      <c r="Z267" s="87" t="n">
        <v>2024</v>
      </c>
      <c r="AA267" s="47">
        <f>IF(F267="",0,F267)</f>
        <v/>
      </c>
      <c r="AB267" s="87">
        <f>IF(AA267&gt;=0.1,1,0)</f>
        <v/>
      </c>
      <c r="AC267" s="87" t="n">
        <v>0</v>
      </c>
      <c r="AD267" s="47">
        <f>IF(U267="",0,U267)</f>
        <v/>
      </c>
      <c r="AE267" s="87">
        <f>IF(OR(V267=1,W267=1),1,0)</f>
        <v/>
      </c>
      <c r="AF267" s="87" t="n">
        <v>0</v>
      </c>
      <c r="AG267" t="n">
        <v>16760</v>
      </c>
      <c r="AH267" t="n">
        <v>142798</v>
      </c>
      <c r="AI267" t="n">
        <v>0</v>
      </c>
      <c r="AJ267" s="88">
        <f>IF(OR(AG267&lt;=0,AH267&lt;=0),"",LN(AG267)-LN(AH267))</f>
        <v/>
      </c>
      <c r="AK267" t="n">
        <v>33490</v>
      </c>
      <c r="AL267" t="n">
        <v>126068</v>
      </c>
      <c r="AM267" s="88">
        <f>IF(OR(AK267&lt;=0,AL267&lt;=0),"",LN(AK267)-LN(AL267))</f>
        <v/>
      </c>
      <c r="AN267" t="n">
        <v>16272</v>
      </c>
      <c r="AO267" t="n">
        <v>137619</v>
      </c>
      <c r="AP267" s="88">
        <f>IF(OR(AN267&lt;=0,AO267&lt;=0),"",LN(AN267)-LN(AO267))</f>
        <v/>
      </c>
      <c r="AQ267" t="n">
        <v>16213</v>
      </c>
      <c r="AR267" t="n">
        <v>142798</v>
      </c>
      <c r="AS267" s="88">
        <f>IF(OR(AQ267&lt;=0,AR267&lt;=0),"",LN(AQ267)-LN(AR267))</f>
        <v/>
      </c>
      <c r="AT267" t="n">
        <v>16572</v>
      </c>
      <c r="AU267" t="n">
        <v>141822</v>
      </c>
      <c r="AV267" t="n">
        <v>1169</v>
      </c>
      <c r="AW267" t="n">
        <v>2838</v>
      </c>
      <c r="AX267" t="n">
        <v>13736</v>
      </c>
      <c r="AY267" s="88">
        <f>IF(OR(AT267&lt;=0,AU267&lt;=0),"",LN(AT267)-LN(AU267))</f>
        <v/>
      </c>
      <c r="AZ267" s="46" t="n">
        <v>7.2</v>
      </c>
      <c r="BA267" s="46" t="n">
        <v>19.34</v>
      </c>
      <c r="BB267" s="47" t="n">
        <v>4.5</v>
      </c>
    </row>
    <row r="268">
      <c r="A268" s="48" t="n">
        <v>45558</v>
      </c>
      <c r="B268" s="49" t="n">
        <v>188292</v>
      </c>
      <c r="C268" s="50" t="n">
        <v>2.64</v>
      </c>
      <c r="D268" s="51" t="inlineStr">
        <is>
          <t>Good</t>
        </is>
      </c>
      <c r="E268" s="52" t="n">
        <v>20.8</v>
      </c>
      <c r="F268" s="52" t="n"/>
      <c r="G268" s="51" t="inlineStr">
        <is>
          <t>Mon</t>
        </is>
      </c>
      <c r="H268" s="51" t="inlineStr">
        <is>
          <t>Weekday</t>
        </is>
      </c>
      <c r="I268" s="51" t="inlineStr">
        <is>
          <t>Fall</t>
        </is>
      </c>
      <c r="J268" s="51" t="n">
        <v>25</v>
      </c>
      <c r="K268" s="51" t="inlineStr">
        <is>
          <t>강수량 공란</t>
        </is>
      </c>
      <c r="L268" s="46" t="n">
        <v>8.24</v>
      </c>
      <c r="M268" t="inlineStr">
        <is>
          <t>Good</t>
        </is>
      </c>
      <c r="N268" s="87" t="n">
        <v>25</v>
      </c>
      <c r="O268" s="87" t="n">
        <v>0</v>
      </c>
      <c r="P268" s="87" t="n">
        <v>0</v>
      </c>
      <c r="Q268" s="87" t="n">
        <v>0</v>
      </c>
      <c r="R268" s="87" t="n">
        <v>0</v>
      </c>
      <c r="S268" s="47" t="n">
        <v>3.1</v>
      </c>
      <c r="T268" s="47" t="n">
        <v>58.3</v>
      </c>
      <c r="U268" s="47" t="n"/>
      <c r="V268" s="87" t="n">
        <v>0</v>
      </c>
      <c r="W268" s="87" t="n">
        <v>0</v>
      </c>
      <c r="Y268" t="inlineStr">
        <is>
          <t>Sep</t>
        </is>
      </c>
      <c r="Z268" s="87" t="n">
        <v>2024</v>
      </c>
      <c r="AA268" s="47">
        <f>IF(F268="",0,F268)</f>
        <v/>
      </c>
      <c r="AB268" s="87">
        <f>IF(AA268&gt;=0.1,1,0)</f>
        <v/>
      </c>
      <c r="AC268" s="87" t="n">
        <v>0</v>
      </c>
      <c r="AD268" s="47">
        <f>IF(U268="",0,U268)</f>
        <v/>
      </c>
      <c r="AE268" s="87">
        <f>IF(OR(V268=1,W268=1),1,0)</f>
        <v/>
      </c>
      <c r="AF268" s="87" t="n">
        <v>0</v>
      </c>
      <c r="AG268" t="n">
        <v>12761</v>
      </c>
      <c r="AH268" t="n">
        <v>175531</v>
      </c>
      <c r="AI268" t="n">
        <v>0</v>
      </c>
      <c r="AJ268" s="88">
        <f>IF(OR(AG268&lt;=0,AH268&lt;=0),"",LN(AG268)-LN(AH268))</f>
        <v/>
      </c>
      <c r="AK268" t="n">
        <v>30782</v>
      </c>
      <c r="AL268" t="n">
        <v>157510</v>
      </c>
      <c r="AM268" s="88">
        <f>IF(OR(AK268&lt;=0,AL268&lt;=0),"",LN(AK268)-LN(AL268))</f>
        <v/>
      </c>
      <c r="AN268" t="n">
        <v>12417</v>
      </c>
      <c r="AO268" t="n">
        <v>168980</v>
      </c>
      <c r="AP268" s="88">
        <f>IF(OR(AN268&lt;=0,AO268&lt;=0),"",LN(AN268)-LN(AO268))</f>
        <v/>
      </c>
      <c r="AQ268" t="n">
        <v>12441</v>
      </c>
      <c r="AR268" t="n">
        <v>175531</v>
      </c>
      <c r="AS268" s="88">
        <f>IF(OR(AQ268&lt;=0,AR268&lt;=0),"",LN(AQ268)-LN(AR268))</f>
        <v/>
      </c>
      <c r="AT268" t="n">
        <v>12192</v>
      </c>
      <c r="AU268" t="n">
        <v>174819</v>
      </c>
      <c r="AV268" t="n">
        <v>1284</v>
      </c>
      <c r="AW268" t="n">
        <v>1443</v>
      </c>
      <c r="AX268" t="n">
        <v>11211</v>
      </c>
      <c r="AY268" s="88">
        <f>IF(OR(AT268&lt;=0,AU268&lt;=0),"",LN(AT268)-LN(AU268))</f>
        <v/>
      </c>
      <c r="AZ268" s="46" t="n">
        <v>11.4</v>
      </c>
      <c r="BA268" s="46" t="n">
        <v>22.31</v>
      </c>
      <c r="BB268" s="47" t="n">
        <v>0.8</v>
      </c>
    </row>
    <row r="269">
      <c r="A269" s="48" t="n">
        <v>45559</v>
      </c>
      <c r="B269" s="49" t="n">
        <v>191155</v>
      </c>
      <c r="C269" s="50" t="n">
        <v>4.76</v>
      </c>
      <c r="D269" s="51" t="inlineStr">
        <is>
          <t>Good</t>
        </is>
      </c>
      <c r="E269" s="52" t="n">
        <v>21</v>
      </c>
      <c r="F269" s="52" t="n"/>
      <c r="G269" s="51" t="inlineStr">
        <is>
          <t>Tue</t>
        </is>
      </c>
      <c r="H269" s="51" t="inlineStr">
        <is>
          <t>Weekday</t>
        </is>
      </c>
      <c r="I269" s="51" t="inlineStr">
        <is>
          <t>Fall</t>
        </is>
      </c>
      <c r="J269" s="51" t="n">
        <v>25</v>
      </c>
      <c r="K269" s="51" t="inlineStr">
        <is>
          <t>강수량 공란</t>
        </is>
      </c>
      <c r="L269" s="46" t="n">
        <v>12.28</v>
      </c>
      <c r="M269" t="inlineStr">
        <is>
          <t>Good</t>
        </is>
      </c>
      <c r="N269" s="87" t="n">
        <v>25</v>
      </c>
      <c r="O269" s="87" t="n">
        <v>0</v>
      </c>
      <c r="P269" s="87" t="n">
        <v>0</v>
      </c>
      <c r="Q269" s="87" t="n">
        <v>0</v>
      </c>
      <c r="R269" s="87" t="n">
        <v>0</v>
      </c>
      <c r="S269" s="47" t="n">
        <v>2.2</v>
      </c>
      <c r="T269" s="47" t="n">
        <v>57.9</v>
      </c>
      <c r="U269" s="47" t="n"/>
      <c r="V269" s="87" t="n">
        <v>0</v>
      </c>
      <c r="W269" s="87" t="n">
        <v>0</v>
      </c>
      <c r="Y269" t="inlineStr">
        <is>
          <t>Sep</t>
        </is>
      </c>
      <c r="Z269" s="87" t="n">
        <v>2024</v>
      </c>
      <c r="AA269" s="47">
        <f>IF(F269="",0,F269)</f>
        <v/>
      </c>
      <c r="AB269" s="87">
        <f>IF(AA269&gt;=0.1,1,0)</f>
        <v/>
      </c>
      <c r="AC269" s="87" t="n">
        <v>0</v>
      </c>
      <c r="AD269" s="47">
        <f>IF(U269="",0,U269)</f>
        <v/>
      </c>
      <c r="AE269" s="87">
        <f>IF(OR(V269=1,W269=1),1,0)</f>
        <v/>
      </c>
      <c r="AF269" s="87" t="n">
        <v>0</v>
      </c>
      <c r="AG269" t="n">
        <v>12251</v>
      </c>
      <c r="AH269" t="n">
        <v>178904</v>
      </c>
      <c r="AI269" t="n">
        <v>0</v>
      </c>
      <c r="AJ269" s="88">
        <f>IF(OR(AG269&lt;=0,AH269&lt;=0),"",LN(AG269)-LN(AH269))</f>
        <v/>
      </c>
      <c r="AK269" t="n">
        <v>30226</v>
      </c>
      <c r="AL269" t="n">
        <v>160929</v>
      </c>
      <c r="AM269" s="88">
        <f>IF(OR(AK269&lt;=0,AL269&lt;=0),"",LN(AK269)-LN(AL269))</f>
        <v/>
      </c>
      <c r="AN269" t="n">
        <v>11948</v>
      </c>
      <c r="AO269" t="n">
        <v>172191</v>
      </c>
      <c r="AP269" s="88">
        <f>IF(OR(AN269&lt;=0,AO269&lt;=0),"",LN(AN269)-LN(AO269))</f>
        <v/>
      </c>
      <c r="AQ269" t="n">
        <v>11912</v>
      </c>
      <c r="AR269" t="n">
        <v>178904</v>
      </c>
      <c r="AS269" s="88">
        <f>IF(OR(AQ269&lt;=0,AR269&lt;=0),"",LN(AQ269)-LN(AR269))</f>
        <v/>
      </c>
      <c r="AT269" t="n">
        <v>11779</v>
      </c>
      <c r="AU269" t="n">
        <v>178111</v>
      </c>
      <c r="AV269" t="n">
        <v>1277</v>
      </c>
      <c r="AW269" t="n">
        <v>1281</v>
      </c>
      <c r="AX269" t="n">
        <v>10872</v>
      </c>
      <c r="AY269" s="88">
        <f>IF(OR(AT269&lt;=0,AU269&lt;=0),"",LN(AT269)-LN(AU269))</f>
        <v/>
      </c>
      <c r="AZ269" s="46" t="n">
        <v>11.1</v>
      </c>
      <c r="BA269" s="46" t="n">
        <v>22.03</v>
      </c>
      <c r="BB269" s="47" t="n">
        <v>1</v>
      </c>
    </row>
    <row r="270">
      <c r="A270" s="48" t="n">
        <v>45560</v>
      </c>
      <c r="B270" s="49" t="n">
        <v>187724</v>
      </c>
      <c r="C270" s="50" t="n">
        <v>7.6</v>
      </c>
      <c r="D270" s="51" t="inlineStr">
        <is>
          <t>Good</t>
        </is>
      </c>
      <c r="E270" s="52" t="n">
        <v>23.3</v>
      </c>
      <c r="F270" s="52" t="n">
        <v>0</v>
      </c>
      <c r="G270" s="51" t="inlineStr">
        <is>
          <t>Wed</t>
        </is>
      </c>
      <c r="H270" s="51" t="inlineStr">
        <is>
          <t>Weekday</t>
        </is>
      </c>
      <c r="I270" s="51" t="inlineStr">
        <is>
          <t>Fall</t>
        </is>
      </c>
      <c r="J270" s="51" t="n">
        <v>25</v>
      </c>
      <c r="K270" s="51" t="inlineStr">
        <is>
          <t>OK</t>
        </is>
      </c>
      <c r="L270" s="46" t="n">
        <v>17.12</v>
      </c>
      <c r="M270" t="inlineStr">
        <is>
          <t>Good</t>
        </is>
      </c>
      <c r="N270" s="87" t="n">
        <v>25</v>
      </c>
      <c r="O270" s="87" t="n">
        <v>0</v>
      </c>
      <c r="P270" s="87" t="n">
        <v>0</v>
      </c>
      <c r="Q270" s="87" t="n">
        <v>0</v>
      </c>
      <c r="R270" s="87" t="n">
        <v>0</v>
      </c>
      <c r="S270" s="47" t="n">
        <v>1.7</v>
      </c>
      <c r="T270" s="47" t="n">
        <v>65.59999999999999</v>
      </c>
      <c r="U270" s="47" t="n"/>
      <c r="V270" s="87" t="n">
        <v>0</v>
      </c>
      <c r="W270" s="87" t="n">
        <v>0</v>
      </c>
      <c r="Y270" t="inlineStr">
        <is>
          <t>Sep</t>
        </is>
      </c>
      <c r="Z270" s="87" t="n">
        <v>2024</v>
      </c>
      <c r="AA270" s="47">
        <f>IF(F270="",0,F270)</f>
        <v/>
      </c>
      <c r="AB270" s="87">
        <f>IF(AA270&gt;=0.1,1,0)</f>
        <v/>
      </c>
      <c r="AC270" s="87" t="n">
        <v>1</v>
      </c>
      <c r="AD270" s="47">
        <f>IF(U270="",0,U270)</f>
        <v/>
      </c>
      <c r="AE270" s="87">
        <f>IF(OR(V270=1,W270=1),1,0)</f>
        <v/>
      </c>
      <c r="AF270" s="87" t="n">
        <v>0</v>
      </c>
      <c r="AG270" t="n">
        <v>11499</v>
      </c>
      <c r="AH270" t="n">
        <v>176225</v>
      </c>
      <c r="AI270" t="n">
        <v>0</v>
      </c>
      <c r="AJ270" s="88">
        <f>IF(OR(AG270&lt;=0,AH270&lt;=0),"",LN(AG270)-LN(AH270))</f>
        <v/>
      </c>
      <c r="AK270" t="n">
        <v>28994</v>
      </c>
      <c r="AL270" t="n">
        <v>158730</v>
      </c>
      <c r="AM270" s="88">
        <f>IF(OR(AK270&lt;=0,AL270&lt;=0),"",LN(AK270)-LN(AL270))</f>
        <v/>
      </c>
      <c r="AN270" t="n">
        <v>11217</v>
      </c>
      <c r="AO270" t="n">
        <v>169433</v>
      </c>
      <c r="AP270" s="88">
        <f>IF(OR(AN270&lt;=0,AO270&lt;=0),"",LN(AN270)-LN(AO270))</f>
        <v/>
      </c>
      <c r="AQ270" t="n">
        <v>11188</v>
      </c>
      <c r="AR270" t="n">
        <v>176225</v>
      </c>
      <c r="AS270" s="88">
        <f>IF(OR(AQ270&lt;=0,AR270&lt;=0),"",LN(AQ270)-LN(AR270))</f>
        <v/>
      </c>
      <c r="AT270" t="n">
        <v>11460</v>
      </c>
      <c r="AU270" t="n">
        <v>175077</v>
      </c>
      <c r="AV270" t="n">
        <v>1193</v>
      </c>
      <c r="AW270" t="n">
        <v>1174</v>
      </c>
      <c r="AX270" t="n">
        <v>10229</v>
      </c>
      <c r="AY270" s="88">
        <f>IF(OR(AT270&lt;=0,AU270&lt;=0),"",LN(AT270)-LN(AU270))</f>
        <v/>
      </c>
      <c r="AZ270" s="46" t="n">
        <v>6.1</v>
      </c>
      <c r="BA270" s="46" t="n">
        <v>13.51</v>
      </c>
      <c r="BB270" s="47" t="n">
        <v>5.8</v>
      </c>
    </row>
    <row r="271">
      <c r="A271" s="48" t="n">
        <v>45561</v>
      </c>
      <c r="B271" s="49" t="n">
        <v>176097</v>
      </c>
      <c r="C271" s="50" t="n">
        <v>10.24</v>
      </c>
      <c r="D271" s="51" t="inlineStr">
        <is>
          <t>Good</t>
        </is>
      </c>
      <c r="E271" s="52" t="n">
        <v>23.6</v>
      </c>
      <c r="F271" s="52" t="n">
        <v>1.2</v>
      </c>
      <c r="G271" s="51" t="inlineStr">
        <is>
          <t>Thu</t>
        </is>
      </c>
      <c r="H271" s="51" t="inlineStr">
        <is>
          <t>Weekday</t>
        </is>
      </c>
      <c r="I271" s="51" t="inlineStr">
        <is>
          <t>Fall</t>
        </is>
      </c>
      <c r="J271" s="51" t="n">
        <v>25</v>
      </c>
      <c r="K271" s="51" t="inlineStr">
        <is>
          <t>OK</t>
        </is>
      </c>
      <c r="L271" s="46" t="n">
        <v>17.88</v>
      </c>
      <c r="M271" t="inlineStr">
        <is>
          <t>Good</t>
        </is>
      </c>
      <c r="N271" s="87" t="n">
        <v>25</v>
      </c>
      <c r="O271" s="87" t="n">
        <v>0</v>
      </c>
      <c r="P271" s="87" t="n">
        <v>0</v>
      </c>
      <c r="Q271" s="87" t="n">
        <v>0</v>
      </c>
      <c r="R271" s="87" t="n">
        <v>0</v>
      </c>
      <c r="S271" s="47" t="n">
        <v>1.6</v>
      </c>
      <c r="T271" s="47" t="n">
        <v>75.09999999999999</v>
      </c>
      <c r="U271" s="47" t="n"/>
      <c r="V271" s="87" t="n">
        <v>0</v>
      </c>
      <c r="W271" s="87" t="n">
        <v>0</v>
      </c>
      <c r="Y271" t="inlineStr">
        <is>
          <t>Sep</t>
        </is>
      </c>
      <c r="Z271" s="87" t="n">
        <v>2024</v>
      </c>
      <c r="AA271" s="47">
        <f>IF(F271="",0,F271)</f>
        <v/>
      </c>
      <c r="AB271" s="87">
        <f>IF(AA271&gt;=0.1,1,0)</f>
        <v/>
      </c>
      <c r="AC271" s="87" t="n">
        <v>0</v>
      </c>
      <c r="AD271" s="47">
        <f>IF(U271="",0,U271)</f>
        <v/>
      </c>
      <c r="AE271" s="87">
        <f>IF(OR(V271=1,W271=1),1,0)</f>
        <v/>
      </c>
      <c r="AF271" s="87" t="n">
        <v>0</v>
      </c>
      <c r="AG271" t="n">
        <v>10628</v>
      </c>
      <c r="AH271" t="n">
        <v>165469</v>
      </c>
      <c r="AI271" t="n">
        <v>0</v>
      </c>
      <c r="AJ271" s="88">
        <f>IF(OR(AG271&lt;=0,AH271&lt;=0),"",LN(AG271)-LN(AH271))</f>
        <v/>
      </c>
      <c r="AK271" t="n">
        <v>27693</v>
      </c>
      <c r="AL271" t="n">
        <v>148404</v>
      </c>
      <c r="AM271" s="88">
        <f>IF(OR(AK271&lt;=0,AL271&lt;=0),"",LN(AK271)-LN(AL271))</f>
        <v/>
      </c>
      <c r="AN271" t="n">
        <v>10392</v>
      </c>
      <c r="AO271" t="n">
        <v>158974</v>
      </c>
      <c r="AP271" s="88">
        <f>IF(OR(AN271&lt;=0,AO271&lt;=0),"",LN(AN271)-LN(AO271))</f>
        <v/>
      </c>
      <c r="AQ271" t="n">
        <v>10337</v>
      </c>
      <c r="AR271" t="n">
        <v>165469</v>
      </c>
      <c r="AS271" s="88">
        <f>IF(OR(AQ271&lt;=0,AR271&lt;=0),"",LN(AQ271)-LN(AR271))</f>
        <v/>
      </c>
      <c r="AT271" t="n">
        <v>11187</v>
      </c>
      <c r="AU271" t="n">
        <v>163826</v>
      </c>
      <c r="AV271" t="n">
        <v>1087</v>
      </c>
      <c r="AW271" t="n">
        <v>1127</v>
      </c>
      <c r="AX271" t="n">
        <v>9424</v>
      </c>
      <c r="AY271" s="88">
        <f>IF(OR(AT271&lt;=0,AU271&lt;=0),"",LN(AT271)-LN(AU271))</f>
        <v/>
      </c>
      <c r="AZ271" s="46" t="n">
        <v>5.9</v>
      </c>
      <c r="BA271" s="46" t="n">
        <v>14.01</v>
      </c>
      <c r="BB271" s="47" t="n">
        <v>4.8</v>
      </c>
    </row>
    <row r="272">
      <c r="A272" s="48" t="n">
        <v>45562</v>
      </c>
      <c r="B272" s="49" t="n">
        <v>191564</v>
      </c>
      <c r="C272" s="50" t="n">
        <v>8.720000000000001</v>
      </c>
      <c r="D272" s="51" t="inlineStr">
        <is>
          <t>Good</t>
        </is>
      </c>
      <c r="E272" s="52" t="n">
        <v>22.7</v>
      </c>
      <c r="F272" s="52" t="n"/>
      <c r="G272" s="51" t="inlineStr">
        <is>
          <t>Fri</t>
        </is>
      </c>
      <c r="H272" s="51" t="inlineStr">
        <is>
          <t>Weekday</t>
        </is>
      </c>
      <c r="I272" s="51" t="inlineStr">
        <is>
          <t>Fall</t>
        </is>
      </c>
      <c r="J272" s="51" t="n">
        <v>25</v>
      </c>
      <c r="K272" s="51" t="inlineStr">
        <is>
          <t>강수량 공란</t>
        </is>
      </c>
      <c r="L272" s="46" t="n">
        <v>15.84</v>
      </c>
      <c r="M272" t="inlineStr">
        <is>
          <t>Good</t>
        </is>
      </c>
      <c r="N272" s="87" t="n">
        <v>25</v>
      </c>
      <c r="O272" s="87" t="n">
        <v>0</v>
      </c>
      <c r="P272" s="87" t="n">
        <v>0</v>
      </c>
      <c r="Q272" s="87" t="n">
        <v>0</v>
      </c>
      <c r="R272" s="87" t="n">
        <v>0</v>
      </c>
      <c r="S272" s="47" t="n">
        <v>2.4</v>
      </c>
      <c r="T272" s="47" t="n">
        <v>72.8</v>
      </c>
      <c r="U272" s="47" t="n"/>
      <c r="V272" s="87" t="n">
        <v>0</v>
      </c>
      <c r="W272" s="87" t="n">
        <v>0</v>
      </c>
      <c r="Y272" t="inlineStr">
        <is>
          <t>Sep</t>
        </is>
      </c>
      <c r="Z272" s="87" t="n">
        <v>2024</v>
      </c>
      <c r="AA272" s="47">
        <f>IF(F272="",0,F272)</f>
        <v/>
      </c>
      <c r="AB272" s="87">
        <f>IF(AA272&gt;=0.1,1,0)</f>
        <v/>
      </c>
      <c r="AC272" s="87" t="n">
        <v>0</v>
      </c>
      <c r="AD272" s="47">
        <f>IF(U272="",0,U272)</f>
        <v/>
      </c>
      <c r="AE272" s="87">
        <f>IF(OR(V272=1,W272=1),1,0)</f>
        <v/>
      </c>
      <c r="AF272" s="87" t="n">
        <v>0</v>
      </c>
      <c r="AG272" t="n">
        <v>12666</v>
      </c>
      <c r="AH272" t="n">
        <v>178898</v>
      </c>
      <c r="AI272" t="n">
        <v>0</v>
      </c>
      <c r="AJ272" s="88">
        <f>IF(OR(AG272&lt;=0,AH272&lt;=0),"",LN(AG272)-LN(AH272))</f>
        <v/>
      </c>
      <c r="AK272" t="n">
        <v>30820</v>
      </c>
      <c r="AL272" t="n">
        <v>160744</v>
      </c>
      <c r="AM272" s="88">
        <f>IF(OR(AK272&lt;=0,AL272&lt;=0),"",LN(AK272)-LN(AL272))</f>
        <v/>
      </c>
      <c r="AN272" t="n">
        <v>12377</v>
      </c>
      <c r="AO272" t="n">
        <v>171860</v>
      </c>
      <c r="AP272" s="88">
        <f>IF(OR(AN272&lt;=0,AO272&lt;=0),"",LN(AN272)-LN(AO272))</f>
        <v/>
      </c>
      <c r="AQ272" t="n">
        <v>12304</v>
      </c>
      <c r="AR272" t="n">
        <v>178898</v>
      </c>
      <c r="AS272" s="88">
        <f>IF(OR(AQ272&lt;=0,AR272&lt;=0),"",LN(AQ272)-LN(AR272))</f>
        <v/>
      </c>
      <c r="AT272" t="n">
        <v>12020</v>
      </c>
      <c r="AU272" t="n">
        <v>178325</v>
      </c>
      <c r="AV272" t="n">
        <v>1227</v>
      </c>
      <c r="AW272" t="n">
        <v>1377</v>
      </c>
      <c r="AX272" t="n">
        <v>11201</v>
      </c>
      <c r="AY272" s="88">
        <f>IF(OR(AT272&lt;=0,AU272&lt;=0),"",LN(AT272)-LN(AU272))</f>
        <v/>
      </c>
      <c r="AZ272" s="46" t="n">
        <v>7.9</v>
      </c>
      <c r="BA272" s="46" t="n">
        <v>16.45</v>
      </c>
      <c r="BB272" s="47" t="n">
        <v>2.6</v>
      </c>
    </row>
    <row r="273">
      <c r="A273" s="48" t="n">
        <v>45563</v>
      </c>
      <c r="B273" s="49" t="n">
        <v>168997</v>
      </c>
      <c r="C273" s="50" t="n">
        <v>5.44</v>
      </c>
      <c r="D273" s="51" t="inlineStr">
        <is>
          <t>Good</t>
        </is>
      </c>
      <c r="E273" s="52" t="n">
        <v>23.2</v>
      </c>
      <c r="F273" s="52" t="n"/>
      <c r="G273" s="51" t="inlineStr">
        <is>
          <t>Sat</t>
        </is>
      </c>
      <c r="H273" s="51" t="inlineStr">
        <is>
          <t>Weekend</t>
        </is>
      </c>
      <c r="I273" s="51" t="inlineStr">
        <is>
          <t>Fall</t>
        </is>
      </c>
      <c r="J273" s="51" t="n">
        <v>25</v>
      </c>
      <c r="K273" s="51" t="inlineStr">
        <is>
          <t>강수량 공란</t>
        </is>
      </c>
      <c r="L273" s="46" t="n">
        <v>12.2</v>
      </c>
      <c r="M273" t="inlineStr">
        <is>
          <t>Good</t>
        </is>
      </c>
      <c r="N273" s="87" t="n">
        <v>25</v>
      </c>
      <c r="O273" s="87" t="n">
        <v>0</v>
      </c>
      <c r="P273" s="87" t="n">
        <v>0</v>
      </c>
      <c r="Q273" s="87" t="n">
        <v>0</v>
      </c>
      <c r="R273" s="87" t="n">
        <v>0</v>
      </c>
      <c r="S273" s="47" t="n">
        <v>3.4</v>
      </c>
      <c r="T273" s="47" t="n">
        <v>59.3</v>
      </c>
      <c r="U273" s="47" t="n"/>
      <c r="V273" s="87" t="n">
        <v>1</v>
      </c>
      <c r="W273" s="87" t="n">
        <v>0</v>
      </c>
      <c r="Y273" t="inlineStr">
        <is>
          <t>Sep</t>
        </is>
      </c>
      <c r="Z273" s="87" t="n">
        <v>2024</v>
      </c>
      <c r="AA273" s="47">
        <f>IF(F273="",0,F273)</f>
        <v/>
      </c>
      <c r="AB273" s="87">
        <f>IF(AA273&gt;=0.1,1,0)</f>
        <v/>
      </c>
      <c r="AC273" s="87" t="n">
        <v>0</v>
      </c>
      <c r="AD273" s="47">
        <f>IF(U273="",0,U273)</f>
        <v/>
      </c>
      <c r="AE273" s="87">
        <f>IF(OR(V273=1,W273=1),1,0)</f>
        <v/>
      </c>
      <c r="AF273" s="87" t="n">
        <v>0</v>
      </c>
      <c r="AG273" t="n">
        <v>16078</v>
      </c>
      <c r="AH273" t="n">
        <v>152919</v>
      </c>
      <c r="AI273" t="n">
        <v>0</v>
      </c>
      <c r="AJ273" s="88">
        <f>IF(OR(AG273&lt;=0,AH273&lt;=0),"",LN(AG273)-LN(AH273))</f>
        <v/>
      </c>
      <c r="AK273" t="n">
        <v>33140</v>
      </c>
      <c r="AL273" t="n">
        <v>135857</v>
      </c>
      <c r="AM273" s="88">
        <f>IF(OR(AK273&lt;=0,AL273&lt;=0),"",LN(AK273)-LN(AL273))</f>
        <v/>
      </c>
      <c r="AN273" t="n">
        <v>15667</v>
      </c>
      <c r="AO273" t="n">
        <v>147078</v>
      </c>
      <c r="AP273" s="88">
        <f>IF(OR(AN273&lt;=0,AO273&lt;=0),"",LN(AN273)-LN(AO273))</f>
        <v/>
      </c>
      <c r="AQ273" t="n">
        <v>15580</v>
      </c>
      <c r="AR273" t="n">
        <v>152919</v>
      </c>
      <c r="AS273" s="88">
        <f>IF(OR(AQ273&lt;=0,AR273&lt;=0),"",LN(AQ273)-LN(AR273))</f>
        <v/>
      </c>
      <c r="AT273" t="n">
        <v>14784</v>
      </c>
      <c r="AU273" t="n">
        <v>153012</v>
      </c>
      <c r="AV273" t="n">
        <v>1201</v>
      </c>
      <c r="AW273" t="n">
        <v>2333</v>
      </c>
      <c r="AX273" t="n">
        <v>13571</v>
      </c>
      <c r="AY273" s="88">
        <f>IF(OR(AT273&lt;=0,AU273&lt;=0),"",LN(AT273)-LN(AU273))</f>
        <v/>
      </c>
      <c r="AZ273" s="46" t="n">
        <v>8.199999999999999</v>
      </c>
      <c r="BA273" s="46" t="n">
        <v>18.07</v>
      </c>
      <c r="BB273" s="47" t="n">
        <v>3.1</v>
      </c>
    </row>
    <row r="274">
      <c r="A274" s="48" t="n">
        <v>45564</v>
      </c>
      <c r="B274" s="49" t="n">
        <v>154567</v>
      </c>
      <c r="C274" s="50" t="n">
        <v>3.8</v>
      </c>
      <c r="D274" s="51" t="inlineStr">
        <is>
          <t>Good</t>
        </is>
      </c>
      <c r="E274" s="52" t="n">
        <v>23.5</v>
      </c>
      <c r="F274" s="52" t="n"/>
      <c r="G274" s="51" t="inlineStr">
        <is>
          <t>Sun</t>
        </is>
      </c>
      <c r="H274" s="51" t="inlineStr">
        <is>
          <t>Weekend</t>
        </is>
      </c>
      <c r="I274" s="51" t="inlineStr">
        <is>
          <t>Fall</t>
        </is>
      </c>
      <c r="J274" s="51" t="n">
        <v>25</v>
      </c>
      <c r="K274" s="51" t="inlineStr">
        <is>
          <t>강수량 공란</t>
        </is>
      </c>
      <c r="L274" s="46" t="n">
        <v>8.640000000000001</v>
      </c>
      <c r="M274" t="inlineStr">
        <is>
          <t>Good</t>
        </is>
      </c>
      <c r="N274" s="87" t="n">
        <v>25</v>
      </c>
      <c r="O274" s="87" t="n">
        <v>0</v>
      </c>
      <c r="P274" s="87" t="n">
        <v>0</v>
      </c>
      <c r="Q274" s="87" t="n">
        <v>0</v>
      </c>
      <c r="R274" s="87" t="n">
        <v>0</v>
      </c>
      <c r="S274" s="47" t="n">
        <v>2.7</v>
      </c>
      <c r="T274" s="47" t="n">
        <v>61.5</v>
      </c>
      <c r="U274" s="47" t="n"/>
      <c r="V274" s="87" t="n">
        <v>1</v>
      </c>
      <c r="W274" s="87" t="n">
        <v>0</v>
      </c>
      <c r="Y274" t="inlineStr">
        <is>
          <t>Sep</t>
        </is>
      </c>
      <c r="Z274" s="87" t="n">
        <v>2024</v>
      </c>
      <c r="AA274" s="47">
        <f>IF(F274="",0,F274)</f>
        <v/>
      </c>
      <c r="AB274" s="87">
        <f>IF(AA274&gt;=0.1,1,0)</f>
        <v/>
      </c>
      <c r="AC274" s="87" t="n">
        <v>0</v>
      </c>
      <c r="AD274" s="47">
        <f>IF(U274="",0,U274)</f>
        <v/>
      </c>
      <c r="AE274" s="87">
        <f>IF(OR(V274=1,W274=1),1,0)</f>
        <v/>
      </c>
      <c r="AF274" s="87" t="n">
        <v>0</v>
      </c>
      <c r="AG274" t="n">
        <v>15655</v>
      </c>
      <c r="AH274" t="n">
        <v>138912</v>
      </c>
      <c r="AI274" t="n">
        <v>0</v>
      </c>
      <c r="AJ274" s="88">
        <f>IF(OR(AG274&lt;=0,AH274&lt;=0),"",LN(AG274)-LN(AH274))</f>
        <v/>
      </c>
      <c r="AK274" t="n">
        <v>31553</v>
      </c>
      <c r="AL274" t="n">
        <v>123014</v>
      </c>
      <c r="AM274" s="88">
        <f>IF(OR(AK274&lt;=0,AL274&lt;=0),"",LN(AK274)-LN(AL274))</f>
        <v/>
      </c>
      <c r="AN274" t="n">
        <v>15270</v>
      </c>
      <c r="AO274" t="n">
        <v>133467</v>
      </c>
      <c r="AP274" s="88">
        <f>IF(OR(AN274&lt;=0,AO274&lt;=0),"",LN(AN274)-LN(AO274))</f>
        <v/>
      </c>
      <c r="AQ274" t="n">
        <v>15166</v>
      </c>
      <c r="AR274" t="n">
        <v>138912</v>
      </c>
      <c r="AS274" s="88">
        <f>IF(OR(AQ274&lt;=0,AR274&lt;=0),"",LN(AQ274)-LN(AR274))</f>
        <v/>
      </c>
      <c r="AT274" t="n">
        <v>15367</v>
      </c>
      <c r="AU274" t="n">
        <v>138162</v>
      </c>
      <c r="AV274" t="n">
        <v>1036</v>
      </c>
      <c r="AW274" t="n">
        <v>2605</v>
      </c>
      <c r="AX274" t="n">
        <v>12885</v>
      </c>
      <c r="AY274" s="88">
        <f>IF(OR(AT274&lt;=0,AU274&lt;=0),"",LN(AT274)-LN(AU274))</f>
        <v/>
      </c>
      <c r="AZ274" s="46" t="n">
        <v>7.3</v>
      </c>
      <c r="BA274" s="46" t="n">
        <v>18.06</v>
      </c>
      <c r="BB274" s="47" t="n">
        <v>1.5</v>
      </c>
    </row>
    <row r="275">
      <c r="A275" s="48" t="n">
        <v>45565</v>
      </c>
      <c r="B275" s="49" t="n">
        <v>186545</v>
      </c>
      <c r="C275" s="50" t="n">
        <v>6.12</v>
      </c>
      <c r="D275" s="51" t="inlineStr">
        <is>
          <t>Good</t>
        </is>
      </c>
      <c r="E275" s="52" t="n">
        <v>23</v>
      </c>
      <c r="F275" s="52" t="n"/>
      <c r="G275" s="51" t="inlineStr">
        <is>
          <t>Mon</t>
        </is>
      </c>
      <c r="H275" s="51" t="inlineStr">
        <is>
          <t>Weekday</t>
        </is>
      </c>
      <c r="I275" s="51" t="inlineStr">
        <is>
          <t>Fall</t>
        </is>
      </c>
      <c r="J275" s="51" t="n">
        <v>25</v>
      </c>
      <c r="K275" s="51" t="inlineStr">
        <is>
          <t>강수량 공란</t>
        </is>
      </c>
      <c r="L275" s="46" t="n">
        <v>14</v>
      </c>
      <c r="M275" t="inlineStr">
        <is>
          <t>Good</t>
        </is>
      </c>
      <c r="N275" s="87" t="n">
        <v>25</v>
      </c>
      <c r="O275" s="87" t="n">
        <v>0</v>
      </c>
      <c r="P275" s="87" t="n">
        <v>0</v>
      </c>
      <c r="Q275" s="87" t="n">
        <v>0</v>
      </c>
      <c r="R275" s="87" t="n">
        <v>0</v>
      </c>
      <c r="S275" s="47" t="n">
        <v>2.1</v>
      </c>
      <c r="T275" s="47" t="n">
        <v>63</v>
      </c>
      <c r="U275" s="47" t="n"/>
      <c r="V275" s="87" t="n">
        <v>0</v>
      </c>
      <c r="W275" s="87" t="n">
        <v>0</v>
      </c>
      <c r="Y275" t="inlineStr">
        <is>
          <t>Sep</t>
        </is>
      </c>
      <c r="Z275" s="87" t="n">
        <v>2024</v>
      </c>
      <c r="AA275" s="47">
        <f>IF(F275="",0,F275)</f>
        <v/>
      </c>
      <c r="AB275" s="87">
        <f>IF(AA275&gt;=0.1,1,0)</f>
        <v/>
      </c>
      <c r="AC275" s="87" t="n">
        <v>0</v>
      </c>
      <c r="AD275" s="47">
        <f>IF(U275="",0,U275)</f>
        <v/>
      </c>
      <c r="AE275" s="87">
        <f>IF(OR(V275=1,W275=1),1,0)</f>
        <v/>
      </c>
      <c r="AF275" s="87" t="n">
        <v>0</v>
      </c>
      <c r="AG275" t="n">
        <v>12279</v>
      </c>
      <c r="AH275" t="n">
        <v>174266</v>
      </c>
      <c r="AI275" t="n">
        <v>0</v>
      </c>
      <c r="AJ275" s="88">
        <f>IF(OR(AG275&lt;=0,AH275&lt;=0),"",LN(AG275)-LN(AH275))</f>
        <v/>
      </c>
      <c r="AK275" t="n">
        <v>30300</v>
      </c>
      <c r="AL275" t="n">
        <v>156245</v>
      </c>
      <c r="AM275" s="88">
        <f>IF(OR(AK275&lt;=0,AL275&lt;=0),"",LN(AK275)-LN(AL275))</f>
        <v/>
      </c>
      <c r="AN275" t="n">
        <v>12012</v>
      </c>
      <c r="AO275" t="n">
        <v>167501</v>
      </c>
      <c r="AP275" s="88">
        <f>IF(OR(AN275&lt;=0,AO275&lt;=0),"",LN(AN275)-LN(AO275))</f>
        <v/>
      </c>
      <c r="AQ275" t="n">
        <v>11944</v>
      </c>
      <c r="AR275" t="n">
        <v>174266</v>
      </c>
      <c r="AS275" s="88">
        <f>IF(OR(AQ275&lt;=0,AR275&lt;=0),"",LN(AQ275)-LN(AR275))</f>
        <v/>
      </c>
      <c r="AT275" t="n">
        <v>12262</v>
      </c>
      <c r="AU275" t="n">
        <v>173109</v>
      </c>
      <c r="AV275" t="n">
        <v>1186</v>
      </c>
      <c r="AW275" t="n">
        <v>1355</v>
      </c>
      <c r="AX275" t="n">
        <v>10820</v>
      </c>
      <c r="AY275" s="88">
        <f>IF(OR(AT275&lt;=0,AU275&lt;=0),"",LN(AT275)-LN(AU275))</f>
        <v/>
      </c>
      <c r="AZ275" s="46" t="n">
        <v>8</v>
      </c>
      <c r="BA275" s="46" t="n">
        <v>16.77</v>
      </c>
      <c r="BB275" s="47" t="n">
        <v>4.5</v>
      </c>
    </row>
    <row r="276">
      <c r="A276" s="48" t="n">
        <v>45566</v>
      </c>
      <c r="B276" s="49" t="n">
        <v>131743</v>
      </c>
      <c r="C276" s="50" t="n">
        <v>6.6</v>
      </c>
      <c r="D276" s="51" t="inlineStr">
        <is>
          <t>Good</t>
        </is>
      </c>
      <c r="E276" s="52" t="n">
        <v>18.3</v>
      </c>
      <c r="F276" s="52" t="n">
        <v>2.5</v>
      </c>
      <c r="G276" s="51" t="inlineStr">
        <is>
          <t>Tue</t>
        </is>
      </c>
      <c r="H276" s="51" t="inlineStr">
        <is>
          <t>Weekday</t>
        </is>
      </c>
      <c r="I276" s="51" t="inlineStr">
        <is>
          <t>Fall</t>
        </is>
      </c>
      <c r="J276" s="51" t="n">
        <v>25</v>
      </c>
      <c r="K276" s="51" t="inlineStr">
        <is>
          <t>OK</t>
        </is>
      </c>
      <c r="L276" s="46" t="n">
        <v>14.6</v>
      </c>
      <c r="M276" t="inlineStr">
        <is>
          <t>Good</t>
        </is>
      </c>
      <c r="N276" s="87" t="n">
        <v>25</v>
      </c>
      <c r="O276" s="87" t="n">
        <v>0</v>
      </c>
      <c r="P276" s="87" t="n">
        <v>0</v>
      </c>
      <c r="Q276" s="87" t="n">
        <v>0</v>
      </c>
      <c r="R276" s="87" t="n">
        <v>0</v>
      </c>
      <c r="S276" s="47" t="n">
        <v>2.5</v>
      </c>
      <c r="T276" s="47" t="n">
        <v>67.5</v>
      </c>
      <c r="U276" s="47" t="n"/>
      <c r="V276" s="87" t="n">
        <v>0</v>
      </c>
      <c r="W276" s="87" t="n">
        <v>1</v>
      </c>
      <c r="X276" t="inlineStr">
        <is>
          <t>국군의 날 임시공휴일</t>
        </is>
      </c>
      <c r="Y276" t="inlineStr">
        <is>
          <t>Oct</t>
        </is>
      </c>
      <c r="Z276" s="87" t="n">
        <v>2024</v>
      </c>
      <c r="AA276" s="47">
        <f>IF(F276="",0,F276)</f>
        <v/>
      </c>
      <c r="AB276" s="87">
        <f>IF(AA276&gt;=0.1,1,0)</f>
        <v/>
      </c>
      <c r="AC276" s="87" t="n">
        <v>0</v>
      </c>
      <c r="AD276" s="47">
        <f>IF(U276="",0,U276)</f>
        <v/>
      </c>
      <c r="AE276" s="87">
        <f>IF(OR(V276=1,W276=1),1,0)</f>
        <v/>
      </c>
      <c r="AF276" s="87" t="n">
        <v>0</v>
      </c>
      <c r="AG276" t="n">
        <v>10713</v>
      </c>
      <c r="AH276" t="n">
        <v>121030</v>
      </c>
      <c r="AI276" t="n">
        <v>0</v>
      </c>
      <c r="AJ276" s="88">
        <f>IF(OR(AG276&lt;=0,AH276&lt;=0),"",LN(AG276)-LN(AH276))</f>
        <v/>
      </c>
      <c r="AK276" t="n">
        <v>23928</v>
      </c>
      <c r="AL276" t="n">
        <v>107815</v>
      </c>
      <c r="AM276" s="88">
        <f>IF(OR(AK276&lt;=0,AL276&lt;=0),"",LN(AK276)-LN(AL276))</f>
        <v/>
      </c>
      <c r="AN276" t="n">
        <v>10438</v>
      </c>
      <c r="AO276" t="n">
        <v>116388</v>
      </c>
      <c r="AP276" s="88">
        <f>IF(OR(AN276&lt;=0,AO276&lt;=0),"",LN(AN276)-LN(AO276))</f>
        <v/>
      </c>
      <c r="AQ276" t="n">
        <v>10401</v>
      </c>
      <c r="AR276" t="n">
        <v>121030</v>
      </c>
      <c r="AS276" s="88">
        <f>IF(OR(AQ276&lt;=0,AR276&lt;=0),"",LN(AQ276)-LN(AR276))</f>
        <v/>
      </c>
      <c r="AT276" t="n">
        <v>11986</v>
      </c>
      <c r="AU276" t="n">
        <v>118924</v>
      </c>
      <c r="AV276" t="n">
        <v>838</v>
      </c>
      <c r="AW276" t="n">
        <v>1581</v>
      </c>
      <c r="AX276" t="n">
        <v>9031</v>
      </c>
      <c r="AY276" s="88">
        <f>IF(OR(AT276&lt;=0,AU276&lt;=0),"",LN(AT276)-LN(AU276))</f>
        <v/>
      </c>
      <c r="AZ276" s="46" t="n">
        <v>2.2</v>
      </c>
      <c r="BA276" s="46" t="n">
        <v>7.73</v>
      </c>
      <c r="BB276" s="47" t="n">
        <v>5.9</v>
      </c>
    </row>
    <row r="277">
      <c r="A277" s="48" t="n">
        <v>45567</v>
      </c>
      <c r="B277" s="49" t="n">
        <v>176827</v>
      </c>
      <c r="C277" s="50" t="n">
        <v>6.36</v>
      </c>
      <c r="D277" s="51" t="inlineStr">
        <is>
          <t>Good</t>
        </is>
      </c>
      <c r="E277" s="52" t="n">
        <v>14.9</v>
      </c>
      <c r="F277" s="52" t="n"/>
      <c r="G277" s="51" t="inlineStr">
        <is>
          <t>Wed</t>
        </is>
      </c>
      <c r="H277" s="51" t="inlineStr">
        <is>
          <t>Weekday</t>
        </is>
      </c>
      <c r="I277" s="51" t="inlineStr">
        <is>
          <t>Fall</t>
        </is>
      </c>
      <c r="J277" s="51" t="n">
        <v>25</v>
      </c>
      <c r="K277" s="51" t="inlineStr">
        <is>
          <t>강수량 공란</t>
        </is>
      </c>
      <c r="L277" s="46" t="n">
        <v>15.12</v>
      </c>
      <c r="M277" t="inlineStr">
        <is>
          <t>Good</t>
        </is>
      </c>
      <c r="N277" s="87" t="n">
        <v>25</v>
      </c>
      <c r="O277" s="87" t="n">
        <v>0</v>
      </c>
      <c r="P277" s="87" t="n">
        <v>0</v>
      </c>
      <c r="Q277" s="87" t="n">
        <v>0</v>
      </c>
      <c r="R277" s="87" t="n">
        <v>0</v>
      </c>
      <c r="S277" s="47" t="n">
        <v>2.5</v>
      </c>
      <c r="T277" s="47" t="n">
        <v>48.8</v>
      </c>
      <c r="U277" s="47" t="n"/>
      <c r="V277" s="87" t="n">
        <v>0</v>
      </c>
      <c r="W277" s="87" t="n">
        <v>0</v>
      </c>
      <c r="Y277" t="inlineStr">
        <is>
          <t>Oct</t>
        </is>
      </c>
      <c r="Z277" s="87" t="n">
        <v>2024</v>
      </c>
      <c r="AA277" s="47">
        <f>IF(F277="",0,F277)</f>
        <v/>
      </c>
      <c r="AB277" s="87">
        <f>IF(AA277&gt;=0.1,1,0)</f>
        <v/>
      </c>
      <c r="AC277" s="87" t="n">
        <v>0</v>
      </c>
      <c r="AD277" s="47">
        <f>IF(U277="",0,U277)</f>
        <v/>
      </c>
      <c r="AE277" s="87">
        <f>IF(OR(V277=1,W277=1),1,0)</f>
        <v/>
      </c>
      <c r="AF277" s="87" t="n">
        <v>0</v>
      </c>
      <c r="AG277" t="n">
        <v>11056</v>
      </c>
      <c r="AH277" t="n">
        <v>165771</v>
      </c>
      <c r="AI277" t="n">
        <v>0</v>
      </c>
      <c r="AJ277" s="88">
        <f>IF(OR(AG277&lt;=0,AH277&lt;=0),"",LN(AG277)-LN(AH277))</f>
        <v/>
      </c>
      <c r="AK277" t="n">
        <v>27935</v>
      </c>
      <c r="AL277" t="n">
        <v>148892</v>
      </c>
      <c r="AM277" s="88">
        <f>IF(OR(AK277&lt;=0,AL277&lt;=0),"",LN(AK277)-LN(AL277))</f>
        <v/>
      </c>
      <c r="AN277" t="n">
        <v>10782</v>
      </c>
      <c r="AO277" t="n">
        <v>159440</v>
      </c>
      <c r="AP277" s="88">
        <f>IF(OR(AN277&lt;=0,AO277&lt;=0),"",LN(AN277)-LN(AO277))</f>
        <v/>
      </c>
      <c r="AQ277" t="n">
        <v>10772</v>
      </c>
      <c r="AR277" t="n">
        <v>165771</v>
      </c>
      <c r="AS277" s="88">
        <f>IF(OR(AQ277&lt;=0,AR277&lt;=0),"",LN(AQ277)-LN(AR277))</f>
        <v/>
      </c>
      <c r="AT277" t="n">
        <v>11052</v>
      </c>
      <c r="AU277" t="n">
        <v>164765</v>
      </c>
      <c r="AV277" t="n">
        <v>1022</v>
      </c>
      <c r="AW277" t="n">
        <v>1202</v>
      </c>
      <c r="AX277" t="n">
        <v>9757</v>
      </c>
      <c r="AY277" s="88">
        <f>IF(OR(AT277&lt;=0,AU277&lt;=0),"",LN(AT277)-LN(AU277))</f>
        <v/>
      </c>
      <c r="AZ277" s="46" t="n">
        <v>9.5</v>
      </c>
      <c r="BA277" s="46" t="n">
        <v>20.66</v>
      </c>
      <c r="BB277" s="47" t="n">
        <v>2</v>
      </c>
    </row>
    <row r="278">
      <c r="A278" s="48" t="n">
        <v>45568</v>
      </c>
      <c r="B278" s="49" t="n">
        <v>154005</v>
      </c>
      <c r="C278" s="50" t="n">
        <v>6.52</v>
      </c>
      <c r="D278" s="51" t="inlineStr">
        <is>
          <t>Good</t>
        </is>
      </c>
      <c r="E278" s="52" t="n">
        <v>16.4</v>
      </c>
      <c r="F278" s="52" t="n"/>
      <c r="G278" s="51" t="inlineStr">
        <is>
          <t>Thu</t>
        </is>
      </c>
      <c r="H278" s="51" t="inlineStr">
        <is>
          <t>Weekday</t>
        </is>
      </c>
      <c r="I278" s="51" t="inlineStr">
        <is>
          <t>Fall</t>
        </is>
      </c>
      <c r="J278" s="51" t="n">
        <v>25</v>
      </c>
      <c r="K278" s="51" t="inlineStr">
        <is>
          <t>강수량 공란</t>
        </is>
      </c>
      <c r="L278" s="46" t="n">
        <v>14.64</v>
      </c>
      <c r="M278" t="inlineStr">
        <is>
          <t>Good</t>
        </is>
      </c>
      <c r="N278" s="87" t="n">
        <v>25</v>
      </c>
      <c r="O278" s="87" t="n">
        <v>0</v>
      </c>
      <c r="P278" s="87" t="n">
        <v>0</v>
      </c>
      <c r="Q278" s="87" t="n">
        <v>0</v>
      </c>
      <c r="R278" s="87" t="n">
        <v>0</v>
      </c>
      <c r="S278" s="47" t="n">
        <v>1.9</v>
      </c>
      <c r="T278" s="47" t="n">
        <v>59</v>
      </c>
      <c r="U278" s="47" t="n"/>
      <c r="V278" s="87" t="n">
        <v>0</v>
      </c>
      <c r="W278" s="87" t="n">
        <v>1</v>
      </c>
      <c r="X278" t="inlineStr">
        <is>
          <t>개천절</t>
        </is>
      </c>
      <c r="Y278" t="inlineStr">
        <is>
          <t>Oct</t>
        </is>
      </c>
      <c r="Z278" s="87" t="n">
        <v>2024</v>
      </c>
      <c r="AA278" s="47">
        <f>IF(F278="",0,F278)</f>
        <v/>
      </c>
      <c r="AB278" s="87">
        <f>IF(AA278&gt;=0.1,1,0)</f>
        <v/>
      </c>
      <c r="AC278" s="87" t="n">
        <v>0</v>
      </c>
      <c r="AD278" s="47">
        <f>IF(U278="",0,U278)</f>
        <v/>
      </c>
      <c r="AE278" s="87">
        <f>IF(OR(V278=1,W278=1),1,0)</f>
        <v/>
      </c>
      <c r="AF278" s="87" t="n">
        <v>0</v>
      </c>
      <c r="AG278" t="n">
        <v>15681</v>
      </c>
      <c r="AH278" t="n">
        <v>138324</v>
      </c>
      <c r="AI278" t="n">
        <v>0</v>
      </c>
      <c r="AJ278" s="88">
        <f>IF(OR(AG278&lt;=0,AH278&lt;=0),"",LN(AG278)-LN(AH278))</f>
        <v/>
      </c>
      <c r="AK278" t="n">
        <v>32082</v>
      </c>
      <c r="AL278" t="n">
        <v>121923</v>
      </c>
      <c r="AM278" s="88">
        <f>IF(OR(AK278&lt;=0,AL278&lt;=0),"",LN(AK278)-LN(AL278))</f>
        <v/>
      </c>
      <c r="AN278" t="n">
        <v>15288</v>
      </c>
      <c r="AO278" t="n">
        <v>132937</v>
      </c>
      <c r="AP278" s="88">
        <f>IF(OR(AN278&lt;=0,AO278&lt;=0),"",LN(AN278)-LN(AO278))</f>
        <v/>
      </c>
      <c r="AQ278" t="n">
        <v>15145</v>
      </c>
      <c r="AR278" t="n">
        <v>138324</v>
      </c>
      <c r="AS278" s="88">
        <f>IF(OR(AQ278&lt;=0,AR278&lt;=0),"",LN(AQ278)-LN(AR278))</f>
        <v/>
      </c>
      <c r="AT278" t="n">
        <v>15032</v>
      </c>
      <c r="AU278" t="n">
        <v>137935</v>
      </c>
      <c r="AV278" t="n">
        <v>1037</v>
      </c>
      <c r="AW278" t="n">
        <v>2676</v>
      </c>
      <c r="AX278" t="n">
        <v>12826</v>
      </c>
      <c r="AY278" s="88">
        <f>IF(OR(AT278&lt;=0,AU278&lt;=0),"",LN(AT278)-LN(AU278))</f>
        <v/>
      </c>
      <c r="AZ278" s="46" t="n">
        <v>7.3</v>
      </c>
      <c r="BA278" s="46" t="n">
        <v>15.9</v>
      </c>
      <c r="BB278" s="47" t="n">
        <v>2</v>
      </c>
    </row>
    <row r="279">
      <c r="A279" s="48" t="n">
        <v>45569</v>
      </c>
      <c r="B279" s="49" t="n">
        <v>181957</v>
      </c>
      <c r="C279" s="50" t="n">
        <v>7.28</v>
      </c>
      <c r="D279" s="51" t="inlineStr">
        <is>
          <t>Good</t>
        </is>
      </c>
      <c r="E279" s="52" t="n">
        <v>17.6</v>
      </c>
      <c r="F279" s="52" t="n"/>
      <c r="G279" s="51" t="inlineStr">
        <is>
          <t>Fri</t>
        </is>
      </c>
      <c r="H279" s="51" t="inlineStr">
        <is>
          <t>Weekday</t>
        </is>
      </c>
      <c r="I279" s="51" t="inlineStr">
        <is>
          <t>Fall</t>
        </is>
      </c>
      <c r="J279" s="51" t="n">
        <v>25</v>
      </c>
      <c r="K279" s="51" t="inlineStr">
        <is>
          <t>강수량 공란</t>
        </is>
      </c>
      <c r="L279" s="46" t="n">
        <v>15.64</v>
      </c>
      <c r="M279" t="inlineStr">
        <is>
          <t>Good</t>
        </is>
      </c>
      <c r="N279" s="87" t="n">
        <v>25</v>
      </c>
      <c r="O279" s="87" t="n">
        <v>0</v>
      </c>
      <c r="P279" s="87" t="n">
        <v>0</v>
      </c>
      <c r="Q279" s="87" t="n">
        <v>0</v>
      </c>
      <c r="R279" s="87" t="n">
        <v>0</v>
      </c>
      <c r="S279" s="47" t="n">
        <v>1.8</v>
      </c>
      <c r="T279" s="47" t="n">
        <v>60</v>
      </c>
      <c r="U279" s="47" t="n"/>
      <c r="V279" s="87" t="n">
        <v>0</v>
      </c>
      <c r="W279" s="87" t="n">
        <v>0</v>
      </c>
      <c r="Y279" t="inlineStr">
        <is>
          <t>Oct</t>
        </is>
      </c>
      <c r="Z279" s="87" t="n">
        <v>2024</v>
      </c>
      <c r="AA279" s="47">
        <f>IF(F279="",0,F279)</f>
        <v/>
      </c>
      <c r="AB279" s="87">
        <f>IF(AA279&gt;=0.1,1,0)</f>
        <v/>
      </c>
      <c r="AC279" s="87" t="n">
        <v>0</v>
      </c>
      <c r="AD279" s="47">
        <f>IF(U279="",0,U279)</f>
        <v/>
      </c>
      <c r="AE279" s="87">
        <f>IF(OR(V279=1,W279=1),1,0)</f>
        <v/>
      </c>
      <c r="AF279" s="87" t="n">
        <v>0</v>
      </c>
      <c r="AG279" t="n">
        <v>12802</v>
      </c>
      <c r="AH279" t="n">
        <v>169155</v>
      </c>
      <c r="AI279" t="n">
        <v>0</v>
      </c>
      <c r="AJ279" s="88">
        <f>IF(OR(AG279&lt;=0,AH279&lt;=0),"",LN(AG279)-LN(AH279))</f>
        <v/>
      </c>
      <c r="AK279" t="n">
        <v>30904</v>
      </c>
      <c r="AL279" t="n">
        <v>151053</v>
      </c>
      <c r="AM279" s="88">
        <f>IF(OR(AK279&lt;=0,AL279&lt;=0),"",LN(AK279)-LN(AL279))</f>
        <v/>
      </c>
      <c r="AN279" t="n">
        <v>12514</v>
      </c>
      <c r="AO279" t="n">
        <v>162645</v>
      </c>
      <c r="AP279" s="88">
        <f>IF(OR(AN279&lt;=0,AO279&lt;=0),"",LN(AN279)-LN(AO279))</f>
        <v/>
      </c>
      <c r="AQ279" t="n">
        <v>12468</v>
      </c>
      <c r="AR279" t="n">
        <v>169155</v>
      </c>
      <c r="AS279" s="88">
        <f>IF(OR(AQ279&lt;=0,AR279&lt;=0),"",LN(AQ279)-LN(AR279))</f>
        <v/>
      </c>
      <c r="AT279" t="n">
        <v>12598</v>
      </c>
      <c r="AU279" t="n">
        <v>168297</v>
      </c>
      <c r="AV279" t="n">
        <v>1065</v>
      </c>
      <c r="AW279" t="n">
        <v>1592</v>
      </c>
      <c r="AX279" t="n">
        <v>11107</v>
      </c>
      <c r="AY279" s="88">
        <f>IF(OR(AT279&lt;=0,AU279&lt;=0),"",LN(AT279)-LN(AU279))</f>
        <v/>
      </c>
      <c r="AZ279" s="46" t="n">
        <v>10.9</v>
      </c>
      <c r="BA279" s="46" t="n">
        <v>20.32</v>
      </c>
      <c r="BB279" s="47" t="n">
        <v>0</v>
      </c>
    </row>
    <row r="280">
      <c r="A280" s="48" t="n">
        <v>45570</v>
      </c>
      <c r="B280" s="49" t="n">
        <v>165474</v>
      </c>
      <c r="C280" s="50" t="n">
        <v>12.32</v>
      </c>
      <c r="D280" s="51" t="inlineStr">
        <is>
          <t>Good</t>
        </is>
      </c>
      <c r="E280" s="52" t="n">
        <v>17.5</v>
      </c>
      <c r="F280" s="52" t="n"/>
      <c r="G280" s="51" t="inlineStr">
        <is>
          <t>Sat</t>
        </is>
      </c>
      <c r="H280" s="51" t="inlineStr">
        <is>
          <t>Weekend</t>
        </is>
      </c>
      <c r="I280" s="51" t="inlineStr">
        <is>
          <t>Fall</t>
        </is>
      </c>
      <c r="J280" s="51" t="n">
        <v>25</v>
      </c>
      <c r="K280" s="51" t="inlineStr">
        <is>
          <t>강수량 공란</t>
        </is>
      </c>
      <c r="L280" s="46" t="n">
        <v>22.64</v>
      </c>
      <c r="M280" t="inlineStr">
        <is>
          <t>Good</t>
        </is>
      </c>
      <c r="N280" s="87" t="n">
        <v>25</v>
      </c>
      <c r="O280" s="87" t="n">
        <v>0</v>
      </c>
      <c r="P280" s="87" t="n">
        <v>0</v>
      </c>
      <c r="Q280" s="87" t="n">
        <v>0</v>
      </c>
      <c r="R280" s="87" t="n">
        <v>0</v>
      </c>
      <c r="S280" s="47" t="n">
        <v>1.6</v>
      </c>
      <c r="T280" s="47" t="n">
        <v>60.4</v>
      </c>
      <c r="U280" s="47" t="n"/>
      <c r="V280" s="87" t="n">
        <v>1</v>
      </c>
      <c r="W280" s="87" t="n">
        <v>0</v>
      </c>
      <c r="Y280" t="inlineStr">
        <is>
          <t>Oct</t>
        </is>
      </c>
      <c r="Z280" s="87" t="n">
        <v>2024</v>
      </c>
      <c r="AA280" s="47">
        <f>IF(F280="",0,F280)</f>
        <v/>
      </c>
      <c r="AB280" s="87">
        <f>IF(AA280&gt;=0.1,1,0)</f>
        <v/>
      </c>
      <c r="AC280" s="87" t="n">
        <v>0</v>
      </c>
      <c r="AD280" s="47">
        <f>IF(U280="",0,U280)</f>
        <v/>
      </c>
      <c r="AE280" s="87">
        <f>IF(OR(V280=1,W280=1),1,0)</f>
        <v/>
      </c>
      <c r="AF280" s="87" t="n">
        <v>0</v>
      </c>
      <c r="AG280" t="n">
        <v>16552</v>
      </c>
      <c r="AH280" t="n">
        <v>148922</v>
      </c>
      <c r="AI280" t="n">
        <v>0</v>
      </c>
      <c r="AJ280" s="88">
        <f>IF(OR(AG280&lt;=0,AH280&lt;=0),"",LN(AG280)-LN(AH280))</f>
        <v/>
      </c>
      <c r="AK280" t="n">
        <v>34601</v>
      </c>
      <c r="AL280" t="n">
        <v>130873</v>
      </c>
      <c r="AM280" s="88">
        <f>IF(OR(AK280&lt;=0,AL280&lt;=0),"",LN(AK280)-LN(AL280))</f>
        <v/>
      </c>
      <c r="AN280" t="n">
        <v>16127</v>
      </c>
      <c r="AO280" t="n">
        <v>143163</v>
      </c>
      <c r="AP280" s="88">
        <f>IF(OR(AN280&lt;=0,AO280&lt;=0),"",LN(AN280)-LN(AO280))</f>
        <v/>
      </c>
      <c r="AQ280" t="n">
        <v>15868</v>
      </c>
      <c r="AR280" t="n">
        <v>148922</v>
      </c>
      <c r="AS280" s="88">
        <f>IF(OR(AQ280&lt;=0,AR280&lt;=0),"",LN(AQ280)-LN(AR280))</f>
        <v/>
      </c>
      <c r="AT280" t="n">
        <v>14849</v>
      </c>
      <c r="AU280" t="n">
        <v>149249</v>
      </c>
      <c r="AV280" t="n">
        <v>1377</v>
      </c>
      <c r="AW280" t="n">
        <v>2386</v>
      </c>
      <c r="AX280" t="n">
        <v>13926</v>
      </c>
      <c r="AY280" s="88">
        <f>IF(OR(AT280&lt;=0,AU280&lt;=0),"",LN(AT280)-LN(AU280))</f>
        <v/>
      </c>
      <c r="AZ280" s="46" t="n">
        <v>9.699999999999999</v>
      </c>
      <c r="BA280" s="46" t="n">
        <v>17.31</v>
      </c>
      <c r="BB280" s="47" t="n">
        <v>3.6</v>
      </c>
    </row>
    <row r="281">
      <c r="A281" s="48" t="n">
        <v>45571</v>
      </c>
      <c r="B281" s="49" t="n">
        <v>108633</v>
      </c>
      <c r="C281" s="50" t="n">
        <v>13.04</v>
      </c>
      <c r="D281" s="51" t="inlineStr">
        <is>
          <t>Good</t>
        </is>
      </c>
      <c r="E281" s="52" t="n">
        <v>15.4</v>
      </c>
      <c r="F281" s="52" t="n">
        <v>0</v>
      </c>
      <c r="G281" s="51" t="inlineStr">
        <is>
          <t>Sun</t>
        </is>
      </c>
      <c r="H281" s="51" t="inlineStr">
        <is>
          <t>Weekend</t>
        </is>
      </c>
      <c r="I281" s="51" t="inlineStr">
        <is>
          <t>Fall</t>
        </is>
      </c>
      <c r="J281" s="51" t="n">
        <v>25</v>
      </c>
      <c r="K281" s="51" t="inlineStr">
        <is>
          <t>OK</t>
        </is>
      </c>
      <c r="L281" s="46" t="n">
        <v>21.32</v>
      </c>
      <c r="M281" t="inlineStr">
        <is>
          <t>Good</t>
        </is>
      </c>
      <c r="N281" s="87" t="n">
        <v>25</v>
      </c>
      <c r="O281" s="87" t="n">
        <v>0</v>
      </c>
      <c r="P281" s="87" t="n">
        <v>0</v>
      </c>
      <c r="Q281" s="87" t="n">
        <v>0</v>
      </c>
      <c r="R281" s="87" t="n">
        <v>0</v>
      </c>
      <c r="S281" s="47" t="n">
        <v>1.4</v>
      </c>
      <c r="T281" s="47" t="n">
        <v>73.5</v>
      </c>
      <c r="U281" s="47" t="n"/>
      <c r="V281" s="87" t="n">
        <v>1</v>
      </c>
      <c r="W281" s="87" t="n">
        <v>0</v>
      </c>
      <c r="Y281" t="inlineStr">
        <is>
          <t>Oct</t>
        </is>
      </c>
      <c r="Z281" s="87" t="n">
        <v>2024</v>
      </c>
      <c r="AA281" s="47">
        <f>IF(F281="",0,F281)</f>
        <v/>
      </c>
      <c r="AB281" s="87">
        <f>IF(AA281&gt;=0.1,1,0)</f>
        <v/>
      </c>
      <c r="AC281" s="87" t="n">
        <v>1</v>
      </c>
      <c r="AD281" s="47">
        <f>IF(U281="",0,U281)</f>
        <v/>
      </c>
      <c r="AE281" s="87">
        <f>IF(OR(V281=1,W281=1),1,0)</f>
        <v/>
      </c>
      <c r="AF281" s="87" t="n">
        <v>0</v>
      </c>
      <c r="AG281" t="n">
        <v>8185</v>
      </c>
      <c r="AH281" t="n">
        <v>100448</v>
      </c>
      <c r="AI281" t="n">
        <v>0</v>
      </c>
      <c r="AJ281" s="88">
        <f>IF(OR(AG281&lt;=0,AH281&lt;=0),"",LN(AG281)-LN(AH281))</f>
        <v/>
      </c>
      <c r="AK281" t="n">
        <v>18698</v>
      </c>
      <c r="AL281" t="n">
        <v>89935</v>
      </c>
      <c r="AM281" s="88">
        <f>IF(OR(AK281&lt;=0,AL281&lt;=0),"",LN(AK281)-LN(AL281))</f>
        <v/>
      </c>
      <c r="AN281" t="n">
        <v>7991</v>
      </c>
      <c r="AO281" t="n">
        <v>96560</v>
      </c>
      <c r="AP281" s="88">
        <f>IF(OR(AN281&lt;=0,AO281&lt;=0),"",LN(AN281)-LN(AO281))</f>
        <v/>
      </c>
      <c r="AQ281" t="n">
        <v>7895</v>
      </c>
      <c r="AR281" t="n">
        <v>100448</v>
      </c>
      <c r="AS281" s="88">
        <f>IF(OR(AQ281&lt;=0,AR281&lt;=0),"",LN(AQ281)-LN(AR281))</f>
        <v/>
      </c>
      <c r="AT281" t="n">
        <v>9989</v>
      </c>
      <c r="AU281" t="n">
        <v>98039</v>
      </c>
      <c r="AV281" t="n">
        <v>607</v>
      </c>
      <c r="AW281" t="n">
        <v>1255</v>
      </c>
      <c r="AX281" t="n">
        <v>6855</v>
      </c>
      <c r="AY281" s="88">
        <f>IF(OR(AT281&lt;=0,AU281&lt;=0),"",LN(AT281)-LN(AU281))</f>
        <v/>
      </c>
      <c r="AZ281" s="46" t="n">
        <v>0</v>
      </c>
      <c r="BA281" s="46" t="n">
        <v>3.65</v>
      </c>
      <c r="BB281" s="47" t="n">
        <v>8.9</v>
      </c>
    </row>
    <row r="282">
      <c r="A282" s="48" t="n">
        <v>45572</v>
      </c>
      <c r="B282" s="49" t="n">
        <v>173882</v>
      </c>
      <c r="C282" s="50" t="n">
        <v>22.72</v>
      </c>
      <c r="D282" s="51" t="inlineStr">
        <is>
          <t>Moderate</t>
        </is>
      </c>
      <c r="E282" s="52" t="n">
        <v>16.9</v>
      </c>
      <c r="F282" s="52" t="n"/>
      <c r="G282" s="51" t="inlineStr">
        <is>
          <t>Mon</t>
        </is>
      </c>
      <c r="H282" s="51" t="inlineStr">
        <is>
          <t>Weekday</t>
        </is>
      </c>
      <c r="I282" s="51" t="inlineStr">
        <is>
          <t>Fall</t>
        </is>
      </c>
      <c r="J282" s="51" t="n">
        <v>25</v>
      </c>
      <c r="K282" s="51" t="inlineStr">
        <is>
          <t>강수량 공란</t>
        </is>
      </c>
      <c r="L282" s="46" t="n">
        <v>37.48</v>
      </c>
      <c r="M282" t="inlineStr">
        <is>
          <t>Moderate</t>
        </is>
      </c>
      <c r="N282" s="87" t="n">
        <v>25</v>
      </c>
      <c r="O282" s="87" t="n">
        <v>0</v>
      </c>
      <c r="P282" s="87" t="n">
        <v>0</v>
      </c>
      <c r="Q282" s="87" t="n">
        <v>0</v>
      </c>
      <c r="R282" s="87" t="n">
        <v>0</v>
      </c>
      <c r="S282" s="47" t="n">
        <v>1.3</v>
      </c>
      <c r="T282" s="47" t="n">
        <v>73.90000000000001</v>
      </c>
      <c r="U282" s="47" t="n"/>
      <c r="V282" s="87" t="n">
        <v>0</v>
      </c>
      <c r="W282" s="87" t="n">
        <v>0</v>
      </c>
      <c r="Y282" t="inlineStr">
        <is>
          <t>Oct</t>
        </is>
      </c>
      <c r="Z282" s="87" t="n">
        <v>2024</v>
      </c>
      <c r="AA282" s="47">
        <f>IF(F282="",0,F282)</f>
        <v/>
      </c>
      <c r="AB282" s="87">
        <f>IF(AA282&gt;=0.1,1,0)</f>
        <v/>
      </c>
      <c r="AC282" s="87" t="n">
        <v>0</v>
      </c>
      <c r="AD282" s="47">
        <f>IF(U282="",0,U282)</f>
        <v/>
      </c>
      <c r="AE282" s="87">
        <f>IF(OR(V282=1,W282=1),1,0)</f>
        <v/>
      </c>
      <c r="AF282" s="87" t="n">
        <v>0</v>
      </c>
      <c r="AG282" t="n">
        <v>9882</v>
      </c>
      <c r="AH282" t="n">
        <v>163999</v>
      </c>
      <c r="AI282" t="n">
        <v>1</v>
      </c>
      <c r="AJ282" s="88">
        <f>IF(OR(AG282&lt;=0,AH282&lt;=0),"",LN(AG282)-LN(AH282))</f>
        <v/>
      </c>
      <c r="AK282" t="n">
        <v>26179</v>
      </c>
      <c r="AL282" t="n">
        <v>147702</v>
      </c>
      <c r="AM282" s="88">
        <f>IF(OR(AK282&lt;=0,AL282&lt;=0),"",LN(AK282)-LN(AL282))</f>
        <v/>
      </c>
      <c r="AN282" t="n">
        <v>9637</v>
      </c>
      <c r="AO282" t="n">
        <v>157741</v>
      </c>
      <c r="AP282" s="88">
        <f>IF(OR(AN282&lt;=0,AO282&lt;=0),"",LN(AN282)-LN(AO282))</f>
        <v/>
      </c>
      <c r="AQ282" t="n">
        <v>9615</v>
      </c>
      <c r="AR282" t="n">
        <v>163999</v>
      </c>
      <c r="AS282" s="88">
        <f>IF(OR(AQ282&lt;=0,AR282&lt;=0),"",LN(AQ282)-LN(AR282))</f>
        <v/>
      </c>
      <c r="AT282" t="n">
        <v>10549</v>
      </c>
      <c r="AU282" t="n">
        <v>162378</v>
      </c>
      <c r="AV282" t="n">
        <v>958</v>
      </c>
      <c r="AW282" t="n">
        <v>955</v>
      </c>
      <c r="AX282" t="n">
        <v>8857</v>
      </c>
      <c r="AY282" s="88">
        <f>IF(OR(AT282&lt;=0,AU282&lt;=0),"",LN(AT282)-LN(AU282))</f>
        <v/>
      </c>
      <c r="AZ282" s="46" t="n">
        <v>1.8</v>
      </c>
      <c r="BA282" s="46" t="n">
        <v>9.33</v>
      </c>
      <c r="BB282" s="47" t="n">
        <v>6.6</v>
      </c>
    </row>
    <row r="283">
      <c r="A283" s="48" t="n">
        <v>45573</v>
      </c>
      <c r="B283" s="49" t="n">
        <v>182669</v>
      </c>
      <c r="C283" s="50" t="n">
        <v>22.64</v>
      </c>
      <c r="D283" s="51" t="inlineStr">
        <is>
          <t>Moderate</t>
        </is>
      </c>
      <c r="E283" s="52" t="n">
        <v>17.7</v>
      </c>
      <c r="F283" s="52" t="n"/>
      <c r="G283" s="51" t="inlineStr">
        <is>
          <t>Tue</t>
        </is>
      </c>
      <c r="H283" s="51" t="inlineStr">
        <is>
          <t>Weekday</t>
        </is>
      </c>
      <c r="I283" s="51" t="inlineStr">
        <is>
          <t>Fall</t>
        </is>
      </c>
      <c r="J283" s="51" t="n">
        <v>25</v>
      </c>
      <c r="K283" s="51" t="inlineStr">
        <is>
          <t>강수량 공란</t>
        </is>
      </c>
      <c r="L283" s="46" t="n">
        <v>37.08</v>
      </c>
      <c r="M283" t="inlineStr">
        <is>
          <t>Moderate</t>
        </is>
      </c>
      <c r="N283" s="87" t="n">
        <v>25</v>
      </c>
      <c r="O283" s="87" t="n">
        <v>0</v>
      </c>
      <c r="P283" s="87" t="n">
        <v>0</v>
      </c>
      <c r="Q283" s="87" t="n">
        <v>0</v>
      </c>
      <c r="R283" s="87" t="n">
        <v>0</v>
      </c>
      <c r="S283" s="47" t="n">
        <v>1.8</v>
      </c>
      <c r="T283" s="47" t="n">
        <v>73.90000000000001</v>
      </c>
      <c r="U283" s="47" t="n"/>
      <c r="V283" s="87" t="n">
        <v>0</v>
      </c>
      <c r="W283" s="87" t="n">
        <v>0</v>
      </c>
      <c r="Y283" t="inlineStr">
        <is>
          <t>Oct</t>
        </is>
      </c>
      <c r="Z283" s="87" t="n">
        <v>2024</v>
      </c>
      <c r="AA283" s="47">
        <f>IF(F283="",0,F283)</f>
        <v/>
      </c>
      <c r="AB283" s="87">
        <f>IF(AA283&gt;=0.1,1,0)</f>
        <v/>
      </c>
      <c r="AC283" s="87" t="n">
        <v>0</v>
      </c>
      <c r="AD283" s="47">
        <f>IF(U283="",0,U283)</f>
        <v/>
      </c>
      <c r="AE283" s="87">
        <f>IF(OR(V283=1,W283=1),1,0)</f>
        <v/>
      </c>
      <c r="AF283" s="87" t="n">
        <v>0</v>
      </c>
      <c r="AG283" t="n">
        <v>11174</v>
      </c>
      <c r="AH283" t="n">
        <v>171495</v>
      </c>
      <c r="AI283" t="n">
        <v>0</v>
      </c>
      <c r="AJ283" s="88">
        <f>IF(OR(AG283&lt;=0,AH283&lt;=0),"",LN(AG283)-LN(AH283))</f>
        <v/>
      </c>
      <c r="AK283" t="n">
        <v>28322</v>
      </c>
      <c r="AL283" t="n">
        <v>154347</v>
      </c>
      <c r="AM283" s="88">
        <f>IF(OR(AK283&lt;=0,AL283&lt;=0),"",LN(AK283)-LN(AL283))</f>
        <v/>
      </c>
      <c r="AN283" t="n">
        <v>10946</v>
      </c>
      <c r="AO283" t="n">
        <v>164834</v>
      </c>
      <c r="AP283" s="88">
        <f>IF(OR(AN283&lt;=0,AO283&lt;=0),"",LN(AN283)-LN(AO283))</f>
        <v/>
      </c>
      <c r="AQ283" t="n">
        <v>10852</v>
      </c>
      <c r="AR283" t="n">
        <v>171495</v>
      </c>
      <c r="AS283" s="88">
        <f>IF(OR(AQ283&lt;=0,AR283&lt;=0),"",LN(AQ283)-LN(AR283))</f>
        <v/>
      </c>
      <c r="AT283" t="n">
        <v>11044</v>
      </c>
      <c r="AU283" t="n">
        <v>170570</v>
      </c>
      <c r="AV283" t="n">
        <v>1067</v>
      </c>
      <c r="AW283" t="n">
        <v>1148</v>
      </c>
      <c r="AX283" t="n">
        <v>9948</v>
      </c>
      <c r="AY283" s="88">
        <f>IF(OR(AT283&lt;=0,AU283&lt;=0),"",LN(AT283)-LN(AU283))</f>
        <v/>
      </c>
      <c r="AZ283" s="46" t="n">
        <v>6.8</v>
      </c>
      <c r="BA283" s="46" t="n">
        <v>14.54</v>
      </c>
      <c r="BB283" s="47" t="n">
        <v>1.3</v>
      </c>
    </row>
    <row r="284">
      <c r="A284" s="48" t="n">
        <v>45574</v>
      </c>
      <c r="B284" s="49" t="n">
        <v>160337</v>
      </c>
      <c r="C284" s="50" t="n">
        <v>6.4</v>
      </c>
      <c r="D284" s="51" t="inlineStr">
        <is>
          <t>Good</t>
        </is>
      </c>
      <c r="E284" s="52" t="n">
        <v>18.8</v>
      </c>
      <c r="F284" s="52" t="n"/>
      <c r="G284" s="51" t="inlineStr">
        <is>
          <t>Wed</t>
        </is>
      </c>
      <c r="H284" s="51" t="inlineStr">
        <is>
          <t>Weekday</t>
        </is>
      </c>
      <c r="I284" s="51" t="inlineStr">
        <is>
          <t>Fall</t>
        </is>
      </c>
      <c r="J284" s="51" t="n">
        <v>25</v>
      </c>
      <c r="K284" s="51" t="inlineStr">
        <is>
          <t>강수량 공란</t>
        </is>
      </c>
      <c r="L284" s="46" t="n">
        <v>12.88</v>
      </c>
      <c r="M284" t="inlineStr">
        <is>
          <t>Good</t>
        </is>
      </c>
      <c r="N284" s="87" t="n">
        <v>25</v>
      </c>
      <c r="O284" s="87" t="n">
        <v>0</v>
      </c>
      <c r="P284" s="87" t="n">
        <v>0</v>
      </c>
      <c r="Q284" s="87" t="n">
        <v>0</v>
      </c>
      <c r="R284" s="87" t="n">
        <v>0</v>
      </c>
      <c r="S284" s="47" t="n">
        <v>2.3</v>
      </c>
      <c r="T284" s="47" t="n">
        <v>64.09999999999999</v>
      </c>
      <c r="U284" s="47" t="n"/>
      <c r="V284" s="87" t="n">
        <v>0</v>
      </c>
      <c r="W284" s="87" t="n">
        <v>1</v>
      </c>
      <c r="X284" t="inlineStr">
        <is>
          <t>한글날</t>
        </is>
      </c>
      <c r="Y284" t="inlineStr">
        <is>
          <t>Oct</t>
        </is>
      </c>
      <c r="Z284" s="87" t="n">
        <v>2024</v>
      </c>
      <c r="AA284" s="47">
        <f>IF(F284="",0,F284)</f>
        <v/>
      </c>
      <c r="AB284" s="87">
        <f>IF(AA284&gt;=0.1,1,0)</f>
        <v/>
      </c>
      <c r="AC284" s="87" t="n">
        <v>0</v>
      </c>
      <c r="AD284" s="47">
        <f>IF(U284="",0,U284)</f>
        <v/>
      </c>
      <c r="AE284" s="87">
        <f>IF(OR(V284=1,W284=1),1,0)</f>
        <v/>
      </c>
      <c r="AF284" s="87" t="n">
        <v>0</v>
      </c>
      <c r="AG284" t="n">
        <v>15302</v>
      </c>
      <c r="AH284" t="n">
        <v>145035</v>
      </c>
      <c r="AI284" t="n">
        <v>0</v>
      </c>
      <c r="AJ284" s="88">
        <f>IF(OR(AG284&lt;=0,AH284&lt;=0),"",LN(AG284)-LN(AH284))</f>
        <v/>
      </c>
      <c r="AK284" t="n">
        <v>32117</v>
      </c>
      <c r="AL284" t="n">
        <v>128220</v>
      </c>
      <c r="AM284" s="88">
        <f>IF(OR(AK284&lt;=0,AL284&lt;=0),"",LN(AK284)-LN(AL284))</f>
        <v/>
      </c>
      <c r="AN284" t="n">
        <v>14923</v>
      </c>
      <c r="AO284" t="n">
        <v>139352</v>
      </c>
      <c r="AP284" s="88">
        <f>IF(OR(AN284&lt;=0,AO284&lt;=0),"",LN(AN284)-LN(AO284))</f>
        <v/>
      </c>
      <c r="AQ284" t="n">
        <v>14776</v>
      </c>
      <c r="AR284" t="n">
        <v>145035</v>
      </c>
      <c r="AS284" s="88">
        <f>IF(OR(AQ284&lt;=0,AR284&lt;=0),"",LN(AQ284)-LN(AR284))</f>
        <v/>
      </c>
      <c r="AT284" t="n">
        <v>15822</v>
      </c>
      <c r="AU284" t="n">
        <v>143475</v>
      </c>
      <c r="AV284" t="n">
        <v>1042</v>
      </c>
      <c r="AW284" t="n">
        <v>2549</v>
      </c>
      <c r="AX284" t="n">
        <v>12597</v>
      </c>
      <c r="AY284" s="88">
        <f>IF(OR(AT284&lt;=0,AU284&lt;=0),"",LN(AT284)-LN(AU284))</f>
        <v/>
      </c>
      <c r="AZ284" s="46" t="n">
        <v>8.1</v>
      </c>
      <c r="BA284" s="46" t="n">
        <v>16.61</v>
      </c>
      <c r="BB284" s="47" t="n">
        <v>4.8</v>
      </c>
    </row>
    <row r="285">
      <c r="A285" s="48" t="n">
        <v>45575</v>
      </c>
      <c r="B285" s="49" t="n">
        <v>180117</v>
      </c>
      <c r="C285" s="50" t="n">
        <v>10.16</v>
      </c>
      <c r="D285" s="51" t="inlineStr">
        <is>
          <t>Good</t>
        </is>
      </c>
      <c r="E285" s="52" t="n">
        <v>18.8</v>
      </c>
      <c r="F285" s="52" t="n">
        <v>0</v>
      </c>
      <c r="G285" s="51" t="inlineStr">
        <is>
          <t>Thu</t>
        </is>
      </c>
      <c r="H285" s="51" t="inlineStr">
        <is>
          <t>Weekday</t>
        </is>
      </c>
      <c r="I285" s="51" t="inlineStr">
        <is>
          <t>Fall</t>
        </is>
      </c>
      <c r="J285" s="51" t="n">
        <v>25</v>
      </c>
      <c r="K285" s="51" t="inlineStr">
        <is>
          <t>OK</t>
        </is>
      </c>
      <c r="L285" s="46" t="n">
        <v>19.12</v>
      </c>
      <c r="M285" t="inlineStr">
        <is>
          <t>Good</t>
        </is>
      </c>
      <c r="N285" s="87" t="n">
        <v>25</v>
      </c>
      <c r="O285" s="87" t="n">
        <v>0</v>
      </c>
      <c r="P285" s="87" t="n">
        <v>0</v>
      </c>
      <c r="Q285" s="87" t="n">
        <v>0</v>
      </c>
      <c r="R285" s="87" t="n">
        <v>0</v>
      </c>
      <c r="S285" s="47" t="n">
        <v>1.9</v>
      </c>
      <c r="T285" s="47" t="n">
        <v>66.3</v>
      </c>
      <c r="U285" s="47" t="n"/>
      <c r="V285" s="87" t="n">
        <v>0</v>
      </c>
      <c r="W285" s="87" t="n">
        <v>0</v>
      </c>
      <c r="Y285" t="inlineStr">
        <is>
          <t>Oct</t>
        </is>
      </c>
      <c r="Z285" s="87" t="n">
        <v>2024</v>
      </c>
      <c r="AA285" s="47">
        <f>IF(F285="",0,F285)</f>
        <v/>
      </c>
      <c r="AB285" s="87">
        <f>IF(AA285&gt;=0.1,1,0)</f>
        <v/>
      </c>
      <c r="AC285" s="87" t="n">
        <v>1</v>
      </c>
      <c r="AD285" s="47">
        <f>IF(U285="",0,U285)</f>
        <v/>
      </c>
      <c r="AE285" s="87">
        <f>IF(OR(V285=1,W285=1),1,0)</f>
        <v/>
      </c>
      <c r="AF285" s="87" t="n">
        <v>0</v>
      </c>
      <c r="AG285" t="n">
        <v>10697</v>
      </c>
      <c r="AH285" t="n">
        <v>169420</v>
      </c>
      <c r="AI285" t="n">
        <v>0</v>
      </c>
      <c r="AJ285" s="88">
        <f>IF(OR(AG285&lt;=0,AH285&lt;=0),"",LN(AG285)-LN(AH285))</f>
        <v/>
      </c>
      <c r="AK285" t="n">
        <v>27749</v>
      </c>
      <c r="AL285" t="n">
        <v>152368</v>
      </c>
      <c r="AM285" s="88">
        <f>IF(OR(AK285&lt;=0,AL285&lt;=0),"",LN(AK285)-LN(AL285))</f>
        <v/>
      </c>
      <c r="AN285" t="n">
        <v>10476</v>
      </c>
      <c r="AO285" t="n">
        <v>162904</v>
      </c>
      <c r="AP285" s="88">
        <f>IF(OR(AN285&lt;=0,AO285&lt;=0),"",LN(AN285)-LN(AO285))</f>
        <v/>
      </c>
      <c r="AQ285" t="n">
        <v>10388</v>
      </c>
      <c r="AR285" t="n">
        <v>169420</v>
      </c>
      <c r="AS285" s="88">
        <f>IF(OR(AQ285&lt;=0,AR285&lt;=0),"",LN(AQ285)-LN(AR285))</f>
        <v/>
      </c>
      <c r="AT285" t="n">
        <v>10934</v>
      </c>
      <c r="AU285" t="n">
        <v>167997</v>
      </c>
      <c r="AV285" t="n">
        <v>1192</v>
      </c>
      <c r="AW285" t="n">
        <v>1083</v>
      </c>
      <c r="AX285" t="n">
        <v>9539</v>
      </c>
      <c r="AY285" s="88">
        <f>IF(OR(AT285&lt;=0,AU285&lt;=0),"",LN(AT285)-LN(AU285))</f>
        <v/>
      </c>
      <c r="AZ285" s="46" t="n">
        <v>6.3</v>
      </c>
      <c r="BA285" s="46" t="n">
        <v>13.91</v>
      </c>
      <c r="BB285" s="47" t="n">
        <v>4.5</v>
      </c>
    </row>
    <row r="286">
      <c r="A286" s="48" t="n">
        <v>45576</v>
      </c>
      <c r="B286" s="49" t="n">
        <v>189277</v>
      </c>
      <c r="C286" s="50" t="n">
        <v>21.625</v>
      </c>
      <c r="D286" s="51" t="inlineStr">
        <is>
          <t>Moderate</t>
        </is>
      </c>
      <c r="E286" s="52" t="n">
        <v>18.6</v>
      </c>
      <c r="F286" s="52" t="n"/>
      <c r="G286" s="51" t="inlineStr">
        <is>
          <t>Fri</t>
        </is>
      </c>
      <c r="H286" s="51" t="inlineStr">
        <is>
          <t>Weekday</t>
        </is>
      </c>
      <c r="I286" s="51" t="inlineStr">
        <is>
          <t>Fall</t>
        </is>
      </c>
      <c r="J286" s="51" t="n">
        <v>24</v>
      </c>
      <c r="K286" s="51" t="inlineStr">
        <is>
          <t>강수량 공란</t>
        </is>
      </c>
      <c r="L286" s="46" t="n">
        <v>33.625</v>
      </c>
      <c r="M286" t="inlineStr">
        <is>
          <t>Moderate</t>
        </is>
      </c>
      <c r="N286" s="87" t="n">
        <v>24</v>
      </c>
      <c r="O286" s="87" t="n">
        <v>0</v>
      </c>
      <c r="P286" s="87" t="n">
        <v>0</v>
      </c>
      <c r="Q286" s="87" t="n">
        <v>0</v>
      </c>
      <c r="R286" s="87" t="n">
        <v>0</v>
      </c>
      <c r="S286" s="47" t="n">
        <v>1.8</v>
      </c>
      <c r="T286" s="47" t="n">
        <v>68.8</v>
      </c>
      <c r="U286" s="47" t="n"/>
      <c r="V286" s="87" t="n">
        <v>0</v>
      </c>
      <c r="W286" s="87" t="n">
        <v>0</v>
      </c>
      <c r="Y286" t="inlineStr">
        <is>
          <t>Oct</t>
        </is>
      </c>
      <c r="Z286" s="87" t="n">
        <v>2024</v>
      </c>
      <c r="AA286" s="47">
        <f>IF(F286="",0,F286)</f>
        <v/>
      </c>
      <c r="AB286" s="87">
        <f>IF(AA286&gt;=0.1,1,0)</f>
        <v/>
      </c>
      <c r="AC286" s="87" t="n">
        <v>0</v>
      </c>
      <c r="AD286" s="47">
        <f>IF(U286="",0,U286)</f>
        <v/>
      </c>
      <c r="AE286" s="87">
        <f>IF(OR(V286=1,W286=1),1,0)</f>
        <v/>
      </c>
      <c r="AF286" s="87" t="n">
        <v>0</v>
      </c>
      <c r="AG286" t="n">
        <v>11940</v>
      </c>
      <c r="AH286" t="n">
        <v>177337</v>
      </c>
      <c r="AI286" t="n">
        <v>0</v>
      </c>
      <c r="AJ286" s="88">
        <f>IF(OR(AG286&lt;=0,AH286&lt;=0),"",LN(AG286)-LN(AH286))</f>
        <v/>
      </c>
      <c r="AK286" t="n">
        <v>29963</v>
      </c>
      <c r="AL286" t="n">
        <v>159314</v>
      </c>
      <c r="AM286" s="88">
        <f>IF(OR(AK286&lt;=0,AL286&lt;=0),"",LN(AK286)-LN(AL286))</f>
        <v/>
      </c>
      <c r="AN286" t="n">
        <v>11680</v>
      </c>
      <c r="AO286" t="n">
        <v>170459</v>
      </c>
      <c r="AP286" s="88">
        <f>IF(OR(AN286&lt;=0,AO286&lt;=0),"",LN(AN286)-LN(AO286))</f>
        <v/>
      </c>
      <c r="AQ286" t="n">
        <v>11633</v>
      </c>
      <c r="AR286" t="n">
        <v>177337</v>
      </c>
      <c r="AS286" s="88">
        <f>IF(OR(AQ286&lt;=0,AR286&lt;=0),"",LN(AQ286)-LN(AR286))</f>
        <v/>
      </c>
      <c r="AT286" t="n">
        <v>12039</v>
      </c>
      <c r="AU286" t="n">
        <v>175851</v>
      </c>
      <c r="AV286" t="n">
        <v>1391</v>
      </c>
      <c r="AW286" t="n">
        <v>1361</v>
      </c>
      <c r="AX286" t="n">
        <v>10490</v>
      </c>
      <c r="AY286" s="88">
        <f>IF(OR(AT286&lt;=0,AU286&lt;=0),"",LN(AT286)-LN(AU286))</f>
        <v/>
      </c>
      <c r="AZ286" s="46" t="n">
        <v>9.5</v>
      </c>
      <c r="BA286" s="46" t="n">
        <v>16.05</v>
      </c>
      <c r="BB286" s="47" t="n">
        <v>0.6</v>
      </c>
    </row>
    <row r="287">
      <c r="A287" s="48" t="n">
        <v>45577</v>
      </c>
      <c r="B287" s="49" t="n">
        <v>161677</v>
      </c>
      <c r="C287" s="50" t="n">
        <v>23.541667</v>
      </c>
      <c r="D287" s="51" t="inlineStr">
        <is>
          <t>Moderate</t>
        </is>
      </c>
      <c r="E287" s="52" t="n">
        <v>18.3</v>
      </c>
      <c r="F287" s="52" t="n"/>
      <c r="G287" s="51" t="inlineStr">
        <is>
          <t>Sat</t>
        </is>
      </c>
      <c r="H287" s="51" t="inlineStr">
        <is>
          <t>Weekend</t>
        </is>
      </c>
      <c r="I287" s="51" t="inlineStr">
        <is>
          <t>Fall</t>
        </is>
      </c>
      <c r="J287" s="51" t="n">
        <v>24</v>
      </c>
      <c r="K287" s="51" t="inlineStr">
        <is>
          <t>강수량 공란</t>
        </is>
      </c>
      <c r="L287" s="46" t="n">
        <v>36.91666666666666</v>
      </c>
      <c r="M287" t="inlineStr">
        <is>
          <t>Moderate</t>
        </is>
      </c>
      <c r="N287" s="87" t="n">
        <v>24</v>
      </c>
      <c r="O287" s="87" t="n">
        <v>0</v>
      </c>
      <c r="P287" s="87" t="n">
        <v>0</v>
      </c>
      <c r="Q287" s="87" t="n">
        <v>0</v>
      </c>
      <c r="R287" s="87" t="n">
        <v>0</v>
      </c>
      <c r="S287" s="47" t="n">
        <v>1.5</v>
      </c>
      <c r="T287" s="47" t="n">
        <v>60.6</v>
      </c>
      <c r="U287" s="47" t="n"/>
      <c r="V287" s="87" t="n">
        <v>1</v>
      </c>
      <c r="W287" s="87" t="n">
        <v>0</v>
      </c>
      <c r="Y287" t="inlineStr">
        <is>
          <t>Oct</t>
        </is>
      </c>
      <c r="Z287" s="87" t="n">
        <v>2024</v>
      </c>
      <c r="AA287" s="47">
        <f>IF(F287="",0,F287)</f>
        <v/>
      </c>
      <c r="AB287" s="87">
        <f>IF(AA287&gt;=0.1,1,0)</f>
        <v/>
      </c>
      <c r="AC287" s="87" t="n">
        <v>0</v>
      </c>
      <c r="AD287" s="47">
        <f>IF(U287="",0,U287)</f>
        <v/>
      </c>
      <c r="AE287" s="87">
        <f>IF(OR(V287=1,W287=1),1,0)</f>
        <v/>
      </c>
      <c r="AF287" s="87" t="n">
        <v>0</v>
      </c>
      <c r="AG287" t="n">
        <v>14186</v>
      </c>
      <c r="AH287" t="n">
        <v>147491</v>
      </c>
      <c r="AI287" t="n">
        <v>0</v>
      </c>
      <c r="AJ287" s="88">
        <f>IF(OR(AG287&lt;=0,AH287&lt;=0),"",LN(AG287)-LN(AH287))</f>
        <v/>
      </c>
      <c r="AK287" t="n">
        <v>30694</v>
      </c>
      <c r="AL287" t="n">
        <v>130983</v>
      </c>
      <c r="AM287" s="88">
        <f>IF(OR(AK287&lt;=0,AL287&lt;=0),"",LN(AK287)-LN(AL287))</f>
        <v/>
      </c>
      <c r="AN287" t="n">
        <v>13874</v>
      </c>
      <c r="AO287" t="n">
        <v>141854</v>
      </c>
      <c r="AP287" s="88">
        <f>IF(OR(AN287&lt;=0,AO287&lt;=0),"",LN(AN287)-LN(AO287))</f>
        <v/>
      </c>
      <c r="AQ287" t="n">
        <v>13719</v>
      </c>
      <c r="AR287" t="n">
        <v>147491</v>
      </c>
      <c r="AS287" s="88">
        <f>IF(OR(AQ287&lt;=0,AR287&lt;=0),"",LN(AQ287)-LN(AR287))</f>
        <v/>
      </c>
      <c r="AT287" t="n">
        <v>14327</v>
      </c>
      <c r="AU287" t="n">
        <v>146119</v>
      </c>
      <c r="AV287" t="n">
        <v>1238</v>
      </c>
      <c r="AW287" t="n">
        <v>2167</v>
      </c>
      <c r="AX287" t="n">
        <v>11876</v>
      </c>
      <c r="AY287" s="88">
        <f>IF(OR(AT287&lt;=0,AU287&lt;=0),"",LN(AT287)-LN(AU287))</f>
        <v/>
      </c>
      <c r="AZ287" s="46" t="n">
        <v>10.4</v>
      </c>
      <c r="BA287" s="46" t="n">
        <v>18.19</v>
      </c>
      <c r="BB287" s="47" t="n">
        <v>0</v>
      </c>
    </row>
    <row r="288">
      <c r="A288" s="48" t="n">
        <v>45578</v>
      </c>
      <c r="B288" s="49" t="n">
        <v>142161</v>
      </c>
      <c r="C288" s="50" t="n">
        <v>17.25</v>
      </c>
      <c r="D288" s="51" t="inlineStr">
        <is>
          <t>Moderate</t>
        </is>
      </c>
      <c r="E288" s="52" t="n">
        <v>18.3</v>
      </c>
      <c r="F288" s="52" t="n"/>
      <c r="G288" s="51" t="inlineStr">
        <is>
          <t>Sun</t>
        </is>
      </c>
      <c r="H288" s="51" t="inlineStr">
        <is>
          <t>Weekend</t>
        </is>
      </c>
      <c r="I288" s="51" t="inlineStr">
        <is>
          <t>Fall</t>
        </is>
      </c>
      <c r="J288" s="51" t="n">
        <v>24</v>
      </c>
      <c r="K288" s="51" t="inlineStr">
        <is>
          <t>강수량 공란</t>
        </is>
      </c>
      <c r="L288" s="46" t="n">
        <v>26.91666666666667</v>
      </c>
      <c r="M288" t="inlineStr">
        <is>
          <t>Good</t>
        </is>
      </c>
      <c r="N288" s="87" t="n">
        <v>24</v>
      </c>
      <c r="O288" s="87" t="n">
        <v>0</v>
      </c>
      <c r="P288" s="87" t="n">
        <v>0</v>
      </c>
      <c r="Q288" s="87" t="n">
        <v>0</v>
      </c>
      <c r="R288" s="87" t="n">
        <v>0</v>
      </c>
      <c r="S288" s="47" t="n">
        <v>2</v>
      </c>
      <c r="T288" s="47" t="n">
        <v>67</v>
      </c>
      <c r="U288" s="47" t="n"/>
      <c r="V288" s="87" t="n">
        <v>1</v>
      </c>
      <c r="W288" s="87" t="n">
        <v>0</v>
      </c>
      <c r="Y288" t="inlineStr">
        <is>
          <t>Oct</t>
        </is>
      </c>
      <c r="Z288" s="87" t="n">
        <v>2024</v>
      </c>
      <c r="AA288" s="47">
        <f>IF(F288="",0,F288)</f>
        <v/>
      </c>
      <c r="AB288" s="87">
        <f>IF(AA288&gt;=0.1,1,0)</f>
        <v/>
      </c>
      <c r="AC288" s="87" t="n">
        <v>0</v>
      </c>
      <c r="AD288" s="47">
        <f>IF(U288="",0,U288)</f>
        <v/>
      </c>
      <c r="AE288" s="87">
        <f>IF(OR(V288=1,W288=1),1,0)</f>
        <v/>
      </c>
      <c r="AF288" s="87" t="n">
        <v>0</v>
      </c>
      <c r="AG288" t="n">
        <v>12840</v>
      </c>
      <c r="AH288" t="n">
        <v>129321</v>
      </c>
      <c r="AI288" t="n">
        <v>0</v>
      </c>
      <c r="AJ288" s="88">
        <f>IF(OR(AG288&lt;=0,AH288&lt;=0),"",LN(AG288)-LN(AH288))</f>
        <v/>
      </c>
      <c r="AK288" t="n">
        <v>27494</v>
      </c>
      <c r="AL288" t="n">
        <v>114667</v>
      </c>
      <c r="AM288" s="88">
        <f>IF(OR(AK288&lt;=0,AL288&lt;=0),"",LN(AK288)-LN(AL288))</f>
        <v/>
      </c>
      <c r="AN288" t="n">
        <v>12524</v>
      </c>
      <c r="AO288" t="n">
        <v>124347</v>
      </c>
      <c r="AP288" s="88">
        <f>IF(OR(AN288&lt;=0,AO288&lt;=0),"",LN(AN288)-LN(AO288))</f>
        <v/>
      </c>
      <c r="AQ288" t="n">
        <v>12409</v>
      </c>
      <c r="AR288" t="n">
        <v>129321</v>
      </c>
      <c r="AS288" s="88">
        <f>IF(OR(AQ288&lt;=0,AR288&lt;=0),"",LN(AQ288)-LN(AR288))</f>
        <v/>
      </c>
      <c r="AT288" t="n">
        <v>13773</v>
      </c>
      <c r="AU288" t="n">
        <v>127422</v>
      </c>
      <c r="AV288" t="n">
        <v>968</v>
      </c>
      <c r="AW288" t="n">
        <v>2022</v>
      </c>
      <c r="AX288" t="n">
        <v>10709</v>
      </c>
      <c r="AY288" s="88">
        <f>IF(OR(AT288&lt;=0,AU288&lt;=0),"",LN(AT288)-LN(AU288))</f>
        <v/>
      </c>
      <c r="AZ288" s="46" t="n">
        <v>4.7</v>
      </c>
      <c r="BA288" s="46" t="n">
        <v>11.43</v>
      </c>
      <c r="BB288" s="47" t="n">
        <v>6.4</v>
      </c>
    </row>
    <row r="289">
      <c r="A289" s="48" t="n">
        <v>45579</v>
      </c>
      <c r="B289" s="49" t="n">
        <v>171308</v>
      </c>
      <c r="C289" s="50" t="n">
        <v>10.291667</v>
      </c>
      <c r="D289" s="51" t="inlineStr">
        <is>
          <t>Good</t>
        </is>
      </c>
      <c r="E289" s="52" t="n">
        <v>19.3</v>
      </c>
      <c r="F289" s="52" t="n">
        <v>0</v>
      </c>
      <c r="G289" s="51" t="inlineStr">
        <is>
          <t>Mon</t>
        </is>
      </c>
      <c r="H289" s="51" t="inlineStr">
        <is>
          <t>Weekday</t>
        </is>
      </c>
      <c r="I289" s="51" t="inlineStr">
        <is>
          <t>Fall</t>
        </is>
      </c>
      <c r="J289" s="51" t="n">
        <v>24</v>
      </c>
      <c r="K289" s="51" t="inlineStr">
        <is>
          <t>OK</t>
        </is>
      </c>
      <c r="L289" s="46" t="n">
        <v>19.75</v>
      </c>
      <c r="M289" t="inlineStr">
        <is>
          <t>Good</t>
        </is>
      </c>
      <c r="N289" s="87" t="n">
        <v>24</v>
      </c>
      <c r="O289" s="87" t="n">
        <v>0</v>
      </c>
      <c r="P289" s="87" t="n">
        <v>0</v>
      </c>
      <c r="Q289" s="87" t="n">
        <v>0</v>
      </c>
      <c r="R289" s="87" t="n">
        <v>0</v>
      </c>
      <c r="S289" s="47" t="n">
        <v>1.9</v>
      </c>
      <c r="T289" s="47" t="n">
        <v>70.3</v>
      </c>
      <c r="U289" s="47" t="n"/>
      <c r="V289" s="87" t="n">
        <v>0</v>
      </c>
      <c r="W289" s="87" t="n">
        <v>0</v>
      </c>
      <c r="Y289" t="inlineStr">
        <is>
          <t>Oct</t>
        </is>
      </c>
      <c r="Z289" s="87" t="n">
        <v>2024</v>
      </c>
      <c r="AA289" s="47">
        <f>IF(F289="",0,F289)</f>
        <v/>
      </c>
      <c r="AB289" s="87">
        <f>IF(AA289&gt;=0.1,1,0)</f>
        <v/>
      </c>
      <c r="AC289" s="87" t="n">
        <v>1</v>
      </c>
      <c r="AD289" s="47">
        <f>IF(U289="",0,U289)</f>
        <v/>
      </c>
      <c r="AE289" s="87">
        <f>IF(OR(V289=1,W289=1),1,0)</f>
        <v/>
      </c>
      <c r="AF289" s="87" t="n">
        <v>0</v>
      </c>
      <c r="AG289" t="n">
        <v>9678</v>
      </c>
      <c r="AH289" t="n">
        <v>161630</v>
      </c>
      <c r="AI289" t="n">
        <v>0</v>
      </c>
      <c r="AJ289" s="88">
        <f>IF(OR(AG289&lt;=0,AH289&lt;=0),"",LN(AG289)-LN(AH289))</f>
        <v/>
      </c>
      <c r="AK289" t="n">
        <v>25994</v>
      </c>
      <c r="AL289" t="n">
        <v>145314</v>
      </c>
      <c r="AM289" s="88">
        <f>IF(OR(AK289&lt;=0,AL289&lt;=0),"",LN(AK289)-LN(AL289))</f>
        <v/>
      </c>
      <c r="AN289" t="n">
        <v>9469</v>
      </c>
      <c r="AO289" t="n">
        <v>155421</v>
      </c>
      <c r="AP289" s="88">
        <f>IF(OR(AN289&lt;=0,AO289&lt;=0),"",LN(AN289)-LN(AO289))</f>
        <v/>
      </c>
      <c r="AQ289" t="n">
        <v>9449</v>
      </c>
      <c r="AR289" t="n">
        <v>161630</v>
      </c>
      <c r="AS289" s="88">
        <f>IF(OR(AQ289&lt;=0,AR289&lt;=0),"",LN(AQ289)-LN(AR289))</f>
        <v/>
      </c>
      <c r="AT289" t="n">
        <v>9969</v>
      </c>
      <c r="AU289" t="n">
        <v>160210</v>
      </c>
      <c r="AV289" t="n">
        <v>1133</v>
      </c>
      <c r="AW289" t="n">
        <v>901</v>
      </c>
      <c r="AX289" t="n">
        <v>8716</v>
      </c>
      <c r="AY289" s="88">
        <f>IF(OR(AT289&lt;=0,AU289&lt;=0),"",LN(AT289)-LN(AU289))</f>
        <v/>
      </c>
      <c r="AZ289" s="46" t="n">
        <v>0</v>
      </c>
      <c r="BA289" s="46" t="n">
        <v>4.71</v>
      </c>
      <c r="BB289" s="47" t="n">
        <v>9.4</v>
      </c>
    </row>
    <row r="290">
      <c r="A290" s="48" t="n">
        <v>45580</v>
      </c>
      <c r="B290" s="49" t="n">
        <v>155610</v>
      </c>
      <c r="C290" s="50" t="n">
        <v>12.625</v>
      </c>
      <c r="D290" s="51" t="inlineStr">
        <is>
          <t>Good</t>
        </is>
      </c>
      <c r="E290" s="52" t="n">
        <v>19.2</v>
      </c>
      <c r="F290" s="52" t="n">
        <v>0.5</v>
      </c>
      <c r="G290" s="51" t="inlineStr">
        <is>
          <t>Tue</t>
        </is>
      </c>
      <c r="H290" s="51" t="inlineStr">
        <is>
          <t>Weekday</t>
        </is>
      </c>
      <c r="I290" s="51" t="inlineStr">
        <is>
          <t>Fall</t>
        </is>
      </c>
      <c r="J290" s="51" t="n">
        <v>24</v>
      </c>
      <c r="K290" s="51" t="inlineStr">
        <is>
          <t>OK</t>
        </is>
      </c>
      <c r="L290" s="46" t="n">
        <v>19.45833333333333</v>
      </c>
      <c r="M290" t="inlineStr">
        <is>
          <t>Good</t>
        </is>
      </c>
      <c r="N290" s="87" t="n">
        <v>24</v>
      </c>
      <c r="O290" s="87" t="n">
        <v>0</v>
      </c>
      <c r="P290" s="87" t="n">
        <v>0</v>
      </c>
      <c r="Q290" s="87" t="n">
        <v>0</v>
      </c>
      <c r="R290" s="87" t="n">
        <v>0</v>
      </c>
      <c r="S290" s="47" t="n">
        <v>1.8</v>
      </c>
      <c r="T290" s="47" t="n">
        <v>85</v>
      </c>
      <c r="U290" s="47" t="n"/>
      <c r="V290" s="87" t="n">
        <v>0</v>
      </c>
      <c r="W290" s="87" t="n">
        <v>0</v>
      </c>
      <c r="Y290" t="inlineStr">
        <is>
          <t>Oct</t>
        </is>
      </c>
      <c r="Z290" s="87" t="n">
        <v>2024</v>
      </c>
      <c r="AA290" s="47">
        <f>IF(F290="",0,F290)</f>
        <v/>
      </c>
      <c r="AB290" s="87">
        <f>IF(AA290&gt;=0.1,1,0)</f>
        <v/>
      </c>
      <c r="AC290" s="87" t="n">
        <v>0</v>
      </c>
      <c r="AD290" s="47">
        <f>IF(U290="",0,U290)</f>
        <v/>
      </c>
      <c r="AE290" s="87">
        <f>IF(OR(V290=1,W290=1),1,0)</f>
        <v/>
      </c>
      <c r="AF290" s="87" t="n">
        <v>0</v>
      </c>
      <c r="AG290" t="n">
        <v>8317</v>
      </c>
      <c r="AH290" t="n">
        <v>147293</v>
      </c>
      <c r="AI290" t="n">
        <v>0</v>
      </c>
      <c r="AJ290" s="88">
        <f>IF(OR(AG290&lt;=0,AH290&lt;=0),"",LN(AG290)-LN(AH290))</f>
        <v/>
      </c>
      <c r="AK290" t="n">
        <v>22676</v>
      </c>
      <c r="AL290" t="n">
        <v>132934</v>
      </c>
      <c r="AM290" s="88">
        <f>IF(OR(AK290&lt;=0,AL290&lt;=0),"",LN(AK290)-LN(AL290))</f>
        <v/>
      </c>
      <c r="AN290" t="n">
        <v>8141</v>
      </c>
      <c r="AO290" t="n">
        <v>141435</v>
      </c>
      <c r="AP290" s="88">
        <f>IF(OR(AN290&lt;=0,AO290&lt;=0),"",LN(AN290)-LN(AO290))</f>
        <v/>
      </c>
      <c r="AQ290" t="n">
        <v>8091</v>
      </c>
      <c r="AR290" t="n">
        <v>147293</v>
      </c>
      <c r="AS290" s="88">
        <f>IF(OR(AQ290&lt;=0,AR290&lt;=0),"",LN(AQ290)-LN(AR290))</f>
        <v/>
      </c>
      <c r="AT290" t="n">
        <v>9363</v>
      </c>
      <c r="AU290" t="n">
        <v>145379</v>
      </c>
      <c r="AV290" t="n">
        <v>877</v>
      </c>
      <c r="AW290" t="n">
        <v>789</v>
      </c>
      <c r="AX290" t="n">
        <v>7489</v>
      </c>
      <c r="AY290" s="88">
        <f>IF(OR(AT290&lt;=0,AU290&lt;=0),"",LN(AT290)-LN(AU290))</f>
        <v/>
      </c>
      <c r="AZ290" s="46" t="n">
        <v>0</v>
      </c>
      <c r="BA290" s="46" t="n">
        <v>4.59</v>
      </c>
      <c r="BB290" s="47" t="n">
        <v>7.3</v>
      </c>
    </row>
    <row r="291">
      <c r="A291" s="48" t="n">
        <v>45581</v>
      </c>
      <c r="B291" s="49" t="n">
        <v>181089</v>
      </c>
      <c r="C291" s="50" t="n">
        <v>22.791667</v>
      </c>
      <c r="D291" s="51" t="inlineStr">
        <is>
          <t>Moderate</t>
        </is>
      </c>
      <c r="E291" s="52" t="n">
        <v>18.2</v>
      </c>
      <c r="F291" s="52" t="n"/>
      <c r="G291" s="51" t="inlineStr">
        <is>
          <t>Wed</t>
        </is>
      </c>
      <c r="H291" s="51" t="inlineStr">
        <is>
          <t>Weekday</t>
        </is>
      </c>
      <c r="I291" s="51" t="inlineStr">
        <is>
          <t>Fall</t>
        </is>
      </c>
      <c r="J291" s="51" t="n">
        <v>24</v>
      </c>
      <c r="K291" s="51" t="inlineStr">
        <is>
          <t>강수량 공란</t>
        </is>
      </c>
      <c r="L291" s="46" t="n">
        <v>35.08333333333334</v>
      </c>
      <c r="M291" t="inlineStr">
        <is>
          <t>Moderate</t>
        </is>
      </c>
      <c r="N291" s="87" t="n">
        <v>24</v>
      </c>
      <c r="O291" s="87" t="n">
        <v>0</v>
      </c>
      <c r="P291" s="87" t="n">
        <v>0</v>
      </c>
      <c r="Q291" s="87" t="n">
        <v>0</v>
      </c>
      <c r="R291" s="87" t="n">
        <v>0</v>
      </c>
      <c r="S291" s="47" t="n">
        <v>1.5</v>
      </c>
      <c r="T291" s="47" t="n">
        <v>76.90000000000001</v>
      </c>
      <c r="U291" s="47" t="n"/>
      <c r="V291" s="87" t="n">
        <v>0</v>
      </c>
      <c r="W291" s="87" t="n">
        <v>0</v>
      </c>
      <c r="Y291" t="inlineStr">
        <is>
          <t>Oct</t>
        </is>
      </c>
      <c r="Z291" s="87" t="n">
        <v>2024</v>
      </c>
      <c r="AA291" s="47">
        <f>IF(F291="",0,F291)</f>
        <v/>
      </c>
      <c r="AB291" s="87">
        <f>IF(AA291&gt;=0.1,1,0)</f>
        <v/>
      </c>
      <c r="AC291" s="87" t="n">
        <v>0</v>
      </c>
      <c r="AD291" s="47">
        <f>IF(U291="",0,U291)</f>
        <v/>
      </c>
      <c r="AE291" s="87">
        <f>IF(OR(V291=1,W291=1),1,0)</f>
        <v/>
      </c>
      <c r="AF291" s="87" t="n">
        <v>0</v>
      </c>
      <c r="AG291" t="n">
        <v>10346</v>
      </c>
      <c r="AH291" t="n">
        <v>170743</v>
      </c>
      <c r="AI291" t="n">
        <v>0</v>
      </c>
      <c r="AJ291" s="88">
        <f>IF(OR(AG291&lt;=0,AH291&lt;=0),"",LN(AG291)-LN(AH291))</f>
        <v/>
      </c>
      <c r="AK291" t="n">
        <v>27723</v>
      </c>
      <c r="AL291" t="n">
        <v>153366</v>
      </c>
      <c r="AM291" s="88">
        <f>IF(OR(AK291&lt;=0,AL291&lt;=0),"",LN(AK291)-LN(AL291))</f>
        <v/>
      </c>
      <c r="AN291" t="n">
        <v>10155</v>
      </c>
      <c r="AO291" t="n">
        <v>164015</v>
      </c>
      <c r="AP291" s="88">
        <f>IF(OR(AN291&lt;=0,AO291&lt;=0),"",LN(AN291)-LN(AO291))</f>
        <v/>
      </c>
      <c r="AQ291" t="n">
        <v>10063</v>
      </c>
      <c r="AR291" t="n">
        <v>170743</v>
      </c>
      <c r="AS291" s="88">
        <f>IF(OR(AQ291&lt;=0,AR291&lt;=0),"",LN(AQ291)-LN(AR291))</f>
        <v/>
      </c>
      <c r="AT291" t="n">
        <v>11097</v>
      </c>
      <c r="AU291" t="n">
        <v>168941</v>
      </c>
      <c r="AV291" t="n">
        <v>1059</v>
      </c>
      <c r="AW291" t="n">
        <v>1031</v>
      </c>
      <c r="AX291" t="n">
        <v>9260</v>
      </c>
      <c r="AY291" s="88">
        <f>IF(OR(AT291&lt;=0,AU291&lt;=0),"",LN(AT291)-LN(AU291))</f>
        <v/>
      </c>
      <c r="AZ291" s="46" t="n">
        <v>6.8</v>
      </c>
      <c r="BA291" s="46" t="n">
        <v>13.84</v>
      </c>
      <c r="BB291" s="47" t="n">
        <v>2.8</v>
      </c>
    </row>
    <row r="292">
      <c r="A292" s="48" t="n">
        <v>45582</v>
      </c>
      <c r="B292" s="49" t="n">
        <v>181158</v>
      </c>
      <c r="C292" s="50" t="n">
        <v>21.6</v>
      </c>
      <c r="D292" s="51" t="inlineStr">
        <is>
          <t>Moderate</t>
        </is>
      </c>
      <c r="E292" s="52" t="n">
        <v>19</v>
      </c>
      <c r="F292" s="52" t="n"/>
      <c r="G292" s="51" t="inlineStr">
        <is>
          <t>Thu</t>
        </is>
      </c>
      <c r="H292" s="51" t="inlineStr">
        <is>
          <t>Weekday</t>
        </is>
      </c>
      <c r="I292" s="51" t="inlineStr">
        <is>
          <t>Fall</t>
        </is>
      </c>
      <c r="J292" s="51" t="n">
        <v>25</v>
      </c>
      <c r="K292" s="51" t="inlineStr">
        <is>
          <t>강수량 공란</t>
        </is>
      </c>
      <c r="L292" s="46" t="n">
        <v>35.84</v>
      </c>
      <c r="M292" t="inlineStr">
        <is>
          <t>Moderate</t>
        </is>
      </c>
      <c r="N292" s="87" t="n">
        <v>25</v>
      </c>
      <c r="O292" s="87" t="n">
        <v>0</v>
      </c>
      <c r="P292" s="87" t="n">
        <v>0</v>
      </c>
      <c r="Q292" s="87" t="n">
        <v>0</v>
      </c>
      <c r="R292" s="87" t="n">
        <v>0</v>
      </c>
      <c r="S292" s="47" t="n">
        <v>1.7</v>
      </c>
      <c r="T292" s="47" t="n">
        <v>70.40000000000001</v>
      </c>
      <c r="U292" s="47" t="n"/>
      <c r="V292" s="87" t="n">
        <v>0</v>
      </c>
      <c r="W292" s="87" t="n">
        <v>0</v>
      </c>
      <c r="Y292" t="inlineStr">
        <is>
          <t>Oct</t>
        </is>
      </c>
      <c r="Z292" s="87" t="n">
        <v>2024</v>
      </c>
      <c r="AA292" s="47">
        <f>IF(F292="",0,F292)</f>
        <v/>
      </c>
      <c r="AB292" s="87">
        <f>IF(AA292&gt;=0.1,1,0)</f>
        <v/>
      </c>
      <c r="AC292" s="87" t="n">
        <v>0</v>
      </c>
      <c r="AD292" s="47">
        <f>IF(U292="",0,U292)</f>
        <v/>
      </c>
      <c r="AE292" s="87">
        <f>IF(OR(V292=1,W292=1),1,0)</f>
        <v/>
      </c>
      <c r="AF292" s="87" t="n">
        <v>0</v>
      </c>
      <c r="AG292" t="n">
        <v>10484</v>
      </c>
      <c r="AH292" t="n">
        <v>170674</v>
      </c>
      <c r="AI292" t="n">
        <v>0</v>
      </c>
      <c r="AJ292" s="88">
        <f>IF(OR(AG292&lt;=0,AH292&lt;=0),"",LN(AG292)-LN(AH292))</f>
        <v/>
      </c>
      <c r="AK292" t="n">
        <v>27692</v>
      </c>
      <c r="AL292" t="n">
        <v>153466</v>
      </c>
      <c r="AM292" s="88">
        <f>IF(OR(AK292&lt;=0,AL292&lt;=0),"",LN(AK292)-LN(AL292))</f>
        <v/>
      </c>
      <c r="AN292" t="n">
        <v>10209</v>
      </c>
      <c r="AO292" t="n">
        <v>163798</v>
      </c>
      <c r="AP292" s="88">
        <f>IF(OR(AN292&lt;=0,AO292&lt;=0),"",LN(AN292)-LN(AO292))</f>
        <v/>
      </c>
      <c r="AQ292" t="n">
        <v>10162</v>
      </c>
      <c r="AR292" t="n">
        <v>170674</v>
      </c>
      <c r="AS292" s="88">
        <f>IF(OR(AQ292&lt;=0,AR292&lt;=0),"",LN(AQ292)-LN(AR292))</f>
        <v/>
      </c>
      <c r="AT292" t="n">
        <v>10821</v>
      </c>
      <c r="AU292" t="n">
        <v>169282</v>
      </c>
      <c r="AV292" t="n">
        <v>1057</v>
      </c>
      <c r="AW292" t="n">
        <v>1067</v>
      </c>
      <c r="AX292" t="n">
        <v>9324</v>
      </c>
      <c r="AY292" s="88">
        <f>IF(OR(AT292&lt;=0,AU292&lt;=0),"",LN(AT292)-LN(AU292))</f>
        <v/>
      </c>
      <c r="AZ292" s="46" t="n">
        <v>7.5</v>
      </c>
      <c r="BA292" s="46" t="n">
        <v>14.7</v>
      </c>
      <c r="BB292" s="47" t="n">
        <v>4.4</v>
      </c>
    </row>
    <row r="293">
      <c r="A293" s="48" t="n">
        <v>45583</v>
      </c>
      <c r="B293" s="49" t="n">
        <v>78673</v>
      </c>
      <c r="C293" s="50" t="n">
        <v>11.6</v>
      </c>
      <c r="D293" s="51" t="inlineStr">
        <is>
          <t>Good</t>
        </is>
      </c>
      <c r="E293" s="52" t="n">
        <v>17.4</v>
      </c>
      <c r="F293" s="52" t="n">
        <v>47.1</v>
      </c>
      <c r="G293" s="51" t="inlineStr">
        <is>
          <t>Fri</t>
        </is>
      </c>
      <c r="H293" s="51" t="inlineStr">
        <is>
          <t>Weekday</t>
        </is>
      </c>
      <c r="I293" s="51" t="inlineStr">
        <is>
          <t>Fall</t>
        </is>
      </c>
      <c r="J293" s="51" t="n">
        <v>25</v>
      </c>
      <c r="K293" s="51" t="inlineStr">
        <is>
          <t>OK</t>
        </is>
      </c>
      <c r="L293" s="46" t="n">
        <v>20.28</v>
      </c>
      <c r="M293" t="inlineStr">
        <is>
          <t>Good</t>
        </is>
      </c>
      <c r="N293" s="87" t="n">
        <v>25</v>
      </c>
      <c r="O293" s="87" t="n">
        <v>0</v>
      </c>
      <c r="P293" s="87" t="n">
        <v>0</v>
      </c>
      <c r="Q293" s="87" t="n">
        <v>0</v>
      </c>
      <c r="R293" s="87" t="n">
        <v>0</v>
      </c>
      <c r="S293" s="47" t="n">
        <v>2.5</v>
      </c>
      <c r="T293" s="47" t="n">
        <v>86.09999999999999</v>
      </c>
      <c r="U293" s="47" t="n"/>
      <c r="V293" s="87" t="n">
        <v>0</v>
      </c>
      <c r="W293" s="87" t="n">
        <v>0</v>
      </c>
      <c r="Y293" t="inlineStr">
        <is>
          <t>Oct</t>
        </is>
      </c>
      <c r="Z293" s="87" t="n">
        <v>2024</v>
      </c>
      <c r="AA293" s="47">
        <f>IF(F293="",0,F293)</f>
        <v/>
      </c>
      <c r="AB293" s="87">
        <f>IF(AA293&gt;=0.1,1,0)</f>
        <v/>
      </c>
      <c r="AC293" s="87" t="n">
        <v>0</v>
      </c>
      <c r="AD293" s="47">
        <f>IF(U293="",0,U293)</f>
        <v/>
      </c>
      <c r="AE293" s="87">
        <f>IF(OR(V293=1,W293=1),1,0)</f>
        <v/>
      </c>
      <c r="AF293" s="87" t="n">
        <v>0</v>
      </c>
      <c r="AG293" t="n">
        <v>3795</v>
      </c>
      <c r="AH293" t="n">
        <v>74878</v>
      </c>
      <c r="AI293" t="n">
        <v>0</v>
      </c>
      <c r="AJ293" s="88">
        <f>IF(OR(AG293&lt;=0,AH293&lt;=0),"",LN(AG293)-LN(AH293))</f>
        <v/>
      </c>
      <c r="AK293" t="n">
        <v>10665</v>
      </c>
      <c r="AL293" t="n">
        <v>68008</v>
      </c>
      <c r="AM293" s="88">
        <f>IF(OR(AK293&lt;=0,AL293&lt;=0),"",LN(AK293)-LN(AL293))</f>
        <v/>
      </c>
      <c r="AN293" t="n">
        <v>3749</v>
      </c>
      <c r="AO293" t="n">
        <v>71854</v>
      </c>
      <c r="AP293" s="88">
        <f>IF(OR(AN293&lt;=0,AO293&lt;=0),"",LN(AN293)-LN(AO293))</f>
        <v/>
      </c>
      <c r="AQ293" t="n">
        <v>3689</v>
      </c>
      <c r="AR293" t="n">
        <v>74878</v>
      </c>
      <c r="AS293" s="88">
        <f>IF(OR(AQ293&lt;=0,AR293&lt;=0),"",LN(AQ293)-LN(AR293))</f>
        <v/>
      </c>
      <c r="AT293" t="n">
        <v>3318</v>
      </c>
      <c r="AU293" t="n">
        <v>74878</v>
      </c>
      <c r="AV293" t="n">
        <v>488</v>
      </c>
      <c r="AW293" t="n">
        <v>231</v>
      </c>
      <c r="AX293" t="n">
        <v>3538</v>
      </c>
      <c r="AY293" s="88">
        <f>IF(OR(AT293&lt;=0,AU293&lt;=0),"",LN(AT293)-LN(AU293))</f>
        <v/>
      </c>
      <c r="AZ293" s="46" t="n">
        <v>0</v>
      </c>
      <c r="BA293" s="46" t="n">
        <v>1.54</v>
      </c>
      <c r="BB293" s="47" t="n">
        <v>9.6</v>
      </c>
    </row>
    <row r="294">
      <c r="A294" s="48" t="n">
        <v>45584</v>
      </c>
      <c r="B294" s="49" t="n">
        <v>130839</v>
      </c>
      <c r="C294" s="50" t="n">
        <v>3.44</v>
      </c>
      <c r="D294" s="51" t="inlineStr">
        <is>
          <t>Good</t>
        </is>
      </c>
      <c r="E294" s="52" t="n">
        <v>16.6</v>
      </c>
      <c r="F294" s="52" t="n">
        <v>1</v>
      </c>
      <c r="G294" s="51" t="inlineStr">
        <is>
          <t>Sat</t>
        </is>
      </c>
      <c r="H294" s="51" t="inlineStr">
        <is>
          <t>Weekend</t>
        </is>
      </c>
      <c r="I294" s="51" t="inlineStr">
        <is>
          <t>Fall</t>
        </is>
      </c>
      <c r="J294" s="51" t="n">
        <v>25</v>
      </c>
      <c r="K294" s="51" t="inlineStr">
        <is>
          <t>OK</t>
        </is>
      </c>
      <c r="L294" s="46" t="n">
        <v>7.32</v>
      </c>
      <c r="M294" t="inlineStr">
        <is>
          <t>Good</t>
        </is>
      </c>
      <c r="N294" s="87" t="n">
        <v>25</v>
      </c>
      <c r="O294" s="87" t="n">
        <v>0</v>
      </c>
      <c r="P294" s="87" t="n">
        <v>0</v>
      </c>
      <c r="Q294" s="87" t="n">
        <v>0</v>
      </c>
      <c r="R294" s="87" t="n">
        <v>0</v>
      </c>
      <c r="S294" s="47" t="n">
        <v>3.3</v>
      </c>
      <c r="T294" s="47" t="n">
        <v>75</v>
      </c>
      <c r="U294" s="47" t="n"/>
      <c r="V294" s="87" t="n">
        <v>1</v>
      </c>
      <c r="W294" s="87" t="n">
        <v>0</v>
      </c>
      <c r="Y294" t="inlineStr">
        <is>
          <t>Oct</t>
        </is>
      </c>
      <c r="Z294" s="87" t="n">
        <v>2024</v>
      </c>
      <c r="AA294" s="47">
        <f>IF(F294="",0,F294)</f>
        <v/>
      </c>
      <c r="AB294" s="87">
        <f>IF(AA294&gt;=0.1,1,0)</f>
        <v/>
      </c>
      <c r="AC294" s="87" t="n">
        <v>0</v>
      </c>
      <c r="AD294" s="47">
        <f>IF(U294="",0,U294)</f>
        <v/>
      </c>
      <c r="AE294" s="87">
        <f>IF(OR(V294=1,W294=1),1,0)</f>
        <v/>
      </c>
      <c r="AF294" s="87" t="n">
        <v>0</v>
      </c>
      <c r="AG294" t="n">
        <v>9109</v>
      </c>
      <c r="AH294" t="n">
        <v>121730</v>
      </c>
      <c r="AI294" t="n">
        <v>0</v>
      </c>
      <c r="AJ294" s="88">
        <f>IF(OR(AG294&lt;=0,AH294&lt;=0),"",LN(AG294)-LN(AH294))</f>
        <v/>
      </c>
      <c r="AK294" t="n">
        <v>22118</v>
      </c>
      <c r="AL294" t="n">
        <v>108721</v>
      </c>
      <c r="AM294" s="88">
        <f>IF(OR(AK294&lt;=0,AL294&lt;=0),"",LN(AK294)-LN(AL294))</f>
        <v/>
      </c>
      <c r="AN294" t="n">
        <v>8889</v>
      </c>
      <c r="AO294" t="n">
        <v>116812</v>
      </c>
      <c r="AP294" s="88">
        <f>IF(OR(AN294&lt;=0,AO294&lt;=0),"",LN(AN294)-LN(AO294))</f>
        <v/>
      </c>
      <c r="AQ294" t="n">
        <v>8793</v>
      </c>
      <c r="AR294" t="n">
        <v>121730</v>
      </c>
      <c r="AS294" s="88">
        <f>IF(OR(AQ294&lt;=0,AR294&lt;=0),"",LN(AQ294)-LN(AR294))</f>
        <v/>
      </c>
      <c r="AT294" t="n">
        <v>10906</v>
      </c>
      <c r="AU294" t="n">
        <v>119090</v>
      </c>
      <c r="AV294" t="n">
        <v>849</v>
      </c>
      <c r="AW294" t="n">
        <v>1202</v>
      </c>
      <c r="AX294" t="n">
        <v>7827</v>
      </c>
      <c r="AY294" s="88">
        <f>IF(OR(AT294&lt;=0,AU294&lt;=0),"",LN(AT294)-LN(AU294))</f>
        <v/>
      </c>
      <c r="AZ294" s="46" t="n">
        <v>2.1</v>
      </c>
      <c r="BA294" s="46" t="n">
        <v>8.19</v>
      </c>
      <c r="BB294" s="47" t="n">
        <v>6.6</v>
      </c>
    </row>
    <row r="295">
      <c r="A295" s="48" t="n">
        <v>45585</v>
      </c>
      <c r="B295" s="49" t="n">
        <v>122486</v>
      </c>
      <c r="C295" s="50" t="n">
        <v>3.64</v>
      </c>
      <c r="D295" s="51" t="inlineStr">
        <is>
          <t>Good</t>
        </is>
      </c>
      <c r="E295" s="52" t="n">
        <v>13.4</v>
      </c>
      <c r="F295" s="52" t="n"/>
      <c r="G295" s="51" t="inlineStr">
        <is>
          <t>Sun</t>
        </is>
      </c>
      <c r="H295" s="51" t="inlineStr">
        <is>
          <t>Weekend</t>
        </is>
      </c>
      <c r="I295" s="51" t="inlineStr">
        <is>
          <t>Fall</t>
        </is>
      </c>
      <c r="J295" s="51" t="n">
        <v>25</v>
      </c>
      <c r="K295" s="51" t="inlineStr">
        <is>
          <t>강수량 공란</t>
        </is>
      </c>
      <c r="L295" s="46" t="n">
        <v>11.68</v>
      </c>
      <c r="M295" t="inlineStr">
        <is>
          <t>Good</t>
        </is>
      </c>
      <c r="N295" s="87" t="n">
        <v>25</v>
      </c>
      <c r="O295" s="87" t="n">
        <v>0</v>
      </c>
      <c r="P295" s="87" t="n">
        <v>0</v>
      </c>
      <c r="Q295" s="87" t="n">
        <v>0</v>
      </c>
      <c r="R295" s="87" t="n">
        <v>0</v>
      </c>
      <c r="S295" s="47" t="n">
        <v>3.7</v>
      </c>
      <c r="T295" s="47" t="n">
        <v>56</v>
      </c>
      <c r="U295" s="47" t="n"/>
      <c r="V295" s="87" t="n">
        <v>1</v>
      </c>
      <c r="W295" s="87" t="n">
        <v>0</v>
      </c>
      <c r="Y295" t="inlineStr">
        <is>
          <t>Oct</t>
        </is>
      </c>
      <c r="Z295" s="87" t="n">
        <v>2024</v>
      </c>
      <c r="AA295" s="47">
        <f>IF(F295="",0,F295)</f>
        <v/>
      </c>
      <c r="AB295" s="87">
        <f>IF(AA295&gt;=0.1,1,0)</f>
        <v/>
      </c>
      <c r="AC295" s="87" t="n">
        <v>0</v>
      </c>
      <c r="AD295" s="47">
        <f>IF(U295="",0,U295)</f>
        <v/>
      </c>
      <c r="AE295" s="87">
        <f>IF(OR(V295=1,W295=1),1,0)</f>
        <v/>
      </c>
      <c r="AF295" s="87" t="n">
        <v>0</v>
      </c>
      <c r="AG295" t="n">
        <v>9921</v>
      </c>
      <c r="AH295" t="n">
        <v>112565</v>
      </c>
      <c r="AI295" t="n">
        <v>0</v>
      </c>
      <c r="AJ295" s="88">
        <f>IF(OR(AG295&lt;=0,AH295&lt;=0),"",LN(AG295)-LN(AH295))</f>
        <v/>
      </c>
      <c r="AK295" t="n">
        <v>22241</v>
      </c>
      <c r="AL295" t="n">
        <v>100245</v>
      </c>
      <c r="AM295" s="88">
        <f>IF(OR(AK295&lt;=0,AL295&lt;=0),"",LN(AK295)-LN(AL295))</f>
        <v/>
      </c>
      <c r="AN295" t="n">
        <v>9675</v>
      </c>
      <c r="AO295" t="n">
        <v>108092</v>
      </c>
      <c r="AP295" s="88">
        <f>IF(OR(AN295&lt;=0,AO295&lt;=0),"",LN(AN295)-LN(AO295))</f>
        <v/>
      </c>
      <c r="AQ295" t="n">
        <v>9619</v>
      </c>
      <c r="AR295" t="n">
        <v>112565</v>
      </c>
      <c r="AS295" s="88">
        <f>IF(OR(AQ295&lt;=0,AR295&lt;=0),"",LN(AQ295)-LN(AR295))</f>
        <v/>
      </c>
      <c r="AT295" t="n">
        <v>11118</v>
      </c>
      <c r="AU295" t="n">
        <v>110505</v>
      </c>
      <c r="AV295" t="n">
        <v>865</v>
      </c>
      <c r="AW295" t="n">
        <v>1441</v>
      </c>
      <c r="AX295" t="n">
        <v>8389</v>
      </c>
      <c r="AY295" s="88">
        <f>IF(OR(AT295&lt;=0,AU295&lt;=0),"",LN(AT295)-LN(AU295))</f>
        <v/>
      </c>
      <c r="AZ295" s="46" t="n">
        <v>10</v>
      </c>
      <c r="BA295" s="46" t="n">
        <v>17.47</v>
      </c>
      <c r="BB295" s="47" t="n">
        <v>1.4</v>
      </c>
    </row>
    <row r="296">
      <c r="A296" s="48" t="n">
        <v>45586</v>
      </c>
      <c r="B296" s="49" t="n">
        <v>154399</v>
      </c>
      <c r="C296" s="50" t="n">
        <v>5.4</v>
      </c>
      <c r="D296" s="51" t="inlineStr">
        <is>
          <t>Good</t>
        </is>
      </c>
      <c r="E296" s="52" t="n">
        <v>14.8</v>
      </c>
      <c r="F296" s="52" t="n">
        <v>0</v>
      </c>
      <c r="G296" s="51" t="inlineStr">
        <is>
          <t>Mon</t>
        </is>
      </c>
      <c r="H296" s="51" t="inlineStr">
        <is>
          <t>Weekday</t>
        </is>
      </c>
      <c r="I296" s="51" t="inlineStr">
        <is>
          <t>Fall</t>
        </is>
      </c>
      <c r="J296" s="51" t="n">
        <v>25</v>
      </c>
      <c r="K296" s="51" t="inlineStr">
        <is>
          <t>OK</t>
        </is>
      </c>
      <c r="L296" s="46" t="n">
        <v>15.56</v>
      </c>
      <c r="M296" t="inlineStr">
        <is>
          <t>Good</t>
        </is>
      </c>
      <c r="N296" s="87" t="n">
        <v>25</v>
      </c>
      <c r="O296" s="87" t="n">
        <v>0</v>
      </c>
      <c r="P296" s="87" t="n">
        <v>0</v>
      </c>
      <c r="Q296" s="87" t="n">
        <v>0</v>
      </c>
      <c r="R296" s="87" t="n">
        <v>0</v>
      </c>
      <c r="S296" s="47" t="n">
        <v>2.3</v>
      </c>
      <c r="T296" s="47" t="n">
        <v>66.40000000000001</v>
      </c>
      <c r="U296" s="47" t="n"/>
      <c r="V296" s="87" t="n">
        <v>0</v>
      </c>
      <c r="W296" s="87" t="n">
        <v>0</v>
      </c>
      <c r="Y296" t="inlineStr">
        <is>
          <t>Oct</t>
        </is>
      </c>
      <c r="Z296" s="87" t="n">
        <v>2024</v>
      </c>
      <c r="AA296" s="47">
        <f>IF(F296="",0,F296)</f>
        <v/>
      </c>
      <c r="AB296" s="87">
        <f>IF(AA296&gt;=0.1,1,0)</f>
        <v/>
      </c>
      <c r="AC296" s="87" t="n">
        <v>1</v>
      </c>
      <c r="AD296" s="47">
        <f>IF(U296="",0,U296)</f>
        <v/>
      </c>
      <c r="AE296" s="87">
        <f>IF(OR(V296=1,W296=1),1,0)</f>
        <v/>
      </c>
      <c r="AF296" s="87" t="n">
        <v>0</v>
      </c>
      <c r="AG296" t="n">
        <v>8289</v>
      </c>
      <c r="AH296" t="n">
        <v>146110</v>
      </c>
      <c r="AI296" t="n">
        <v>0</v>
      </c>
      <c r="AJ296" s="88">
        <f>IF(OR(AG296&lt;=0,AH296&lt;=0),"",LN(AG296)-LN(AH296))</f>
        <v/>
      </c>
      <c r="AK296" t="n">
        <v>23069</v>
      </c>
      <c r="AL296" t="n">
        <v>131330</v>
      </c>
      <c r="AM296" s="88">
        <f>IF(OR(AK296&lt;=0,AL296&lt;=0),"",LN(AK296)-LN(AL296))</f>
        <v/>
      </c>
      <c r="AN296" t="n">
        <v>8104</v>
      </c>
      <c r="AO296" t="n">
        <v>140416</v>
      </c>
      <c r="AP296" s="88">
        <f>IF(OR(AN296&lt;=0,AO296&lt;=0),"",LN(AN296)-LN(AO296))</f>
        <v/>
      </c>
      <c r="AQ296" t="n">
        <v>8101</v>
      </c>
      <c r="AR296" t="n">
        <v>146110</v>
      </c>
      <c r="AS296" s="88">
        <f>IF(OR(AQ296&lt;=0,AR296&lt;=0),"",LN(AQ296)-LN(AR296))</f>
        <v/>
      </c>
      <c r="AT296" t="n">
        <v>8966</v>
      </c>
      <c r="AU296" t="n">
        <v>144621</v>
      </c>
      <c r="AV296" t="n">
        <v>827</v>
      </c>
      <c r="AW296" t="n">
        <v>699</v>
      </c>
      <c r="AX296" t="n">
        <v>7539</v>
      </c>
      <c r="AY296" s="88">
        <f>IF(OR(AT296&lt;=0,AU296&lt;=0),"",LN(AT296)-LN(AU296))</f>
        <v/>
      </c>
      <c r="AZ296" s="46" t="n">
        <v>1.1</v>
      </c>
      <c r="BA296" s="46" t="n">
        <v>8.92</v>
      </c>
      <c r="BB296" s="47" t="n">
        <v>8.6</v>
      </c>
    </row>
    <row r="297">
      <c r="A297" s="48" t="n">
        <v>45587</v>
      </c>
      <c r="B297" s="49" t="n">
        <v>26814</v>
      </c>
      <c r="C297" s="50" t="n">
        <v>5.64</v>
      </c>
      <c r="D297" s="51" t="inlineStr">
        <is>
          <t>Good</t>
        </is>
      </c>
      <c r="E297" s="52" t="n">
        <v>15.5</v>
      </c>
      <c r="F297" s="52" t="n">
        <v>20.6</v>
      </c>
      <c r="G297" s="51" t="inlineStr">
        <is>
          <t>Tue</t>
        </is>
      </c>
      <c r="H297" s="51" t="inlineStr">
        <is>
          <t>Weekday</t>
        </is>
      </c>
      <c r="I297" s="51" t="inlineStr">
        <is>
          <t>Fall</t>
        </is>
      </c>
      <c r="J297" s="51" t="n">
        <v>25</v>
      </c>
      <c r="K297" s="51" t="inlineStr">
        <is>
          <t>OK</t>
        </is>
      </c>
      <c r="L297" s="46" t="n">
        <v>11.16</v>
      </c>
      <c r="M297" t="inlineStr">
        <is>
          <t>Good</t>
        </is>
      </c>
      <c r="N297" s="87" t="n">
        <v>25</v>
      </c>
      <c r="O297" s="87" t="n">
        <v>0</v>
      </c>
      <c r="P297" s="87" t="n">
        <v>0</v>
      </c>
      <c r="Q297" s="87" t="n">
        <v>0</v>
      </c>
      <c r="R297" s="87" t="n">
        <v>0</v>
      </c>
      <c r="S297" s="47" t="n">
        <v>2</v>
      </c>
      <c r="T297" s="47" t="n">
        <v>90.8</v>
      </c>
      <c r="U297" s="47" t="n"/>
      <c r="V297" s="87" t="n">
        <v>0</v>
      </c>
      <c r="W297" s="87" t="n">
        <v>0</v>
      </c>
      <c r="Y297" t="inlineStr">
        <is>
          <t>Oct</t>
        </is>
      </c>
      <c r="Z297" s="87" t="n">
        <v>2024</v>
      </c>
      <c r="AA297" s="47">
        <f>IF(F297="",0,F297)</f>
        <v/>
      </c>
      <c r="AB297" s="87">
        <f>IF(AA297&gt;=0.1,1,0)</f>
        <v/>
      </c>
      <c r="AC297" s="87" t="n">
        <v>0</v>
      </c>
      <c r="AD297" s="47">
        <f>IF(U297="",0,U297)</f>
        <v/>
      </c>
      <c r="AE297" s="87">
        <f>IF(OR(V297=1,W297=1),1,0)</f>
        <v/>
      </c>
      <c r="AF297" s="87" t="n">
        <v>0</v>
      </c>
      <c r="AG297" t="n">
        <v>1205</v>
      </c>
      <c r="AH297" t="n">
        <v>25609</v>
      </c>
      <c r="AI297" t="n">
        <v>0</v>
      </c>
      <c r="AJ297" s="88">
        <f>IF(OR(AG297&lt;=0,AH297&lt;=0),"",LN(AG297)-LN(AH297))</f>
        <v/>
      </c>
      <c r="AK297" t="n">
        <v>3303</v>
      </c>
      <c r="AL297" t="n">
        <v>23511</v>
      </c>
      <c r="AM297" s="88">
        <f>IF(OR(AK297&lt;=0,AL297&lt;=0),"",LN(AK297)-LN(AL297))</f>
        <v/>
      </c>
      <c r="AN297" t="n">
        <v>1193</v>
      </c>
      <c r="AO297" t="n">
        <v>24658</v>
      </c>
      <c r="AP297" s="88">
        <f>IF(OR(AN297&lt;=0,AO297&lt;=0),"",LN(AN297)-LN(AO297))</f>
        <v/>
      </c>
      <c r="AQ297" t="n">
        <v>1172</v>
      </c>
      <c r="AR297" t="n">
        <v>25609</v>
      </c>
      <c r="AS297" s="88">
        <f>IF(OR(AQ297&lt;=0,AR297&lt;=0),"",LN(AQ297)-LN(AR297))</f>
        <v/>
      </c>
      <c r="AT297" t="n">
        <v>1294</v>
      </c>
      <c r="AU297" t="n">
        <v>25348</v>
      </c>
      <c r="AV297" t="n">
        <v>178</v>
      </c>
      <c r="AW297" t="n">
        <v>65</v>
      </c>
      <c r="AX297" t="n">
        <v>1137</v>
      </c>
      <c r="AY297" s="88">
        <f>IF(OR(AT297&lt;=0,AU297&lt;=0),"",LN(AT297)-LN(AU297))</f>
        <v/>
      </c>
      <c r="AZ297" s="46" t="n">
        <v>0</v>
      </c>
      <c r="BA297" s="46" t="n">
        <v>1.27</v>
      </c>
      <c r="BB297" s="47" t="n">
        <v>10</v>
      </c>
    </row>
    <row r="298">
      <c r="A298" s="48" t="n">
        <v>45588</v>
      </c>
      <c r="B298" s="49" t="n">
        <v>143675</v>
      </c>
      <c r="C298" s="50" t="n">
        <v>6.56</v>
      </c>
      <c r="D298" s="51" t="inlineStr">
        <is>
          <t>Good</t>
        </is>
      </c>
      <c r="E298" s="52" t="n">
        <v>12.7</v>
      </c>
      <c r="F298" s="52" t="n">
        <v>2.3</v>
      </c>
      <c r="G298" s="51" t="inlineStr">
        <is>
          <t>Wed</t>
        </is>
      </c>
      <c r="H298" s="51" t="inlineStr">
        <is>
          <t>Weekday</t>
        </is>
      </c>
      <c r="I298" s="51" t="inlineStr">
        <is>
          <t>Fall</t>
        </is>
      </c>
      <c r="J298" s="51" t="n">
        <v>25</v>
      </c>
      <c r="K298" s="51" t="inlineStr">
        <is>
          <t>OK</t>
        </is>
      </c>
      <c r="L298" s="46" t="n">
        <v>14.72</v>
      </c>
      <c r="M298" t="inlineStr">
        <is>
          <t>Good</t>
        </is>
      </c>
      <c r="N298" s="87" t="n">
        <v>25</v>
      </c>
      <c r="O298" s="87" t="n">
        <v>0</v>
      </c>
      <c r="P298" s="87" t="n">
        <v>0</v>
      </c>
      <c r="Q298" s="87" t="n">
        <v>0</v>
      </c>
      <c r="R298" s="87" t="n">
        <v>0</v>
      </c>
      <c r="S298" s="47" t="n">
        <v>3.7</v>
      </c>
      <c r="T298" s="47" t="n">
        <v>75.3</v>
      </c>
      <c r="U298" s="47" t="n"/>
      <c r="V298" s="87" t="n">
        <v>0</v>
      </c>
      <c r="W298" s="87" t="n">
        <v>0</v>
      </c>
      <c r="Y298" t="inlineStr">
        <is>
          <t>Oct</t>
        </is>
      </c>
      <c r="Z298" s="87" t="n">
        <v>2024</v>
      </c>
      <c r="AA298" s="47">
        <f>IF(F298="",0,F298)</f>
        <v/>
      </c>
      <c r="AB298" s="87">
        <f>IF(AA298&gt;=0.1,1,0)</f>
        <v/>
      </c>
      <c r="AC298" s="87" t="n">
        <v>0</v>
      </c>
      <c r="AD298" s="47">
        <f>IF(U298="",0,U298)</f>
        <v/>
      </c>
      <c r="AE298" s="87">
        <f>IF(OR(V298=1,W298=1),1,0)</f>
        <v/>
      </c>
      <c r="AF298" s="87" t="n">
        <v>0</v>
      </c>
      <c r="AG298" t="n">
        <v>7453</v>
      </c>
      <c r="AH298" t="n">
        <v>136222</v>
      </c>
      <c r="AI298" t="n">
        <v>0</v>
      </c>
      <c r="AJ298" s="88">
        <f>IF(OR(AG298&lt;=0,AH298&lt;=0),"",LN(AG298)-LN(AH298))</f>
        <v/>
      </c>
      <c r="AK298" t="n">
        <v>20627</v>
      </c>
      <c r="AL298" t="n">
        <v>123048</v>
      </c>
      <c r="AM298" s="88">
        <f>IF(OR(AK298&lt;=0,AL298&lt;=0),"",LN(AK298)-LN(AL298))</f>
        <v/>
      </c>
      <c r="AN298" t="n">
        <v>7288</v>
      </c>
      <c r="AO298" t="n">
        <v>130755</v>
      </c>
      <c r="AP298" s="88">
        <f>IF(OR(AN298&lt;=0,AO298&lt;=0),"",LN(AN298)-LN(AO298))</f>
        <v/>
      </c>
      <c r="AQ298" t="n">
        <v>7264</v>
      </c>
      <c r="AR298" t="n">
        <v>136222</v>
      </c>
      <c r="AS298" s="88">
        <f>IF(OR(AQ298&lt;=0,AR298&lt;=0),"",LN(AQ298)-LN(AR298))</f>
        <v/>
      </c>
      <c r="AT298" t="n">
        <v>8511</v>
      </c>
      <c r="AU298" t="n">
        <v>134602</v>
      </c>
      <c r="AV298" t="n">
        <v>565</v>
      </c>
      <c r="AW298" t="n">
        <v>684</v>
      </c>
      <c r="AX298" t="n">
        <v>6741</v>
      </c>
      <c r="AY298" s="88">
        <f>IF(OR(AT298&lt;=0,AU298&lt;=0),"",LN(AT298)-LN(AU298))</f>
        <v/>
      </c>
      <c r="AZ298" s="46" t="n">
        <v>2.9</v>
      </c>
      <c r="BA298" s="46" t="n">
        <v>9.76</v>
      </c>
      <c r="BB298" s="47" t="n">
        <v>5.9</v>
      </c>
    </row>
    <row r="299">
      <c r="A299" s="48" t="n">
        <v>45589</v>
      </c>
      <c r="B299" s="49" t="n">
        <v>159362</v>
      </c>
      <c r="C299" s="50" t="n">
        <v>15.6</v>
      </c>
      <c r="D299" s="51" t="inlineStr">
        <is>
          <t>Moderate</t>
        </is>
      </c>
      <c r="E299" s="52" t="n">
        <v>12.5</v>
      </c>
      <c r="F299" s="52" t="n"/>
      <c r="G299" s="51" t="inlineStr">
        <is>
          <t>Thu</t>
        </is>
      </c>
      <c r="H299" s="51" t="inlineStr">
        <is>
          <t>Weekday</t>
        </is>
      </c>
      <c r="I299" s="51" t="inlineStr">
        <is>
          <t>Fall</t>
        </is>
      </c>
      <c r="J299" s="51" t="n">
        <v>25</v>
      </c>
      <c r="K299" s="51" t="inlineStr">
        <is>
          <t>강수량 공란</t>
        </is>
      </c>
      <c r="L299" s="46" t="n">
        <v>26.2</v>
      </c>
      <c r="M299" t="inlineStr">
        <is>
          <t>Good</t>
        </is>
      </c>
      <c r="N299" s="87" t="n">
        <v>25</v>
      </c>
      <c r="O299" s="87" t="n">
        <v>0</v>
      </c>
      <c r="P299" s="87" t="n">
        <v>0</v>
      </c>
      <c r="Q299" s="87" t="n">
        <v>0</v>
      </c>
      <c r="R299" s="87" t="n">
        <v>0</v>
      </c>
      <c r="S299" s="47" t="n">
        <v>1.8</v>
      </c>
      <c r="T299" s="47" t="n">
        <v>71.40000000000001</v>
      </c>
      <c r="U299" s="47" t="n"/>
      <c r="V299" s="87" t="n">
        <v>0</v>
      </c>
      <c r="W299" s="87" t="n">
        <v>0</v>
      </c>
      <c r="Y299" t="inlineStr">
        <is>
          <t>Oct</t>
        </is>
      </c>
      <c r="Z299" s="87" t="n">
        <v>2024</v>
      </c>
      <c r="AA299" s="47">
        <f>IF(F299="",0,F299)</f>
        <v/>
      </c>
      <c r="AB299" s="87">
        <f>IF(AA299&gt;=0.1,1,0)</f>
        <v/>
      </c>
      <c r="AC299" s="87" t="n">
        <v>0</v>
      </c>
      <c r="AD299" s="47">
        <f>IF(U299="",0,U299)</f>
        <v/>
      </c>
      <c r="AE299" s="87">
        <f>IF(OR(V299=1,W299=1),1,0)</f>
        <v/>
      </c>
      <c r="AF299" s="87" t="n">
        <v>0</v>
      </c>
      <c r="AG299" t="n">
        <v>8848</v>
      </c>
      <c r="AH299" t="n">
        <v>150514</v>
      </c>
      <c r="AI299" t="n">
        <v>0</v>
      </c>
      <c r="AJ299" s="88">
        <f>IF(OR(AG299&lt;=0,AH299&lt;=0),"",LN(AG299)-LN(AH299))</f>
        <v/>
      </c>
      <c r="AK299" t="n">
        <v>23962</v>
      </c>
      <c r="AL299" t="n">
        <v>135400</v>
      </c>
      <c r="AM299" s="88">
        <f>IF(OR(AK299&lt;=0,AL299&lt;=0),"",LN(AK299)-LN(AL299))</f>
        <v/>
      </c>
      <c r="AN299" t="n">
        <v>8673</v>
      </c>
      <c r="AO299" t="n">
        <v>144687</v>
      </c>
      <c r="AP299" s="88">
        <f>IF(OR(AN299&lt;=0,AO299&lt;=0),"",LN(AN299)-LN(AO299))</f>
        <v/>
      </c>
      <c r="AQ299" t="n">
        <v>8646</v>
      </c>
      <c r="AR299" t="n">
        <v>150514</v>
      </c>
      <c r="AS299" s="88">
        <f>IF(OR(AQ299&lt;=0,AR299&lt;=0),"",LN(AQ299)-LN(AR299))</f>
        <v/>
      </c>
      <c r="AT299" t="n">
        <v>9229</v>
      </c>
      <c r="AU299" t="n">
        <v>149914</v>
      </c>
      <c r="AV299" t="n">
        <v>233</v>
      </c>
      <c r="AW299" t="n">
        <v>790</v>
      </c>
      <c r="AX299" t="n">
        <v>8043</v>
      </c>
      <c r="AY299" s="88">
        <f>IF(OR(AT299&lt;=0,AU299&lt;=0),"",LN(AT299)-LN(AU299))</f>
        <v/>
      </c>
      <c r="AZ299" s="46" t="n">
        <v>9.9</v>
      </c>
      <c r="BA299" s="46" t="n">
        <v>16.03</v>
      </c>
      <c r="BB299" s="47" t="n">
        <v>0</v>
      </c>
    </row>
    <row r="300">
      <c r="A300" s="48" t="n">
        <v>45590</v>
      </c>
      <c r="B300" s="49" t="n">
        <v>166443</v>
      </c>
      <c r="C300" s="50" t="n">
        <v>14.64</v>
      </c>
      <c r="D300" s="51" t="inlineStr">
        <is>
          <t>Good</t>
        </is>
      </c>
      <c r="E300" s="52" t="n">
        <v>14.9</v>
      </c>
      <c r="F300" s="52" t="n"/>
      <c r="G300" s="51" t="inlineStr">
        <is>
          <t>Fri</t>
        </is>
      </c>
      <c r="H300" s="51" t="inlineStr">
        <is>
          <t>Weekday</t>
        </is>
      </c>
      <c r="I300" s="51" t="inlineStr">
        <is>
          <t>Fall</t>
        </is>
      </c>
      <c r="J300" s="51" t="n">
        <v>25</v>
      </c>
      <c r="K300" s="51" t="inlineStr">
        <is>
          <t>강수량 공란</t>
        </is>
      </c>
      <c r="L300" s="46" t="n">
        <v>25.88</v>
      </c>
      <c r="M300" t="inlineStr">
        <is>
          <t>Good</t>
        </is>
      </c>
      <c r="N300" s="87" t="n">
        <v>25</v>
      </c>
      <c r="O300" s="87" t="n">
        <v>0</v>
      </c>
      <c r="P300" s="87" t="n">
        <v>0</v>
      </c>
      <c r="Q300" s="87" t="n">
        <v>0</v>
      </c>
      <c r="R300" s="87" t="n">
        <v>0</v>
      </c>
      <c r="S300" s="47" t="n">
        <v>1.7</v>
      </c>
      <c r="T300" s="47" t="n">
        <v>64.09999999999999</v>
      </c>
      <c r="U300" s="47" t="n"/>
      <c r="V300" s="87" t="n">
        <v>0</v>
      </c>
      <c r="W300" s="87" t="n">
        <v>0</v>
      </c>
      <c r="Y300" t="inlineStr">
        <is>
          <t>Oct</t>
        </is>
      </c>
      <c r="Z300" s="87" t="n">
        <v>2024</v>
      </c>
      <c r="AA300" s="47">
        <f>IF(F300="",0,F300)</f>
        <v/>
      </c>
      <c r="AB300" s="87">
        <f>IF(AA300&gt;=0.1,1,0)</f>
        <v/>
      </c>
      <c r="AC300" s="87" t="n">
        <v>0</v>
      </c>
      <c r="AD300" s="47">
        <f>IF(U300="",0,U300)</f>
        <v/>
      </c>
      <c r="AE300" s="87">
        <f>IF(OR(V300=1,W300=1),1,0)</f>
        <v/>
      </c>
      <c r="AF300" s="87" t="n">
        <v>0</v>
      </c>
      <c r="AG300" t="n">
        <v>9893</v>
      </c>
      <c r="AH300" t="n">
        <v>156550</v>
      </c>
      <c r="AI300" t="n">
        <v>0</v>
      </c>
      <c r="AJ300" s="88">
        <f>IF(OR(AG300&lt;=0,AH300&lt;=0),"",LN(AG300)-LN(AH300))</f>
        <v/>
      </c>
      <c r="AK300" t="n">
        <v>25724</v>
      </c>
      <c r="AL300" t="n">
        <v>140719</v>
      </c>
      <c r="AM300" s="88">
        <f>IF(OR(AK300&lt;=0,AL300&lt;=0),"",LN(AK300)-LN(AL300))</f>
        <v/>
      </c>
      <c r="AN300" t="n">
        <v>9692</v>
      </c>
      <c r="AO300" t="n">
        <v>150552</v>
      </c>
      <c r="AP300" s="88">
        <f>IF(OR(AN300&lt;=0,AO300&lt;=0),"",LN(AN300)-LN(AO300))</f>
        <v/>
      </c>
      <c r="AQ300" t="n">
        <v>9652</v>
      </c>
      <c r="AR300" t="n">
        <v>156550</v>
      </c>
      <c r="AS300" s="88">
        <f>IF(OR(AQ300&lt;=0,AR300&lt;=0),"",LN(AQ300)-LN(AR300))</f>
        <v/>
      </c>
      <c r="AT300" t="n">
        <v>10105</v>
      </c>
      <c r="AU300" t="n">
        <v>155382</v>
      </c>
      <c r="AV300" t="n">
        <v>969</v>
      </c>
      <c r="AW300" t="n">
        <v>992</v>
      </c>
      <c r="AX300" t="n">
        <v>8824</v>
      </c>
      <c r="AY300" s="88">
        <f>IF(OR(AT300&lt;=0,AU300&lt;=0),"",LN(AT300)-LN(AU300))</f>
        <v/>
      </c>
      <c r="AZ300" s="46" t="n">
        <v>7.9</v>
      </c>
      <c r="BA300" s="46" t="n">
        <v>14.88</v>
      </c>
      <c r="BB300" s="47" t="n">
        <v>4</v>
      </c>
    </row>
    <row r="301">
      <c r="A301" s="48" t="n">
        <v>45591</v>
      </c>
      <c r="B301" s="49" t="n">
        <v>145489</v>
      </c>
      <c r="C301" s="50" t="n">
        <v>12</v>
      </c>
      <c r="D301" s="51" t="inlineStr">
        <is>
          <t>Good</t>
        </is>
      </c>
      <c r="E301" s="52" t="n">
        <v>17</v>
      </c>
      <c r="F301" s="52" t="n"/>
      <c r="G301" s="51" t="inlineStr">
        <is>
          <t>Sat</t>
        </is>
      </c>
      <c r="H301" s="51" t="inlineStr">
        <is>
          <t>Weekend</t>
        </is>
      </c>
      <c r="I301" s="51" t="inlineStr">
        <is>
          <t>Fall</t>
        </is>
      </c>
      <c r="J301" s="51" t="n">
        <v>25</v>
      </c>
      <c r="K301" s="51" t="inlineStr">
        <is>
          <t>강수량 공란</t>
        </is>
      </c>
      <c r="L301" s="46" t="n">
        <v>21.72</v>
      </c>
      <c r="M301" t="inlineStr">
        <is>
          <t>Good</t>
        </is>
      </c>
      <c r="N301" s="87" t="n">
        <v>25</v>
      </c>
      <c r="O301" s="87" t="n">
        <v>0</v>
      </c>
      <c r="P301" s="87" t="n">
        <v>0</v>
      </c>
      <c r="Q301" s="87" t="n">
        <v>0</v>
      </c>
      <c r="R301" s="87" t="n">
        <v>0</v>
      </c>
      <c r="S301" s="47" t="n">
        <v>1.8</v>
      </c>
      <c r="T301" s="47" t="n">
        <v>68.3</v>
      </c>
      <c r="U301" s="47" t="n"/>
      <c r="V301" s="87" t="n">
        <v>1</v>
      </c>
      <c r="W301" s="87" t="n">
        <v>0</v>
      </c>
      <c r="Y301" t="inlineStr">
        <is>
          <t>Oct</t>
        </is>
      </c>
      <c r="Z301" s="87" t="n">
        <v>2024</v>
      </c>
      <c r="AA301" s="47">
        <f>IF(F301="",0,F301)</f>
        <v/>
      </c>
      <c r="AB301" s="87">
        <f>IF(AA301&gt;=0.1,1,0)</f>
        <v/>
      </c>
      <c r="AC301" s="87" t="n">
        <v>0</v>
      </c>
      <c r="AD301" s="47">
        <f>IF(U301="",0,U301)</f>
        <v/>
      </c>
      <c r="AE301" s="87">
        <f>IF(OR(V301=1,W301=1),1,0)</f>
        <v/>
      </c>
      <c r="AF301" s="87" t="n">
        <v>0</v>
      </c>
      <c r="AG301" t="n">
        <v>11661</v>
      </c>
      <c r="AH301" t="n">
        <v>133828</v>
      </c>
      <c r="AI301" t="n">
        <v>0</v>
      </c>
      <c r="AJ301" s="88">
        <f>IF(OR(AG301&lt;=0,AH301&lt;=0),"",LN(AG301)-LN(AH301))</f>
        <v/>
      </c>
      <c r="AK301" t="n">
        <v>26121</v>
      </c>
      <c r="AL301" t="n">
        <v>119368</v>
      </c>
      <c r="AM301" s="88">
        <f>IF(OR(AK301&lt;=0,AL301&lt;=0),"",LN(AK301)-LN(AL301))</f>
        <v/>
      </c>
      <c r="AN301" t="n">
        <v>11382</v>
      </c>
      <c r="AO301" t="n">
        <v>128675</v>
      </c>
      <c r="AP301" s="88">
        <f>IF(OR(AN301&lt;=0,AO301&lt;=0),"",LN(AN301)-LN(AO301))</f>
        <v/>
      </c>
      <c r="AQ301" t="n">
        <v>11347</v>
      </c>
      <c r="AR301" t="n">
        <v>133828</v>
      </c>
      <c r="AS301" s="88">
        <f>IF(OR(AQ301&lt;=0,AR301&lt;=0),"",LN(AQ301)-LN(AR301))</f>
        <v/>
      </c>
      <c r="AT301" t="n">
        <v>11995</v>
      </c>
      <c r="AU301" t="n">
        <v>132519</v>
      </c>
      <c r="AV301" t="n">
        <v>982</v>
      </c>
      <c r="AW301" t="n">
        <v>1512</v>
      </c>
      <c r="AX301" t="n">
        <v>10055</v>
      </c>
      <c r="AY301" s="88">
        <f>IF(OR(AT301&lt;=0,AU301&lt;=0),"",LN(AT301)-LN(AU301))</f>
        <v/>
      </c>
      <c r="AZ301" s="46" t="n">
        <v>9.699999999999999</v>
      </c>
      <c r="BA301" s="46" t="n">
        <v>16.04</v>
      </c>
      <c r="BB301" s="47" t="n">
        <v>2.8</v>
      </c>
    </row>
    <row r="302">
      <c r="A302" s="48" t="n">
        <v>45592</v>
      </c>
      <c r="B302" s="49" t="n">
        <v>110955</v>
      </c>
      <c r="C302" s="50" t="n">
        <v>16.28</v>
      </c>
      <c r="D302" s="51" t="inlineStr">
        <is>
          <t>Moderate</t>
        </is>
      </c>
      <c r="E302" s="52" t="n">
        <v>16</v>
      </c>
      <c r="F302" s="52" t="n">
        <v>0</v>
      </c>
      <c r="G302" s="51" t="inlineStr">
        <is>
          <t>Sun</t>
        </is>
      </c>
      <c r="H302" s="51" t="inlineStr">
        <is>
          <t>Weekend</t>
        </is>
      </c>
      <c r="I302" s="51" t="inlineStr">
        <is>
          <t>Fall</t>
        </is>
      </c>
      <c r="J302" s="51" t="n">
        <v>25</v>
      </c>
      <c r="K302" s="51" t="inlineStr">
        <is>
          <t>OK</t>
        </is>
      </c>
      <c r="L302" s="46" t="n">
        <v>26.76</v>
      </c>
      <c r="M302" t="inlineStr">
        <is>
          <t>Good</t>
        </is>
      </c>
      <c r="N302" s="87" t="n">
        <v>25</v>
      </c>
      <c r="O302" s="87" t="n">
        <v>0</v>
      </c>
      <c r="P302" s="87" t="n">
        <v>0</v>
      </c>
      <c r="Q302" s="87" t="n">
        <v>0</v>
      </c>
      <c r="R302" s="87" t="n">
        <v>0</v>
      </c>
      <c r="S302" s="47" t="n">
        <v>1.6</v>
      </c>
      <c r="T302" s="47" t="n">
        <v>79.40000000000001</v>
      </c>
      <c r="U302" s="47" t="n"/>
      <c r="V302" s="87" t="n">
        <v>1</v>
      </c>
      <c r="W302" s="87" t="n">
        <v>0</v>
      </c>
      <c r="Y302" t="inlineStr">
        <is>
          <t>Oct</t>
        </is>
      </c>
      <c r="Z302" s="87" t="n">
        <v>2024</v>
      </c>
      <c r="AA302" s="47">
        <f>IF(F302="",0,F302)</f>
        <v/>
      </c>
      <c r="AB302" s="87">
        <f>IF(AA302&gt;=0.1,1,0)</f>
        <v/>
      </c>
      <c r="AC302" s="87" t="n">
        <v>1</v>
      </c>
      <c r="AD302" s="47">
        <f>IF(U302="",0,U302)</f>
        <v/>
      </c>
      <c r="AE302" s="87">
        <f>IF(OR(V302=1,W302=1),1,0)</f>
        <v/>
      </c>
      <c r="AF302" s="87" t="n">
        <v>0</v>
      </c>
      <c r="AG302" t="n">
        <v>8420</v>
      </c>
      <c r="AH302" t="n">
        <v>102535</v>
      </c>
      <c r="AI302" t="n">
        <v>0</v>
      </c>
      <c r="AJ302" s="88">
        <f>IF(OR(AG302&lt;=0,AH302&lt;=0),"",LN(AG302)-LN(AH302))</f>
        <v/>
      </c>
      <c r="AK302" t="n">
        <v>18993</v>
      </c>
      <c r="AL302" t="n">
        <v>91962</v>
      </c>
      <c r="AM302" s="88">
        <f>IF(OR(AK302&lt;=0,AL302&lt;=0),"",LN(AK302)-LN(AL302))</f>
        <v/>
      </c>
      <c r="AN302" t="n">
        <v>8187</v>
      </c>
      <c r="AO302" t="n">
        <v>98733</v>
      </c>
      <c r="AP302" s="88">
        <f>IF(OR(AN302&lt;=0,AO302&lt;=0),"",LN(AN302)-LN(AO302))</f>
        <v/>
      </c>
      <c r="AQ302" t="n">
        <v>8167</v>
      </c>
      <c r="AR302" t="n">
        <v>102535</v>
      </c>
      <c r="AS302" s="88">
        <f>IF(OR(AQ302&lt;=0,AR302&lt;=0),"",LN(AQ302)-LN(AR302))</f>
        <v/>
      </c>
      <c r="AT302" t="n">
        <v>10091</v>
      </c>
      <c r="AU302" t="n">
        <v>100193</v>
      </c>
      <c r="AV302" t="n">
        <v>670</v>
      </c>
      <c r="AW302" t="n">
        <v>1192</v>
      </c>
      <c r="AX302" t="n">
        <v>7151</v>
      </c>
      <c r="AY302" s="88">
        <f>IF(OR(AT302&lt;=0,AU302&lt;=0),"",LN(AT302)-LN(AU302))</f>
        <v/>
      </c>
      <c r="AZ302" s="46" t="n">
        <v>0.2</v>
      </c>
      <c r="BA302" s="46" t="n">
        <v>5.27</v>
      </c>
      <c r="BB302" s="47" t="n">
        <v>8.300000000000001</v>
      </c>
    </row>
    <row r="303">
      <c r="A303" s="48" t="n">
        <v>45593</v>
      </c>
      <c r="B303" s="49" t="n">
        <v>159272</v>
      </c>
      <c r="C303" s="50" t="n">
        <v>21.68</v>
      </c>
      <c r="D303" s="51" t="inlineStr">
        <is>
          <t>Moderate</t>
        </is>
      </c>
      <c r="E303" s="52" t="n">
        <v>15.7</v>
      </c>
      <c r="F303" s="52" t="n">
        <v>0</v>
      </c>
      <c r="G303" s="51" t="inlineStr">
        <is>
          <t>Mon</t>
        </is>
      </c>
      <c r="H303" s="51" t="inlineStr">
        <is>
          <t>Weekday</t>
        </is>
      </c>
      <c r="I303" s="51" t="inlineStr">
        <is>
          <t>Fall</t>
        </is>
      </c>
      <c r="J303" s="51" t="n">
        <v>25</v>
      </c>
      <c r="K303" s="51" t="inlineStr">
        <is>
          <t>OK</t>
        </is>
      </c>
      <c r="L303" s="46" t="n">
        <v>32.04</v>
      </c>
      <c r="M303" t="inlineStr">
        <is>
          <t>Moderate</t>
        </is>
      </c>
      <c r="N303" s="87" t="n">
        <v>25</v>
      </c>
      <c r="O303" s="87" t="n">
        <v>0</v>
      </c>
      <c r="P303" s="87" t="n">
        <v>0</v>
      </c>
      <c r="Q303" s="87" t="n">
        <v>0</v>
      </c>
      <c r="R303" s="87" t="n">
        <v>0</v>
      </c>
      <c r="S303" s="47" t="n">
        <v>2.1</v>
      </c>
      <c r="T303" s="47" t="n">
        <v>75.90000000000001</v>
      </c>
      <c r="U303" s="47" t="n"/>
      <c r="V303" s="87" t="n">
        <v>0</v>
      </c>
      <c r="W303" s="87" t="n">
        <v>0</v>
      </c>
      <c r="Y303" t="inlineStr">
        <is>
          <t>Oct</t>
        </is>
      </c>
      <c r="Z303" s="87" t="n">
        <v>2024</v>
      </c>
      <c r="AA303" s="47">
        <f>IF(F303="",0,F303)</f>
        <v/>
      </c>
      <c r="AB303" s="87">
        <f>IF(AA303&gt;=0.1,1,0)</f>
        <v/>
      </c>
      <c r="AC303" s="87" t="n">
        <v>1</v>
      </c>
      <c r="AD303" s="47">
        <f>IF(U303="",0,U303)</f>
        <v/>
      </c>
      <c r="AE303" s="87">
        <f>IF(OR(V303=1,W303=1),1,0)</f>
        <v/>
      </c>
      <c r="AF303" s="87" t="n">
        <v>0</v>
      </c>
      <c r="AG303" t="n">
        <v>8628</v>
      </c>
      <c r="AH303" t="n">
        <v>150644</v>
      </c>
      <c r="AI303" t="n">
        <v>0</v>
      </c>
      <c r="AJ303" s="88">
        <f>IF(OR(AG303&lt;=0,AH303&lt;=0),"",LN(AG303)-LN(AH303))</f>
        <v/>
      </c>
      <c r="AK303" t="n">
        <v>23675</v>
      </c>
      <c r="AL303" t="n">
        <v>135597</v>
      </c>
      <c r="AM303" s="88">
        <f>IF(OR(AK303&lt;=0,AL303&lt;=0),"",LN(AK303)-LN(AL303))</f>
        <v/>
      </c>
      <c r="AN303" t="n">
        <v>8432</v>
      </c>
      <c r="AO303" t="n">
        <v>144804</v>
      </c>
      <c r="AP303" s="88">
        <f>IF(OR(AN303&lt;=0,AO303&lt;=0),"",LN(AN303)-LN(AO303))</f>
        <v/>
      </c>
      <c r="AQ303" t="n">
        <v>8390</v>
      </c>
      <c r="AR303" t="n">
        <v>150644</v>
      </c>
      <c r="AS303" s="88">
        <f>IF(OR(AQ303&lt;=0,AR303&lt;=0),"",LN(AQ303)-LN(AR303))</f>
        <v/>
      </c>
      <c r="AT303" t="n">
        <v>9335</v>
      </c>
      <c r="AU303" t="n">
        <v>149026</v>
      </c>
      <c r="AV303" t="n">
        <v>919</v>
      </c>
      <c r="AW303" t="n">
        <v>775</v>
      </c>
      <c r="AX303" t="n">
        <v>7803</v>
      </c>
      <c r="AY303" s="88">
        <f>IF(OR(AT303&lt;=0,AU303&lt;=0),"",LN(AT303)-LN(AU303))</f>
        <v/>
      </c>
      <c r="AZ303" s="46" t="n">
        <v>1.9</v>
      </c>
      <c r="BA303" s="46" t="n">
        <v>8.92</v>
      </c>
      <c r="BB303" s="47" t="n">
        <v>8.300000000000001</v>
      </c>
    </row>
    <row r="304">
      <c r="A304" s="48" t="n">
        <v>45594</v>
      </c>
      <c r="B304" s="49" t="n">
        <v>154496</v>
      </c>
      <c r="C304" s="50" t="n">
        <v>6.96</v>
      </c>
      <c r="D304" s="51" t="inlineStr">
        <is>
          <t>Good</t>
        </is>
      </c>
      <c r="E304" s="52" t="n">
        <v>15</v>
      </c>
      <c r="F304" s="52" t="n">
        <v>0</v>
      </c>
      <c r="G304" s="51" t="inlineStr">
        <is>
          <t>Tue</t>
        </is>
      </c>
      <c r="H304" s="51" t="inlineStr">
        <is>
          <t>Weekday</t>
        </is>
      </c>
      <c r="I304" s="51" t="inlineStr">
        <is>
          <t>Fall</t>
        </is>
      </c>
      <c r="J304" s="51" t="n">
        <v>25</v>
      </c>
      <c r="K304" s="51" t="inlineStr">
        <is>
          <t>OK</t>
        </is>
      </c>
      <c r="L304" s="46" t="n">
        <v>14.6</v>
      </c>
      <c r="M304" t="inlineStr">
        <is>
          <t>Good</t>
        </is>
      </c>
      <c r="N304" s="87" t="n">
        <v>25</v>
      </c>
      <c r="O304" s="87" t="n">
        <v>0</v>
      </c>
      <c r="P304" s="87" t="n">
        <v>0</v>
      </c>
      <c r="Q304" s="87" t="n">
        <v>0</v>
      </c>
      <c r="R304" s="87" t="n">
        <v>0</v>
      </c>
      <c r="S304" s="47" t="n">
        <v>2.3</v>
      </c>
      <c r="T304" s="47" t="n">
        <v>64.59999999999999</v>
      </c>
      <c r="U304" s="47" t="n"/>
      <c r="V304" s="87" t="n">
        <v>0</v>
      </c>
      <c r="W304" s="87" t="n">
        <v>0</v>
      </c>
      <c r="Y304" t="inlineStr">
        <is>
          <t>Oct</t>
        </is>
      </c>
      <c r="Z304" s="87" t="n">
        <v>2024</v>
      </c>
      <c r="AA304" s="47">
        <f>IF(F304="",0,F304)</f>
        <v/>
      </c>
      <c r="AB304" s="87">
        <f>IF(AA304&gt;=0.1,1,0)</f>
        <v/>
      </c>
      <c r="AC304" s="87" t="n">
        <v>1</v>
      </c>
      <c r="AD304" s="47">
        <f>IF(U304="",0,U304)</f>
        <v/>
      </c>
      <c r="AE304" s="87">
        <f>IF(OR(V304=1,W304=1),1,0)</f>
        <v/>
      </c>
      <c r="AF304" s="87" t="n">
        <v>0</v>
      </c>
      <c r="AG304" t="n">
        <v>8212</v>
      </c>
      <c r="AH304" t="n">
        <v>146282</v>
      </c>
      <c r="AI304" t="n">
        <v>2</v>
      </c>
      <c r="AJ304" s="88">
        <f>IF(OR(AG304&lt;=0,AH304&lt;=0),"",LN(AG304)-LN(AH304))</f>
        <v/>
      </c>
      <c r="AK304" t="n">
        <v>22641</v>
      </c>
      <c r="AL304" t="n">
        <v>131853</v>
      </c>
      <c r="AM304" s="88">
        <f>IF(OR(AK304&lt;=0,AL304&lt;=0),"",LN(AK304)-LN(AL304))</f>
        <v/>
      </c>
      <c r="AN304" t="n">
        <v>8054</v>
      </c>
      <c r="AO304" t="n">
        <v>140534</v>
      </c>
      <c r="AP304" s="88">
        <f>IF(OR(AN304&lt;=0,AO304&lt;=0),"",LN(AN304)-LN(AO304))</f>
        <v/>
      </c>
      <c r="AQ304" t="n">
        <v>8004</v>
      </c>
      <c r="AR304" t="n">
        <v>146282</v>
      </c>
      <c r="AS304" s="88">
        <f>IF(OR(AQ304&lt;=0,AR304&lt;=0),"",LN(AQ304)-LN(AR304))</f>
        <v/>
      </c>
      <c r="AT304" t="n">
        <v>8486</v>
      </c>
      <c r="AU304" t="n">
        <v>145121</v>
      </c>
      <c r="AV304" t="n">
        <v>896</v>
      </c>
      <c r="AW304" t="n">
        <v>684</v>
      </c>
      <c r="AX304" t="n">
        <v>7474</v>
      </c>
      <c r="AY304" s="88">
        <f>IF(OR(AT304&lt;=0,AU304&lt;=0),"",LN(AT304)-LN(AU304))</f>
        <v/>
      </c>
      <c r="AZ304" s="46" t="n">
        <v>0.2</v>
      </c>
      <c r="BA304" s="46" t="n">
        <v>6.22</v>
      </c>
      <c r="BB304" s="47" t="n">
        <v>6</v>
      </c>
    </row>
    <row r="305">
      <c r="A305" s="48" t="n">
        <v>45595</v>
      </c>
      <c r="B305" s="49" t="n">
        <v>167856</v>
      </c>
      <c r="C305" s="50" t="n">
        <v>15.68</v>
      </c>
      <c r="D305" s="51" t="inlineStr">
        <is>
          <t>Moderate</t>
        </is>
      </c>
      <c r="E305" s="52" t="n">
        <v>15.7</v>
      </c>
      <c r="F305" s="52" t="n"/>
      <c r="G305" s="51" t="inlineStr">
        <is>
          <t>Wed</t>
        </is>
      </c>
      <c r="H305" s="51" t="inlineStr">
        <is>
          <t>Weekday</t>
        </is>
      </c>
      <c r="I305" s="51" t="inlineStr">
        <is>
          <t>Fall</t>
        </is>
      </c>
      <c r="J305" s="51" t="n">
        <v>25</v>
      </c>
      <c r="K305" s="51" t="inlineStr">
        <is>
          <t>강수량 공란</t>
        </is>
      </c>
      <c r="L305" s="46" t="n">
        <v>27.24</v>
      </c>
      <c r="M305" t="inlineStr">
        <is>
          <t>Good</t>
        </is>
      </c>
      <c r="N305" s="87" t="n">
        <v>25</v>
      </c>
      <c r="O305" s="87" t="n">
        <v>0</v>
      </c>
      <c r="P305" s="87" t="n">
        <v>0</v>
      </c>
      <c r="Q305" s="87" t="n">
        <v>0</v>
      </c>
      <c r="R305" s="87" t="n">
        <v>0</v>
      </c>
      <c r="S305" s="47" t="n">
        <v>1.6</v>
      </c>
      <c r="T305" s="47" t="n">
        <v>71.3</v>
      </c>
      <c r="U305" s="47" t="n"/>
      <c r="V305" s="87" t="n">
        <v>0</v>
      </c>
      <c r="W305" s="87" t="n">
        <v>0</v>
      </c>
      <c r="Y305" t="inlineStr">
        <is>
          <t>Oct</t>
        </is>
      </c>
      <c r="Z305" s="87" t="n">
        <v>2024</v>
      </c>
      <c r="AA305" s="47">
        <f>IF(F305="",0,F305)</f>
        <v/>
      </c>
      <c r="AB305" s="87">
        <f>IF(AA305&gt;=0.1,1,0)</f>
        <v/>
      </c>
      <c r="AC305" s="87" t="n">
        <v>0</v>
      </c>
      <c r="AD305" s="47">
        <f>IF(U305="",0,U305)</f>
        <v/>
      </c>
      <c r="AE305" s="87">
        <f>IF(OR(V305=1,W305=1),1,0)</f>
        <v/>
      </c>
      <c r="AF305" s="87" t="n">
        <v>0</v>
      </c>
      <c r="AG305" t="n">
        <v>9213</v>
      </c>
      <c r="AH305" t="n">
        <v>158643</v>
      </c>
      <c r="AI305" t="n">
        <v>0</v>
      </c>
      <c r="AJ305" s="88">
        <f>IF(OR(AG305&lt;=0,AH305&lt;=0),"",LN(AG305)-LN(AH305))</f>
        <v/>
      </c>
      <c r="AK305" t="n">
        <v>25037</v>
      </c>
      <c r="AL305" t="n">
        <v>142819</v>
      </c>
      <c r="AM305" s="88">
        <f>IF(OR(AK305&lt;=0,AL305&lt;=0),"",LN(AK305)-LN(AL305))</f>
        <v/>
      </c>
      <c r="AN305" t="n">
        <v>9023</v>
      </c>
      <c r="AO305" t="n">
        <v>152448</v>
      </c>
      <c r="AP305" s="88">
        <f>IF(OR(AN305&lt;=0,AO305&lt;=0),"",LN(AN305)-LN(AO305))</f>
        <v/>
      </c>
      <c r="AQ305" t="n">
        <v>8978</v>
      </c>
      <c r="AR305" t="n">
        <v>158643</v>
      </c>
      <c r="AS305" s="88">
        <f>IF(OR(AQ305&lt;=0,AR305&lt;=0),"",LN(AQ305)-LN(AR305))</f>
        <v/>
      </c>
      <c r="AT305" t="n">
        <v>9740</v>
      </c>
      <c r="AU305" t="n">
        <v>157124</v>
      </c>
      <c r="AV305" t="n">
        <v>998</v>
      </c>
      <c r="AW305" t="n">
        <v>806</v>
      </c>
      <c r="AX305" t="n">
        <v>8355</v>
      </c>
      <c r="AY305" s="88">
        <f>IF(OR(AT305&lt;=0,AU305&lt;=0),"",LN(AT305)-LN(AU305))</f>
        <v/>
      </c>
      <c r="AZ305" s="46" t="n">
        <v>9.6</v>
      </c>
      <c r="BA305" s="46" t="n">
        <v>14.75</v>
      </c>
      <c r="BB305" s="47" t="n">
        <v>1.3</v>
      </c>
    </row>
    <row r="306">
      <c r="A306" s="48" t="n">
        <v>45596</v>
      </c>
      <c r="B306" s="49" t="n">
        <v>167806</v>
      </c>
      <c r="C306" s="50" t="n">
        <v>20.28</v>
      </c>
      <c r="D306" s="51" t="inlineStr">
        <is>
          <t>Moderate</t>
        </is>
      </c>
      <c r="E306" s="52" t="n">
        <v>15.9</v>
      </c>
      <c r="F306" s="52" t="n"/>
      <c r="G306" s="51" t="inlineStr">
        <is>
          <t>Thu</t>
        </is>
      </c>
      <c r="H306" s="51" t="inlineStr">
        <is>
          <t>Weekday</t>
        </is>
      </c>
      <c r="I306" s="51" t="inlineStr">
        <is>
          <t>Fall</t>
        </is>
      </c>
      <c r="J306" s="51" t="n">
        <v>25</v>
      </c>
      <c r="K306" s="51" t="inlineStr">
        <is>
          <t>강수량 공란</t>
        </is>
      </c>
      <c r="L306" s="46" t="n">
        <v>33.24</v>
      </c>
      <c r="M306" t="inlineStr">
        <is>
          <t>Moderate</t>
        </is>
      </c>
      <c r="N306" s="87" t="n">
        <v>25</v>
      </c>
      <c r="O306" s="87" t="n">
        <v>0</v>
      </c>
      <c r="P306" s="87" t="n">
        <v>0</v>
      </c>
      <c r="Q306" s="87" t="n">
        <v>0</v>
      </c>
      <c r="R306" s="87" t="n">
        <v>0</v>
      </c>
      <c r="S306" s="47" t="n">
        <v>1.4</v>
      </c>
      <c r="T306" s="47" t="n">
        <v>67.8</v>
      </c>
      <c r="U306" s="47" t="n"/>
      <c r="V306" s="87" t="n">
        <v>0</v>
      </c>
      <c r="W306" s="87" t="n">
        <v>0</v>
      </c>
      <c r="Y306" t="inlineStr">
        <is>
          <t>Oct</t>
        </is>
      </c>
      <c r="Z306" s="87" t="n">
        <v>2024</v>
      </c>
      <c r="AA306" s="47">
        <f>IF(F306="",0,F306)</f>
        <v/>
      </c>
      <c r="AB306" s="87">
        <f>IF(AA306&gt;=0.1,1,0)</f>
        <v/>
      </c>
      <c r="AC306" s="87" t="n">
        <v>0</v>
      </c>
      <c r="AD306" s="47">
        <f>IF(U306="",0,U306)</f>
        <v/>
      </c>
      <c r="AE306" s="87">
        <f>IF(OR(V306=1,W306=1),1,0)</f>
        <v/>
      </c>
      <c r="AF306" s="87" t="n">
        <v>0</v>
      </c>
      <c r="AG306" t="n">
        <v>9384</v>
      </c>
      <c r="AH306" t="n">
        <v>158422</v>
      </c>
      <c r="AI306" t="n">
        <v>0</v>
      </c>
      <c r="AJ306" s="88">
        <f>IF(OR(AG306&lt;=0,AH306&lt;=0),"",LN(AG306)-LN(AH306))</f>
        <v/>
      </c>
      <c r="AK306" t="n">
        <v>25226</v>
      </c>
      <c r="AL306" t="n">
        <v>142580</v>
      </c>
      <c r="AM306" s="88">
        <f>IF(OR(AK306&lt;=0,AL306&lt;=0),"",LN(AK306)-LN(AL306))</f>
        <v/>
      </c>
      <c r="AN306" t="n">
        <v>9184</v>
      </c>
      <c r="AO306" t="n">
        <v>152428</v>
      </c>
      <c r="AP306" s="88">
        <f>IF(OR(AN306&lt;=0,AO306&lt;=0),"",LN(AN306)-LN(AO306))</f>
        <v/>
      </c>
      <c r="AQ306" t="n">
        <v>9132</v>
      </c>
      <c r="AR306" t="n">
        <v>158422</v>
      </c>
      <c r="AS306" s="88">
        <f>IF(OR(AQ306&lt;=0,AR306&lt;=0),"",LN(AQ306)-LN(AR306))</f>
        <v/>
      </c>
      <c r="AT306" t="n">
        <v>9960</v>
      </c>
      <c r="AU306" t="n">
        <v>156860</v>
      </c>
      <c r="AV306" t="n">
        <v>994</v>
      </c>
      <c r="AW306" t="n">
        <v>826</v>
      </c>
      <c r="AX306" t="n">
        <v>8508</v>
      </c>
      <c r="AY306" s="88">
        <f>IF(OR(AT306&lt;=0,AU306&lt;=0),"",LN(AT306)-LN(AU306))</f>
        <v/>
      </c>
      <c r="AZ306" s="46" t="n">
        <v>9.4</v>
      </c>
      <c r="BA306" s="46" t="n">
        <v>14.38</v>
      </c>
      <c r="BB306" s="47" t="n">
        <v>1.8</v>
      </c>
    </row>
    <row r="307">
      <c r="A307" s="48" t="n">
        <v>45597</v>
      </c>
      <c r="B307" s="49" t="n">
        <v>166365</v>
      </c>
      <c r="C307" s="50" t="n">
        <v>23.6</v>
      </c>
      <c r="D307" s="51" t="inlineStr">
        <is>
          <t>Moderate</t>
        </is>
      </c>
      <c r="E307" s="52" t="n">
        <v>15.3</v>
      </c>
      <c r="F307" s="52" t="n"/>
      <c r="G307" s="51" t="inlineStr">
        <is>
          <t>Fri</t>
        </is>
      </c>
      <c r="H307" s="51" t="inlineStr">
        <is>
          <t>Weekday</t>
        </is>
      </c>
      <c r="I307" s="51" t="inlineStr">
        <is>
          <t>Fall</t>
        </is>
      </c>
      <c r="J307" s="51" t="n">
        <v>25</v>
      </c>
      <c r="K307" s="51" t="inlineStr">
        <is>
          <t>강수량 공란</t>
        </is>
      </c>
      <c r="L307" s="46" t="n">
        <v>38.12</v>
      </c>
      <c r="M307" t="inlineStr">
        <is>
          <t>Moderate</t>
        </is>
      </c>
      <c r="N307" s="87" t="n">
        <v>25</v>
      </c>
      <c r="O307" s="87" t="n">
        <v>0</v>
      </c>
      <c r="P307" s="87" t="n">
        <v>0</v>
      </c>
      <c r="Q307" s="87" t="n">
        <v>0</v>
      </c>
      <c r="R307" s="87" t="n">
        <v>0</v>
      </c>
      <c r="S307" s="47" t="n">
        <v>1.4</v>
      </c>
      <c r="T307" s="47" t="n">
        <v>70.8</v>
      </c>
      <c r="U307" s="47" t="n"/>
      <c r="V307" s="87" t="n">
        <v>0</v>
      </c>
      <c r="W307" s="87" t="n">
        <v>0</v>
      </c>
      <c r="Y307" t="inlineStr">
        <is>
          <t>Nov</t>
        </is>
      </c>
      <c r="Z307" s="87" t="n">
        <v>2024</v>
      </c>
      <c r="AA307" s="47">
        <f>IF(F307="",0,F307)</f>
        <v/>
      </c>
      <c r="AB307" s="87">
        <f>IF(AA307&gt;=0.1,1,0)</f>
        <v/>
      </c>
      <c r="AC307" s="87" t="n">
        <v>0</v>
      </c>
      <c r="AD307" s="47">
        <f>IF(U307="",0,U307)</f>
        <v/>
      </c>
      <c r="AE307" s="87">
        <f>IF(OR(V307=1,W307=1),1,0)</f>
        <v/>
      </c>
      <c r="AF307" s="87" t="n">
        <v>0</v>
      </c>
      <c r="AG307" t="n">
        <v>9393</v>
      </c>
      <c r="AH307" t="n">
        <v>156972</v>
      </c>
      <c r="AI307" t="n">
        <v>0</v>
      </c>
      <c r="AJ307" s="88">
        <f>IF(OR(AG307&lt;=0,AH307&lt;=0),"",LN(AG307)-LN(AH307))</f>
        <v/>
      </c>
      <c r="AK307" t="n">
        <v>24932</v>
      </c>
      <c r="AL307" t="n">
        <v>141433</v>
      </c>
      <c r="AM307" s="88">
        <f>IF(OR(AK307&lt;=0,AL307&lt;=0),"",LN(AK307)-LN(AL307))</f>
        <v/>
      </c>
      <c r="AN307" t="n">
        <v>9211</v>
      </c>
      <c r="AO307" t="n">
        <v>150947</v>
      </c>
      <c r="AP307" s="88">
        <f>IF(OR(AN307&lt;=0,AO307&lt;=0),"",LN(AN307)-LN(AO307))</f>
        <v/>
      </c>
      <c r="AQ307" t="n">
        <v>9146</v>
      </c>
      <c r="AR307" t="n">
        <v>156972</v>
      </c>
      <c r="AS307" s="88">
        <f>IF(OR(AQ307&lt;=0,AR307&lt;=0),"",LN(AQ307)-LN(AR307))</f>
        <v/>
      </c>
      <c r="AT307" t="n">
        <v>9695</v>
      </c>
      <c r="AU307" t="n">
        <v>155650</v>
      </c>
      <c r="AV307" t="n">
        <v>1030</v>
      </c>
      <c r="AW307" t="n">
        <v>875</v>
      </c>
      <c r="AX307" t="n">
        <v>8445</v>
      </c>
      <c r="AY307" s="88">
        <f>IF(OR(AT307&lt;=0,AU307&lt;=0),"",LN(AT307)-LN(AU307))</f>
        <v/>
      </c>
      <c r="AZ307" s="46" t="n">
        <v>0.1</v>
      </c>
      <c r="BA307" s="46" t="n">
        <v>5.83</v>
      </c>
      <c r="BB307" s="47" t="n">
        <v>9.800000000000001</v>
      </c>
    </row>
    <row r="308">
      <c r="A308" s="48" t="n">
        <v>45598</v>
      </c>
      <c r="B308" s="49" t="n">
        <v>146372</v>
      </c>
      <c r="C308" s="50" t="n">
        <v>19.68</v>
      </c>
      <c r="D308" s="51" t="inlineStr">
        <is>
          <t>Moderate</t>
        </is>
      </c>
      <c r="E308" s="52" t="n">
        <v>18.1</v>
      </c>
      <c r="F308" s="52" t="n"/>
      <c r="G308" s="51" t="inlineStr">
        <is>
          <t>Sat</t>
        </is>
      </c>
      <c r="H308" s="51" t="inlineStr">
        <is>
          <t>Weekend</t>
        </is>
      </c>
      <c r="I308" s="51" t="inlineStr">
        <is>
          <t>Fall</t>
        </is>
      </c>
      <c r="J308" s="51" t="n">
        <v>25</v>
      </c>
      <c r="K308" s="51" t="inlineStr">
        <is>
          <t>강수량 공란</t>
        </is>
      </c>
      <c r="L308" s="46" t="n">
        <v>31.48</v>
      </c>
      <c r="M308" t="inlineStr">
        <is>
          <t>Moderate</t>
        </is>
      </c>
      <c r="N308" s="87" t="n">
        <v>25</v>
      </c>
      <c r="O308" s="87" t="n">
        <v>0</v>
      </c>
      <c r="P308" s="87" t="n">
        <v>0</v>
      </c>
      <c r="Q308" s="87" t="n">
        <v>0</v>
      </c>
      <c r="R308" s="87" t="n">
        <v>0</v>
      </c>
      <c r="S308" s="47" t="n">
        <v>1.9</v>
      </c>
      <c r="T308" s="47" t="n">
        <v>58.9</v>
      </c>
      <c r="U308" s="47" t="n"/>
      <c r="V308" s="87" t="n">
        <v>1</v>
      </c>
      <c r="W308" s="87" t="n">
        <v>0</v>
      </c>
      <c r="Y308" t="inlineStr">
        <is>
          <t>Nov</t>
        </is>
      </c>
      <c r="Z308" s="87" t="n">
        <v>2024</v>
      </c>
      <c r="AA308" s="47">
        <f>IF(F308="",0,F308)</f>
        <v/>
      </c>
      <c r="AB308" s="87">
        <f>IF(AA308&gt;=0.1,1,0)</f>
        <v/>
      </c>
      <c r="AC308" s="87" t="n">
        <v>0</v>
      </c>
      <c r="AD308" s="47">
        <f>IF(U308="",0,U308)</f>
        <v/>
      </c>
      <c r="AE308" s="87">
        <f>IF(OR(V308=1,W308=1),1,0)</f>
        <v/>
      </c>
      <c r="AF308" s="87" t="n">
        <v>0</v>
      </c>
      <c r="AG308" t="n">
        <v>11902</v>
      </c>
      <c r="AH308" t="n">
        <v>134470</v>
      </c>
      <c r="AI308" t="n">
        <v>0</v>
      </c>
      <c r="AJ308" s="88">
        <f>IF(OR(AG308&lt;=0,AH308&lt;=0),"",LN(AG308)-LN(AH308))</f>
        <v/>
      </c>
      <c r="AK308" t="n">
        <v>26395</v>
      </c>
      <c r="AL308" t="n">
        <v>119977</v>
      </c>
      <c r="AM308" s="88">
        <f>IF(OR(AK308&lt;=0,AL308&lt;=0),"",LN(AK308)-LN(AL308))</f>
        <v/>
      </c>
      <c r="AN308" t="n">
        <v>11631</v>
      </c>
      <c r="AO308" t="n">
        <v>129610</v>
      </c>
      <c r="AP308" s="88">
        <f>IF(OR(AN308&lt;=0,AO308&lt;=0),"",LN(AN308)-LN(AO308))</f>
        <v/>
      </c>
      <c r="AQ308" t="n">
        <v>11512</v>
      </c>
      <c r="AR308" t="n">
        <v>134470</v>
      </c>
      <c r="AS308" s="88">
        <f>IF(OR(AQ308&lt;=0,AR308&lt;=0),"",LN(AQ308)-LN(AR308))</f>
        <v/>
      </c>
      <c r="AT308" t="n">
        <v>12218</v>
      </c>
      <c r="AU308" t="n">
        <v>133226</v>
      </c>
      <c r="AV308" t="n">
        <v>929</v>
      </c>
      <c r="AW308" t="n">
        <v>1726</v>
      </c>
      <c r="AX308" t="n">
        <v>10060</v>
      </c>
      <c r="AY308" s="88">
        <f>IF(OR(AT308&lt;=0,AU308&lt;=0),"",LN(AT308)-LN(AU308))</f>
        <v/>
      </c>
      <c r="AZ308" s="46" t="n">
        <v>9.6</v>
      </c>
      <c r="BA308" s="46" t="n">
        <v>14.31</v>
      </c>
      <c r="BB308" s="47" t="n">
        <v>1.8</v>
      </c>
    </row>
    <row r="309">
      <c r="A309" s="48" t="n">
        <v>45599</v>
      </c>
      <c r="B309" s="49" t="n">
        <v>132606</v>
      </c>
      <c r="C309" s="50" t="n">
        <v>14.84</v>
      </c>
      <c r="D309" s="51" t="inlineStr">
        <is>
          <t>Good</t>
        </is>
      </c>
      <c r="E309" s="52" t="n">
        <v>17.6</v>
      </c>
      <c r="F309" s="52" t="n">
        <v>0</v>
      </c>
      <c r="G309" s="51" t="inlineStr">
        <is>
          <t>Sun</t>
        </is>
      </c>
      <c r="H309" s="51" t="inlineStr">
        <is>
          <t>Weekend</t>
        </is>
      </c>
      <c r="I309" s="51" t="inlineStr">
        <is>
          <t>Fall</t>
        </is>
      </c>
      <c r="J309" s="51" t="n">
        <v>25</v>
      </c>
      <c r="K309" s="51" t="inlineStr">
        <is>
          <t>OK</t>
        </is>
      </c>
      <c r="L309" s="46" t="n">
        <v>24.76</v>
      </c>
      <c r="M309" t="inlineStr">
        <is>
          <t>Good</t>
        </is>
      </c>
      <c r="N309" s="87" t="n">
        <v>25</v>
      </c>
      <c r="O309" s="87" t="n">
        <v>0</v>
      </c>
      <c r="P309" s="87" t="n">
        <v>0</v>
      </c>
      <c r="Q309" s="87" t="n">
        <v>0</v>
      </c>
      <c r="R309" s="87" t="n">
        <v>0</v>
      </c>
      <c r="S309" s="47" t="n">
        <v>2.4</v>
      </c>
      <c r="T309" s="47" t="n">
        <v>71.09999999999999</v>
      </c>
      <c r="U309" s="47" t="n"/>
      <c r="V309" s="87" t="n">
        <v>1</v>
      </c>
      <c r="W309" s="87" t="n">
        <v>0</v>
      </c>
      <c r="Y309" t="inlineStr">
        <is>
          <t>Nov</t>
        </is>
      </c>
      <c r="Z309" s="87" t="n">
        <v>2024</v>
      </c>
      <c r="AA309" s="47">
        <f>IF(F309="",0,F309)</f>
        <v/>
      </c>
      <c r="AB309" s="87">
        <f>IF(AA309&gt;=0.1,1,0)</f>
        <v/>
      </c>
      <c r="AC309" s="87" t="n">
        <v>1</v>
      </c>
      <c r="AD309" s="47">
        <f>IF(U309="",0,U309)</f>
        <v/>
      </c>
      <c r="AE309" s="87">
        <f>IF(OR(V309=1,W309=1),1,0)</f>
        <v/>
      </c>
      <c r="AF309" s="87" t="n">
        <v>0</v>
      </c>
      <c r="AG309" t="n">
        <v>11226</v>
      </c>
      <c r="AH309" t="n">
        <v>121380</v>
      </c>
      <c r="AI309" t="n">
        <v>0</v>
      </c>
      <c r="AJ309" s="88">
        <f>IF(OR(AG309&lt;=0,AH309&lt;=0),"",LN(AG309)-LN(AH309))</f>
        <v/>
      </c>
      <c r="AK309" t="n">
        <v>24796</v>
      </c>
      <c r="AL309" t="n">
        <v>107810</v>
      </c>
      <c r="AM309" s="88">
        <f>IF(OR(AK309&lt;=0,AL309&lt;=0),"",LN(AK309)-LN(AL309))</f>
        <v/>
      </c>
      <c r="AN309" t="n">
        <v>10977</v>
      </c>
      <c r="AO309" t="n">
        <v>117000</v>
      </c>
      <c r="AP309" s="88">
        <f>IF(OR(AN309&lt;=0,AO309&lt;=0),"",LN(AN309)-LN(AO309))</f>
        <v/>
      </c>
      <c r="AQ309" t="n">
        <v>10845</v>
      </c>
      <c r="AR309" t="n">
        <v>121380</v>
      </c>
      <c r="AS309" s="88">
        <f>IF(OR(AQ309&lt;=0,AR309&lt;=0),"",LN(AQ309)-LN(AR309))</f>
        <v/>
      </c>
      <c r="AT309" t="n">
        <v>12184</v>
      </c>
      <c r="AU309" t="n">
        <v>119567</v>
      </c>
      <c r="AV309" t="n">
        <v>858</v>
      </c>
      <c r="AW309" t="n">
        <v>1715</v>
      </c>
      <c r="AX309" t="n">
        <v>9415</v>
      </c>
      <c r="AY309" s="88">
        <f>IF(OR(AT309&lt;=0,AU309&lt;=0),"",LN(AT309)-LN(AU309))</f>
        <v/>
      </c>
      <c r="AZ309" s="46" t="n">
        <v>8.199999999999999</v>
      </c>
      <c r="BA309" s="46" t="n">
        <v>13.13</v>
      </c>
      <c r="BB309" s="47" t="n">
        <v>2.5</v>
      </c>
    </row>
    <row r="310">
      <c r="A310" s="48" t="n">
        <v>45600</v>
      </c>
      <c r="B310" s="49" t="n">
        <v>153220</v>
      </c>
      <c r="C310" s="50" t="n">
        <v>13.04</v>
      </c>
      <c r="D310" s="51" t="inlineStr">
        <is>
          <t>Good</t>
        </is>
      </c>
      <c r="E310" s="52" t="n">
        <v>14.8</v>
      </c>
      <c r="F310" s="52" t="n">
        <v>0.1</v>
      </c>
      <c r="G310" s="51" t="inlineStr">
        <is>
          <t>Mon</t>
        </is>
      </c>
      <c r="H310" s="51" t="inlineStr">
        <is>
          <t>Weekday</t>
        </is>
      </c>
      <c r="I310" s="51" t="inlineStr">
        <is>
          <t>Fall</t>
        </is>
      </c>
      <c r="J310" s="51" t="n">
        <v>25</v>
      </c>
      <c r="K310" s="51" t="inlineStr">
        <is>
          <t>OK</t>
        </is>
      </c>
      <c r="L310" s="46" t="n">
        <v>25.56</v>
      </c>
      <c r="M310" t="inlineStr">
        <is>
          <t>Good</t>
        </is>
      </c>
      <c r="N310" s="87" t="n">
        <v>25</v>
      </c>
      <c r="O310" s="87" t="n">
        <v>0</v>
      </c>
      <c r="P310" s="87" t="n">
        <v>0</v>
      </c>
      <c r="Q310" s="87" t="n">
        <v>0</v>
      </c>
      <c r="R310" s="87" t="n">
        <v>0</v>
      </c>
      <c r="S310" s="47" t="n">
        <v>2.9</v>
      </c>
      <c r="T310" s="47" t="n">
        <v>62</v>
      </c>
      <c r="U310" s="47" t="n"/>
      <c r="V310" s="87" t="n">
        <v>0</v>
      </c>
      <c r="W310" s="87" t="n">
        <v>0</v>
      </c>
      <c r="Y310" t="inlineStr">
        <is>
          <t>Nov</t>
        </is>
      </c>
      <c r="Z310" s="87" t="n">
        <v>2024</v>
      </c>
      <c r="AA310" s="47">
        <f>IF(F310="",0,F310)</f>
        <v/>
      </c>
      <c r="AB310" s="87">
        <f>IF(AA310&gt;=0.1,1,0)</f>
        <v/>
      </c>
      <c r="AC310" s="87" t="n">
        <v>0</v>
      </c>
      <c r="AD310" s="47">
        <f>IF(U310="",0,U310)</f>
        <v/>
      </c>
      <c r="AE310" s="87">
        <f>IF(OR(V310=1,W310=1),1,0)</f>
        <v/>
      </c>
      <c r="AF310" s="87" t="n">
        <v>0</v>
      </c>
      <c r="AG310" t="n">
        <v>8040</v>
      </c>
      <c r="AH310" t="n">
        <v>145180</v>
      </c>
      <c r="AI310" t="n">
        <v>0</v>
      </c>
      <c r="AJ310" s="88">
        <f>IF(OR(AG310&lt;=0,AH310&lt;=0),"",LN(AG310)-LN(AH310))</f>
        <v/>
      </c>
      <c r="AK310" t="n">
        <v>22324</v>
      </c>
      <c r="AL310" t="n">
        <v>130896</v>
      </c>
      <c r="AM310" s="88">
        <f>IF(OR(AK310&lt;=0,AL310&lt;=0),"",LN(AK310)-LN(AL310))</f>
        <v/>
      </c>
      <c r="AN310" t="n">
        <v>7877</v>
      </c>
      <c r="AO310" t="n">
        <v>139843</v>
      </c>
      <c r="AP310" s="88">
        <f>IF(OR(AN310&lt;=0,AO310&lt;=0),"",LN(AN310)-LN(AO310))</f>
        <v/>
      </c>
      <c r="AQ310" t="n">
        <v>7811</v>
      </c>
      <c r="AR310" t="n">
        <v>145180</v>
      </c>
      <c r="AS310" s="88">
        <f>IF(OR(AQ310&lt;=0,AR310&lt;=0),"",LN(AQ310)-LN(AR310))</f>
        <v/>
      </c>
      <c r="AT310" t="n">
        <v>8951</v>
      </c>
      <c r="AU310" t="n">
        <v>143436</v>
      </c>
      <c r="AV310" t="n">
        <v>847</v>
      </c>
      <c r="AW310" t="n">
        <v>639</v>
      </c>
      <c r="AX310" t="n">
        <v>7340</v>
      </c>
      <c r="AY310" s="88">
        <f>IF(OR(AT310&lt;=0,AU310&lt;=0),"",LN(AT310)-LN(AU310))</f>
        <v/>
      </c>
      <c r="AZ310" s="46" t="n">
        <v>6.7</v>
      </c>
      <c r="BA310" s="46" t="n">
        <v>11.74</v>
      </c>
      <c r="BB310" s="47" t="n">
        <v>5.3</v>
      </c>
    </row>
    <row r="311">
      <c r="A311" s="48" t="n">
        <v>45601</v>
      </c>
      <c r="B311" s="49" t="n">
        <v>145620</v>
      </c>
      <c r="C311" s="50" t="n">
        <v>9.960000000000001</v>
      </c>
      <c r="D311" s="51" t="inlineStr">
        <is>
          <t>Good</t>
        </is>
      </c>
      <c r="E311" s="52" t="n">
        <v>9.1</v>
      </c>
      <c r="F311" s="52" t="n"/>
      <c r="G311" s="51" t="inlineStr">
        <is>
          <t>Tue</t>
        </is>
      </c>
      <c r="H311" s="51" t="inlineStr">
        <is>
          <t>Weekday</t>
        </is>
      </c>
      <c r="I311" s="51" t="inlineStr">
        <is>
          <t>Fall</t>
        </is>
      </c>
      <c r="J311" s="51" t="n">
        <v>25</v>
      </c>
      <c r="K311" s="51" t="inlineStr">
        <is>
          <t>강수량 공란</t>
        </is>
      </c>
      <c r="L311" s="46" t="n">
        <v>26</v>
      </c>
      <c r="M311" t="inlineStr">
        <is>
          <t>Good</t>
        </is>
      </c>
      <c r="N311" s="87" t="n">
        <v>25</v>
      </c>
      <c r="O311" s="87" t="n">
        <v>0</v>
      </c>
      <c r="P311" s="87" t="n">
        <v>0</v>
      </c>
      <c r="Q311" s="87" t="n">
        <v>0</v>
      </c>
      <c r="R311" s="87" t="n">
        <v>0</v>
      </c>
      <c r="S311" s="47" t="n">
        <v>2.1</v>
      </c>
      <c r="T311" s="47" t="n">
        <v>49.8</v>
      </c>
      <c r="U311" s="47" t="n"/>
      <c r="V311" s="87" t="n">
        <v>0</v>
      </c>
      <c r="W311" s="87" t="n">
        <v>0</v>
      </c>
      <c r="Y311" t="inlineStr">
        <is>
          <t>Nov</t>
        </is>
      </c>
      <c r="Z311" s="87" t="n">
        <v>2024</v>
      </c>
      <c r="AA311" s="47">
        <f>IF(F311="",0,F311)</f>
        <v/>
      </c>
      <c r="AB311" s="87">
        <f>IF(AA311&gt;=0.1,1,0)</f>
        <v/>
      </c>
      <c r="AC311" s="87" t="n">
        <v>0</v>
      </c>
      <c r="AD311" s="47">
        <f>IF(U311="",0,U311)</f>
        <v/>
      </c>
      <c r="AE311" s="87">
        <f>IF(OR(V311=1,W311=1),1,0)</f>
        <v/>
      </c>
      <c r="AF311" s="87" t="n">
        <v>0</v>
      </c>
      <c r="AG311" t="n">
        <v>7202</v>
      </c>
      <c r="AH311" t="n">
        <v>138418</v>
      </c>
      <c r="AI311" t="n">
        <v>0</v>
      </c>
      <c r="AJ311" s="88">
        <f>IF(OR(AG311&lt;=0,AH311&lt;=0),"",LN(AG311)-LN(AH311))</f>
        <v/>
      </c>
      <c r="AK311" t="n">
        <v>20592</v>
      </c>
      <c r="AL311" t="n">
        <v>125028</v>
      </c>
      <c r="AM311" s="88">
        <f>IF(OR(AK311&lt;=0,AL311&lt;=0),"",LN(AK311)-LN(AL311))</f>
        <v/>
      </c>
      <c r="AN311" t="n">
        <v>7076</v>
      </c>
      <c r="AO311" t="n">
        <v>133212</v>
      </c>
      <c r="AP311" s="88">
        <f>IF(OR(AN311&lt;=0,AO311&lt;=0),"",LN(AN311)-LN(AO311))</f>
        <v/>
      </c>
      <c r="AQ311" t="n">
        <v>7020</v>
      </c>
      <c r="AR311" t="n">
        <v>138418</v>
      </c>
      <c r="AS311" s="88">
        <f>IF(OR(AQ311&lt;=0,AR311&lt;=0),"",LN(AQ311)-LN(AR311))</f>
        <v/>
      </c>
      <c r="AT311" t="n">
        <v>8103</v>
      </c>
      <c r="AU311" t="n">
        <v>136674</v>
      </c>
      <c r="AV311" t="n">
        <v>857</v>
      </c>
      <c r="AW311" t="n">
        <v>560</v>
      </c>
      <c r="AX311" t="n">
        <v>6603</v>
      </c>
      <c r="AY311" s="88">
        <f>IF(OR(AT311&lt;=0,AU311&lt;=0),"",LN(AT311)-LN(AU311))</f>
        <v/>
      </c>
      <c r="AZ311" s="46" t="n">
        <v>8.800000000000001</v>
      </c>
      <c r="BA311" s="46" t="n">
        <v>13.47</v>
      </c>
      <c r="BB311" s="47" t="n">
        <v>2.8</v>
      </c>
    </row>
    <row r="312">
      <c r="A312" s="48" t="n">
        <v>45602</v>
      </c>
      <c r="B312" s="49" t="n">
        <v>138896</v>
      </c>
      <c r="C312" s="50" t="n">
        <v>12.16</v>
      </c>
      <c r="D312" s="51" t="inlineStr">
        <is>
          <t>Good</t>
        </is>
      </c>
      <c r="E312" s="52" t="n">
        <v>7.5</v>
      </c>
      <c r="F312" s="52" t="n"/>
      <c r="G312" s="51" t="inlineStr">
        <is>
          <t>Wed</t>
        </is>
      </c>
      <c r="H312" s="51" t="inlineStr">
        <is>
          <t>Weekday</t>
        </is>
      </c>
      <c r="I312" s="51" t="inlineStr">
        <is>
          <t>Fall</t>
        </is>
      </c>
      <c r="J312" s="51" t="n">
        <v>25</v>
      </c>
      <c r="K312" s="51" t="inlineStr">
        <is>
          <t>강수량 공란</t>
        </is>
      </c>
      <c r="L312" s="46" t="n">
        <v>26.56</v>
      </c>
      <c r="M312" t="inlineStr">
        <is>
          <t>Good</t>
        </is>
      </c>
      <c r="N312" s="87" t="n">
        <v>25</v>
      </c>
      <c r="O312" s="87" t="n">
        <v>0</v>
      </c>
      <c r="P312" s="87" t="n">
        <v>0</v>
      </c>
      <c r="Q312" s="87" t="n">
        <v>0</v>
      </c>
      <c r="R312" s="87" t="n">
        <v>0</v>
      </c>
      <c r="S312" s="47" t="n">
        <v>2.5</v>
      </c>
      <c r="T312" s="47" t="n">
        <v>46.1</v>
      </c>
      <c r="U312" s="47" t="n"/>
      <c r="V312" s="87" t="n">
        <v>0</v>
      </c>
      <c r="W312" s="87" t="n">
        <v>0</v>
      </c>
      <c r="Y312" t="inlineStr">
        <is>
          <t>Nov</t>
        </is>
      </c>
      <c r="Z312" s="87" t="n">
        <v>2024</v>
      </c>
      <c r="AA312" s="47">
        <f>IF(F312="",0,F312)</f>
        <v/>
      </c>
      <c r="AB312" s="87">
        <f>IF(AA312&gt;=0.1,1,0)</f>
        <v/>
      </c>
      <c r="AC312" s="87" t="n">
        <v>0</v>
      </c>
      <c r="AD312" s="47">
        <f>IF(U312="",0,U312)</f>
        <v/>
      </c>
      <c r="AE312" s="87">
        <f>IF(OR(V312=1,W312=1),1,0)</f>
        <v/>
      </c>
      <c r="AF312" s="87" t="n">
        <v>0</v>
      </c>
      <c r="AG312" t="n">
        <v>6854</v>
      </c>
      <c r="AH312" t="n">
        <v>132042</v>
      </c>
      <c r="AI312" t="n">
        <v>0</v>
      </c>
      <c r="AJ312" s="88">
        <f>IF(OR(AG312&lt;=0,AH312&lt;=0),"",LN(AG312)-LN(AH312))</f>
        <v/>
      </c>
      <c r="AK312" t="n">
        <v>19691</v>
      </c>
      <c r="AL312" t="n">
        <v>119205</v>
      </c>
      <c r="AM312" s="88">
        <f>IF(OR(AK312&lt;=0,AL312&lt;=0),"",LN(AK312)-LN(AL312))</f>
        <v/>
      </c>
      <c r="AN312" t="n">
        <v>6735</v>
      </c>
      <c r="AO312" t="n">
        <v>127067</v>
      </c>
      <c r="AP312" s="88">
        <f>IF(OR(AN312&lt;=0,AO312&lt;=0),"",LN(AN312)-LN(AO312))</f>
        <v/>
      </c>
      <c r="AQ312" t="n">
        <v>6674</v>
      </c>
      <c r="AR312" t="n">
        <v>132042</v>
      </c>
      <c r="AS312" s="88">
        <f>IF(OR(AQ312&lt;=0,AR312&lt;=0),"",LN(AQ312)-LN(AR312))</f>
        <v/>
      </c>
      <c r="AT312" t="n">
        <v>7496</v>
      </c>
      <c r="AU312" t="n">
        <v>130575</v>
      </c>
      <c r="AV312" t="n">
        <v>841</v>
      </c>
      <c r="AW312" t="n">
        <v>534</v>
      </c>
      <c r="AX312" t="n">
        <v>6288</v>
      </c>
      <c r="AY312" s="88">
        <f>IF(OR(AT312&lt;=0,AU312&lt;=0),"",LN(AT312)-LN(AU312))</f>
        <v/>
      </c>
      <c r="AZ312" s="46" t="n">
        <v>9.699999999999999</v>
      </c>
      <c r="BA312" s="46" t="n">
        <v>14.98</v>
      </c>
      <c r="BB312" s="47" t="n">
        <v>0</v>
      </c>
    </row>
    <row r="313">
      <c r="A313" s="48" t="n">
        <v>45603</v>
      </c>
      <c r="B313" s="49" t="n">
        <v>140419</v>
      </c>
      <c r="C313" s="50" t="n">
        <v>22.68</v>
      </c>
      <c r="D313" s="51" t="inlineStr">
        <is>
          <t>Moderate</t>
        </is>
      </c>
      <c r="E313" s="52" t="n">
        <v>7.8</v>
      </c>
      <c r="F313" s="52" t="n"/>
      <c r="G313" s="51" t="inlineStr">
        <is>
          <t>Thu</t>
        </is>
      </c>
      <c r="H313" s="51" t="inlineStr">
        <is>
          <t>Weekday</t>
        </is>
      </c>
      <c r="I313" s="51" t="inlineStr">
        <is>
          <t>Fall</t>
        </is>
      </c>
      <c r="J313" s="51" t="n">
        <v>25</v>
      </c>
      <c r="K313" s="51" t="inlineStr">
        <is>
          <t>강수량 공란</t>
        </is>
      </c>
      <c r="L313" s="46" t="n">
        <v>41.52</v>
      </c>
      <c r="M313" t="inlineStr">
        <is>
          <t>Moderate</t>
        </is>
      </c>
      <c r="N313" s="87" t="n">
        <v>25</v>
      </c>
      <c r="O313" s="87" t="n">
        <v>0</v>
      </c>
      <c r="P313" s="87" t="n">
        <v>0</v>
      </c>
      <c r="Q313" s="87" t="n">
        <v>0</v>
      </c>
      <c r="R313" s="87" t="n">
        <v>0</v>
      </c>
      <c r="S313" s="47" t="n">
        <v>1.5</v>
      </c>
      <c r="T313" s="47" t="n">
        <v>48.1</v>
      </c>
      <c r="U313" s="47" t="n"/>
      <c r="V313" s="87" t="n">
        <v>0</v>
      </c>
      <c r="W313" s="87" t="n">
        <v>0</v>
      </c>
      <c r="Y313" t="inlineStr">
        <is>
          <t>Nov</t>
        </is>
      </c>
      <c r="Z313" s="87" t="n">
        <v>2024</v>
      </c>
      <c r="AA313" s="47">
        <f>IF(F313="",0,F313)</f>
        <v/>
      </c>
      <c r="AB313" s="87">
        <f>IF(AA313&gt;=0.1,1,0)</f>
        <v/>
      </c>
      <c r="AC313" s="87" t="n">
        <v>0</v>
      </c>
      <c r="AD313" s="47">
        <f>IF(U313="",0,U313)</f>
        <v/>
      </c>
      <c r="AE313" s="87">
        <f>IF(OR(V313=1,W313=1),1,0)</f>
        <v/>
      </c>
      <c r="AF313" s="87" t="n">
        <v>0</v>
      </c>
      <c r="AG313" t="n">
        <v>6876</v>
      </c>
      <c r="AH313" t="n">
        <v>133543</v>
      </c>
      <c r="AI313" t="n">
        <v>0</v>
      </c>
      <c r="AJ313" s="88">
        <f>IF(OR(AG313&lt;=0,AH313&lt;=0),"",LN(AG313)-LN(AH313))</f>
        <v/>
      </c>
      <c r="AK313" t="n">
        <v>19726</v>
      </c>
      <c r="AL313" t="n">
        <v>120693</v>
      </c>
      <c r="AM313" s="88">
        <f>IF(OR(AK313&lt;=0,AL313&lt;=0),"",LN(AK313)-LN(AL313))</f>
        <v/>
      </c>
      <c r="AN313" t="n">
        <v>6752</v>
      </c>
      <c r="AO313" t="n">
        <v>128467</v>
      </c>
      <c r="AP313" s="88">
        <f>IF(OR(AN313&lt;=0,AO313&lt;=0),"",LN(AN313)-LN(AO313))</f>
        <v/>
      </c>
      <c r="AQ313" t="n">
        <v>6674</v>
      </c>
      <c r="AR313" t="n">
        <v>133543</v>
      </c>
      <c r="AS313" s="88">
        <f>IF(OR(AQ313&lt;=0,AR313&lt;=0),"",LN(AQ313)-LN(AR313))</f>
        <v/>
      </c>
      <c r="AT313" t="n">
        <v>7581</v>
      </c>
      <c r="AU313" t="n">
        <v>131966</v>
      </c>
      <c r="AV313" t="n">
        <v>884</v>
      </c>
      <c r="AW313" t="n">
        <v>525</v>
      </c>
      <c r="AX313" t="n">
        <v>6304</v>
      </c>
      <c r="AY313" s="88">
        <f>IF(OR(AT313&lt;=0,AU313&lt;=0),"",LN(AT313)-LN(AU313))</f>
        <v/>
      </c>
      <c r="AZ313" s="46" t="n">
        <v>9.699999999999999</v>
      </c>
      <c r="BA313" s="46" t="n">
        <v>14.42</v>
      </c>
      <c r="BB313" s="47" t="n">
        <v>0</v>
      </c>
    </row>
    <row r="314">
      <c r="A314" s="48" t="n">
        <v>45604</v>
      </c>
      <c r="B314" s="49" t="n">
        <v>146625</v>
      </c>
      <c r="C314" s="50" t="n">
        <v>21.72</v>
      </c>
      <c r="D314" s="51" t="inlineStr">
        <is>
          <t>Moderate</t>
        </is>
      </c>
      <c r="E314" s="52" t="n">
        <v>10.2</v>
      </c>
      <c r="F314" s="52" t="n"/>
      <c r="G314" s="51" t="inlineStr">
        <is>
          <t>Fri</t>
        </is>
      </c>
      <c r="H314" s="51" t="inlineStr">
        <is>
          <t>Weekday</t>
        </is>
      </c>
      <c r="I314" s="51" t="inlineStr">
        <is>
          <t>Fall</t>
        </is>
      </c>
      <c r="J314" s="51" t="n">
        <v>25</v>
      </c>
      <c r="K314" s="51" t="inlineStr">
        <is>
          <t>강수량 공란</t>
        </is>
      </c>
      <c r="L314" s="46" t="n">
        <v>35.44</v>
      </c>
      <c r="M314" t="inlineStr">
        <is>
          <t>Moderate</t>
        </is>
      </c>
      <c r="N314" s="87" t="n">
        <v>25</v>
      </c>
      <c r="O314" s="87" t="n">
        <v>0</v>
      </c>
      <c r="P314" s="87" t="n">
        <v>0</v>
      </c>
      <c r="Q314" s="87" t="n">
        <v>0</v>
      </c>
      <c r="R314" s="87" t="n">
        <v>0</v>
      </c>
      <c r="S314" s="47" t="n">
        <v>1.5</v>
      </c>
      <c r="T314" s="47" t="n">
        <v>50.8</v>
      </c>
      <c r="U314" s="47" t="n"/>
      <c r="V314" s="87" t="n">
        <v>0</v>
      </c>
      <c r="W314" s="87" t="n">
        <v>0</v>
      </c>
      <c r="Y314" t="inlineStr">
        <is>
          <t>Nov</t>
        </is>
      </c>
      <c r="Z314" s="87" t="n">
        <v>2024</v>
      </c>
      <c r="AA314" s="47">
        <f>IF(F314="",0,F314)</f>
        <v/>
      </c>
      <c r="AB314" s="87">
        <f>IF(AA314&gt;=0.1,1,0)</f>
        <v/>
      </c>
      <c r="AC314" s="87" t="n">
        <v>0</v>
      </c>
      <c r="AD314" s="47">
        <f>IF(U314="",0,U314)</f>
        <v/>
      </c>
      <c r="AE314" s="87">
        <f>IF(OR(V314=1,W314=1),1,0)</f>
        <v/>
      </c>
      <c r="AF314" s="87" t="n">
        <v>0</v>
      </c>
      <c r="AG314" t="n">
        <v>7646</v>
      </c>
      <c r="AH314" t="n">
        <v>138979</v>
      </c>
      <c r="AI314" t="n">
        <v>0</v>
      </c>
      <c r="AJ314" s="88">
        <f>IF(OR(AG314&lt;=0,AH314&lt;=0),"",LN(AG314)-LN(AH314))</f>
        <v/>
      </c>
      <c r="AK314" t="n">
        <v>21303</v>
      </c>
      <c r="AL314" t="n">
        <v>125322</v>
      </c>
      <c r="AM314" s="88">
        <f>IF(OR(AK314&lt;=0,AL314&lt;=0),"",LN(AK314)-LN(AL314))</f>
        <v/>
      </c>
      <c r="AN314" t="n">
        <v>7466</v>
      </c>
      <c r="AO314" t="n">
        <v>133763</v>
      </c>
      <c r="AP314" s="88">
        <f>IF(OR(AN314&lt;=0,AO314&lt;=0),"",LN(AN314)-LN(AO314))</f>
        <v/>
      </c>
      <c r="AQ314" t="n">
        <v>7473</v>
      </c>
      <c r="AR314" t="n">
        <v>138979</v>
      </c>
      <c r="AS314" s="88">
        <f>IF(OR(AQ314&lt;=0,AR314&lt;=0),"",LN(AQ314)-LN(AR314))</f>
        <v/>
      </c>
      <c r="AT314" t="n">
        <v>8540</v>
      </c>
      <c r="AU314" t="n">
        <v>137176</v>
      </c>
      <c r="AV314" t="n">
        <v>922</v>
      </c>
      <c r="AW314" t="n">
        <v>649</v>
      </c>
      <c r="AX314" t="n">
        <v>6955</v>
      </c>
      <c r="AY314" s="88">
        <f>IF(OR(AT314&lt;=0,AU314&lt;=0),"",LN(AT314)-LN(AU314))</f>
        <v/>
      </c>
      <c r="AZ314" s="46" t="n">
        <v>9.6</v>
      </c>
      <c r="BA314" s="46" t="n">
        <v>13.87</v>
      </c>
      <c r="BB314" s="47" t="n">
        <v>0.8</v>
      </c>
    </row>
    <row r="315">
      <c r="A315" s="48" t="n">
        <v>45605</v>
      </c>
      <c r="B315" s="49" t="n">
        <v>125840</v>
      </c>
      <c r="C315" s="50" t="n">
        <v>19.2</v>
      </c>
      <c r="D315" s="51" t="inlineStr">
        <is>
          <t>Moderate</t>
        </is>
      </c>
      <c r="E315" s="52" t="n">
        <v>12.9</v>
      </c>
      <c r="F315" s="52" t="n"/>
      <c r="G315" s="51" t="inlineStr">
        <is>
          <t>Sat</t>
        </is>
      </c>
      <c r="H315" s="51" t="inlineStr">
        <is>
          <t>Weekend</t>
        </is>
      </c>
      <c r="I315" s="51" t="inlineStr">
        <is>
          <t>Fall</t>
        </is>
      </c>
      <c r="J315" s="51" t="n">
        <v>25</v>
      </c>
      <c r="K315" s="51" t="inlineStr">
        <is>
          <t>강수량 공란</t>
        </is>
      </c>
      <c r="L315" s="46" t="n">
        <v>31.84</v>
      </c>
      <c r="M315" t="inlineStr">
        <is>
          <t>Moderate</t>
        </is>
      </c>
      <c r="N315" s="87" t="n">
        <v>25</v>
      </c>
      <c r="O315" s="87" t="n">
        <v>0</v>
      </c>
      <c r="P315" s="87" t="n">
        <v>0</v>
      </c>
      <c r="Q315" s="87" t="n">
        <v>0</v>
      </c>
      <c r="R315" s="87" t="n">
        <v>0</v>
      </c>
      <c r="S315" s="47" t="n">
        <v>1.4</v>
      </c>
      <c r="T315" s="47" t="n">
        <v>55.8</v>
      </c>
      <c r="U315" s="47" t="n"/>
      <c r="V315" s="87" t="n">
        <v>1</v>
      </c>
      <c r="W315" s="87" t="n">
        <v>0</v>
      </c>
      <c r="Y315" t="inlineStr">
        <is>
          <t>Nov</t>
        </is>
      </c>
      <c r="Z315" s="87" t="n">
        <v>2024</v>
      </c>
      <c r="AA315" s="47">
        <f>IF(F315="",0,F315)</f>
        <v/>
      </c>
      <c r="AB315" s="87">
        <f>IF(AA315&gt;=0.1,1,0)</f>
        <v/>
      </c>
      <c r="AC315" s="87" t="n">
        <v>0</v>
      </c>
      <c r="AD315" s="47">
        <f>IF(U315="",0,U315)</f>
        <v/>
      </c>
      <c r="AE315" s="87">
        <f>IF(OR(V315=1,W315=1),1,0)</f>
        <v/>
      </c>
      <c r="AF315" s="87" t="n">
        <v>0</v>
      </c>
      <c r="AG315" t="n">
        <v>8895</v>
      </c>
      <c r="AH315" t="n">
        <v>116945</v>
      </c>
      <c r="AI315" t="n">
        <v>0</v>
      </c>
      <c r="AJ315" s="88">
        <f>IF(OR(AG315&lt;=0,AH315&lt;=0),"",LN(AG315)-LN(AH315))</f>
        <v/>
      </c>
      <c r="AK315" t="n">
        <v>20860</v>
      </c>
      <c r="AL315" t="n">
        <v>104980</v>
      </c>
      <c r="AM315" s="88">
        <f>IF(OR(AK315&lt;=0,AL315&lt;=0),"",LN(AK315)-LN(AL315))</f>
        <v/>
      </c>
      <c r="AN315" t="n">
        <v>8689</v>
      </c>
      <c r="AO315" t="n">
        <v>112703</v>
      </c>
      <c r="AP315" s="88">
        <f>IF(OR(AN315&lt;=0,AO315&lt;=0),"",LN(AN315)-LN(AO315))</f>
        <v/>
      </c>
      <c r="AQ315" t="n">
        <v>8641</v>
      </c>
      <c r="AR315" t="n">
        <v>116945</v>
      </c>
      <c r="AS315" s="88">
        <f>IF(OR(AQ315&lt;=0,AR315&lt;=0),"",LN(AQ315)-LN(AR315))</f>
        <v/>
      </c>
      <c r="AT315" t="n">
        <v>10166</v>
      </c>
      <c r="AU315" t="n">
        <v>114805</v>
      </c>
      <c r="AV315" t="n">
        <v>866</v>
      </c>
      <c r="AW315" t="n">
        <v>1178</v>
      </c>
      <c r="AX315" t="n">
        <v>7653</v>
      </c>
      <c r="AY315" s="88">
        <f>IF(OR(AT315&lt;=0,AU315&lt;=0),"",LN(AT315)-LN(AU315))</f>
        <v/>
      </c>
      <c r="AZ315" s="46" t="n">
        <v>8.9</v>
      </c>
      <c r="BA315" s="46" t="n">
        <v>13.18</v>
      </c>
      <c r="BB315" s="47" t="n">
        <v>2</v>
      </c>
    </row>
    <row r="316">
      <c r="A316" s="48" t="n">
        <v>45606</v>
      </c>
      <c r="B316" s="49" t="n">
        <v>115684</v>
      </c>
      <c r="C316" s="50" t="n">
        <v>15.28</v>
      </c>
      <c r="D316" s="51" t="inlineStr">
        <is>
          <t>Moderate</t>
        </is>
      </c>
      <c r="E316" s="52" t="n">
        <v>14.4</v>
      </c>
      <c r="F316" s="52" t="n"/>
      <c r="G316" s="51" t="inlineStr">
        <is>
          <t>Sun</t>
        </is>
      </c>
      <c r="H316" s="51" t="inlineStr">
        <is>
          <t>Weekend</t>
        </is>
      </c>
      <c r="I316" s="51" t="inlineStr">
        <is>
          <t>Fall</t>
        </is>
      </c>
      <c r="J316" s="51" t="n">
        <v>25</v>
      </c>
      <c r="K316" s="51" t="inlineStr">
        <is>
          <t>강수량 공란</t>
        </is>
      </c>
      <c r="L316" s="46" t="n">
        <v>24.88</v>
      </c>
      <c r="M316" t="inlineStr">
        <is>
          <t>Good</t>
        </is>
      </c>
      <c r="N316" s="87" t="n">
        <v>25</v>
      </c>
      <c r="O316" s="87" t="n">
        <v>0</v>
      </c>
      <c r="P316" s="87" t="n">
        <v>0</v>
      </c>
      <c r="Q316" s="87" t="n">
        <v>0</v>
      </c>
      <c r="R316" s="87" t="n">
        <v>0</v>
      </c>
      <c r="S316" s="47" t="n">
        <v>1.8</v>
      </c>
      <c r="T316" s="47" t="n">
        <v>64</v>
      </c>
      <c r="U316" s="47" t="n"/>
      <c r="V316" s="87" t="n">
        <v>1</v>
      </c>
      <c r="W316" s="87" t="n">
        <v>0</v>
      </c>
      <c r="Y316" t="inlineStr">
        <is>
          <t>Nov</t>
        </is>
      </c>
      <c r="Z316" s="87" t="n">
        <v>2024</v>
      </c>
      <c r="AA316" s="47">
        <f>IF(F316="",0,F316)</f>
        <v/>
      </c>
      <c r="AB316" s="87">
        <f>IF(AA316&gt;=0.1,1,0)</f>
        <v/>
      </c>
      <c r="AC316" s="87" t="n">
        <v>0</v>
      </c>
      <c r="AD316" s="47">
        <f>IF(U316="",0,U316)</f>
        <v/>
      </c>
      <c r="AE316" s="87">
        <f>IF(OR(V316=1,W316=1),1,0)</f>
        <v/>
      </c>
      <c r="AF316" s="87" t="n">
        <v>0</v>
      </c>
      <c r="AG316" t="n">
        <v>9043</v>
      </c>
      <c r="AH316" t="n">
        <v>106641</v>
      </c>
      <c r="AI316" t="n">
        <v>0</v>
      </c>
      <c r="AJ316" s="88">
        <f>IF(OR(AG316&lt;=0,AH316&lt;=0),"",LN(AG316)-LN(AH316))</f>
        <v/>
      </c>
      <c r="AK316" t="n">
        <v>20240</v>
      </c>
      <c r="AL316" t="n">
        <v>95444</v>
      </c>
      <c r="AM316" s="88">
        <f>IF(OR(AK316&lt;=0,AL316&lt;=0),"",LN(AK316)-LN(AL316))</f>
        <v/>
      </c>
      <c r="AN316" t="n">
        <v>8801</v>
      </c>
      <c r="AO316" t="n">
        <v>102712</v>
      </c>
      <c r="AP316" s="88">
        <f>IF(OR(AN316&lt;=0,AO316&lt;=0),"",LN(AN316)-LN(AO316))</f>
        <v/>
      </c>
      <c r="AQ316" t="n">
        <v>8764</v>
      </c>
      <c r="AR316" t="n">
        <v>106641</v>
      </c>
      <c r="AS316" s="88">
        <f>IF(OR(AQ316&lt;=0,AR316&lt;=0),"",LN(AQ316)-LN(AR316))</f>
        <v/>
      </c>
      <c r="AT316" t="n">
        <v>10726</v>
      </c>
      <c r="AU316" t="n">
        <v>104257</v>
      </c>
      <c r="AV316" t="n">
        <v>710</v>
      </c>
      <c r="AW316" t="n">
        <v>1346</v>
      </c>
      <c r="AX316" t="n">
        <v>7635</v>
      </c>
      <c r="AY316" s="88">
        <f>IF(OR(AT316&lt;=0,AU316&lt;=0),"",LN(AT316)-LN(AU316))</f>
        <v/>
      </c>
      <c r="AZ316" s="46" t="n">
        <v>6.8</v>
      </c>
      <c r="BA316" s="46" t="n">
        <v>11.42</v>
      </c>
      <c r="BB316" s="47" t="n">
        <v>3.9</v>
      </c>
    </row>
    <row r="317">
      <c r="A317" s="48" t="n">
        <v>45607</v>
      </c>
      <c r="B317" s="49" t="n">
        <v>155307</v>
      </c>
      <c r="C317" s="50" t="n">
        <v>30.56</v>
      </c>
      <c r="D317" s="51" t="inlineStr">
        <is>
          <t>Moderate</t>
        </is>
      </c>
      <c r="E317" s="52" t="n">
        <v>14.6</v>
      </c>
      <c r="F317" s="52" t="n"/>
      <c r="G317" s="51" t="inlineStr">
        <is>
          <t>Mon</t>
        </is>
      </c>
      <c r="H317" s="51" t="inlineStr">
        <is>
          <t>Weekday</t>
        </is>
      </c>
      <c r="I317" s="51" t="inlineStr">
        <is>
          <t>Fall</t>
        </is>
      </c>
      <c r="J317" s="51" t="n">
        <v>25</v>
      </c>
      <c r="K317" s="51" t="inlineStr">
        <is>
          <t>강수량 공란</t>
        </is>
      </c>
      <c r="L317" s="46" t="n">
        <v>51.52</v>
      </c>
      <c r="M317" t="inlineStr">
        <is>
          <t>Moderate</t>
        </is>
      </c>
      <c r="N317" s="87" t="n">
        <v>25</v>
      </c>
      <c r="O317" s="87" t="n">
        <v>0</v>
      </c>
      <c r="P317" s="87" t="n">
        <v>0</v>
      </c>
      <c r="Q317" s="87" t="n">
        <v>0</v>
      </c>
      <c r="R317" s="87" t="n">
        <v>0</v>
      </c>
      <c r="S317" s="47" t="n">
        <v>1.2</v>
      </c>
      <c r="T317" s="47" t="n">
        <v>64.5</v>
      </c>
      <c r="U317" s="47" t="n"/>
      <c r="V317" s="87" t="n">
        <v>0</v>
      </c>
      <c r="W317" s="87" t="n">
        <v>0</v>
      </c>
      <c r="Y317" t="inlineStr">
        <is>
          <t>Nov</t>
        </is>
      </c>
      <c r="Z317" s="87" t="n">
        <v>2024</v>
      </c>
      <c r="AA317" s="47">
        <f>IF(F317="",0,F317)</f>
        <v/>
      </c>
      <c r="AB317" s="87">
        <f>IF(AA317&gt;=0.1,1,0)</f>
        <v/>
      </c>
      <c r="AC317" s="87" t="n">
        <v>0</v>
      </c>
      <c r="AD317" s="47">
        <f>IF(U317="",0,U317)</f>
        <v/>
      </c>
      <c r="AE317" s="87">
        <f>IF(OR(V317=1,W317=1),1,0)</f>
        <v/>
      </c>
      <c r="AF317" s="87" t="n">
        <v>0</v>
      </c>
      <c r="AG317" t="n">
        <v>8422</v>
      </c>
      <c r="AH317" t="n">
        <v>146885</v>
      </c>
      <c r="AI317" t="n">
        <v>0</v>
      </c>
      <c r="AJ317" s="88">
        <f>IF(OR(AG317&lt;=0,AH317&lt;=0),"",LN(AG317)-LN(AH317))</f>
        <v/>
      </c>
      <c r="AK317" t="n">
        <v>22855</v>
      </c>
      <c r="AL317" t="n">
        <v>132452</v>
      </c>
      <c r="AM317" s="88">
        <f>IF(OR(AK317&lt;=0,AL317&lt;=0),"",LN(AK317)-LN(AL317))</f>
        <v/>
      </c>
      <c r="AN317" t="n">
        <v>8257</v>
      </c>
      <c r="AO317" t="n">
        <v>141514</v>
      </c>
      <c r="AP317" s="88">
        <f>IF(OR(AN317&lt;=0,AO317&lt;=0),"",LN(AN317)-LN(AO317))</f>
        <v/>
      </c>
      <c r="AQ317" t="n">
        <v>8194</v>
      </c>
      <c r="AR317" t="n">
        <v>146885</v>
      </c>
      <c r="AS317" s="88">
        <f>IF(OR(AQ317&lt;=0,AR317&lt;=0),"",LN(AQ317)-LN(AR317))</f>
        <v/>
      </c>
      <c r="AT317" t="n">
        <v>9497</v>
      </c>
      <c r="AU317" t="n">
        <v>144855</v>
      </c>
      <c r="AV317" t="n">
        <v>972</v>
      </c>
      <c r="AW317" t="n">
        <v>772</v>
      </c>
      <c r="AX317" t="n">
        <v>7594</v>
      </c>
      <c r="AY317" s="88">
        <f>IF(OR(AT317&lt;=0,AU317&lt;=0),"",LN(AT317)-LN(AU317))</f>
        <v/>
      </c>
      <c r="AZ317" s="46" t="n">
        <v>9.300000000000001</v>
      </c>
      <c r="BA317" s="46" t="n">
        <v>12.95</v>
      </c>
      <c r="BB317" s="47" t="n">
        <v>1.8</v>
      </c>
    </row>
    <row r="318">
      <c r="A318" s="48" t="n">
        <v>45608</v>
      </c>
      <c r="B318" s="49" t="n">
        <v>158282</v>
      </c>
      <c r="C318" s="50" t="n">
        <v>23.541667</v>
      </c>
      <c r="D318" s="51" t="inlineStr">
        <is>
          <t>Moderate</t>
        </is>
      </c>
      <c r="E318" s="52" t="n">
        <v>14.3</v>
      </c>
      <c r="F318" s="52" t="n"/>
      <c r="G318" s="51" t="inlineStr">
        <is>
          <t>Tue</t>
        </is>
      </c>
      <c r="H318" s="51" t="inlineStr">
        <is>
          <t>Weekday</t>
        </is>
      </c>
      <c r="I318" s="51" t="inlineStr">
        <is>
          <t>Fall</t>
        </is>
      </c>
      <c r="J318" s="51" t="n">
        <v>24</v>
      </c>
      <c r="K318" s="51" t="inlineStr">
        <is>
          <t>강수량 공란</t>
        </is>
      </c>
      <c r="L318" s="46" t="n">
        <v>37.91666666666666</v>
      </c>
      <c r="M318" t="inlineStr">
        <is>
          <t>Moderate</t>
        </is>
      </c>
      <c r="N318" s="87" t="n">
        <v>24</v>
      </c>
      <c r="O318" s="87" t="n">
        <v>0</v>
      </c>
      <c r="P318" s="87" t="n">
        <v>0</v>
      </c>
      <c r="Q318" s="87" t="n">
        <v>0</v>
      </c>
      <c r="R318" s="87" t="n">
        <v>0</v>
      </c>
      <c r="S318" s="47" t="n">
        <v>2.2</v>
      </c>
      <c r="T318" s="47" t="n">
        <v>66.8</v>
      </c>
      <c r="U318" s="47" t="n"/>
      <c r="V318" s="87" t="n">
        <v>0</v>
      </c>
      <c r="W318" s="87" t="n">
        <v>0</v>
      </c>
      <c r="Y318" t="inlineStr">
        <is>
          <t>Nov</t>
        </is>
      </c>
      <c r="Z318" s="87" t="n">
        <v>2024</v>
      </c>
      <c r="AA318" s="47">
        <f>IF(F318="",0,F318)</f>
        <v/>
      </c>
      <c r="AB318" s="87">
        <f>IF(AA318&gt;=0.1,1,0)</f>
        <v/>
      </c>
      <c r="AC318" s="87" t="n">
        <v>0</v>
      </c>
      <c r="AD318" s="47">
        <f>IF(U318="",0,U318)</f>
        <v/>
      </c>
      <c r="AE318" s="87">
        <f>IF(OR(V318=1,W318=1),1,0)</f>
        <v/>
      </c>
      <c r="AF318" s="87" t="n">
        <v>0</v>
      </c>
      <c r="AG318" t="n">
        <v>8558</v>
      </c>
      <c r="AH318" t="n">
        <v>149724</v>
      </c>
      <c r="AI318" t="n">
        <v>0</v>
      </c>
      <c r="AJ318" s="88">
        <f>IF(OR(AG318&lt;=0,AH318&lt;=0),"",LN(AG318)-LN(AH318))</f>
        <v/>
      </c>
      <c r="AK318" t="n">
        <v>23483</v>
      </c>
      <c r="AL318" t="n">
        <v>134799</v>
      </c>
      <c r="AM318" s="88">
        <f>IF(OR(AK318&lt;=0,AL318&lt;=0),"",LN(AK318)-LN(AL318))</f>
        <v/>
      </c>
      <c r="AN318" t="n">
        <v>8349</v>
      </c>
      <c r="AO318" t="n">
        <v>144108</v>
      </c>
      <c r="AP318" s="88">
        <f>IF(OR(AN318&lt;=0,AO318&lt;=0),"",LN(AN318)-LN(AO318))</f>
        <v/>
      </c>
      <c r="AQ318" t="n">
        <v>8317</v>
      </c>
      <c r="AR318" t="n">
        <v>149724</v>
      </c>
      <c r="AS318" s="88">
        <f>IF(OR(AQ318&lt;=0,AR318&lt;=0),"",LN(AQ318)-LN(AR318))</f>
        <v/>
      </c>
      <c r="AT318" t="n">
        <v>8954</v>
      </c>
      <c r="AU318" t="n">
        <v>148316</v>
      </c>
      <c r="AV318" t="n">
        <v>1025</v>
      </c>
      <c r="AW318" t="n">
        <v>781</v>
      </c>
      <c r="AX318" t="n">
        <v>7706</v>
      </c>
      <c r="AY318" s="88">
        <f>IF(OR(AT318&lt;=0,AU318&lt;=0),"",LN(AT318)-LN(AU318))</f>
        <v/>
      </c>
      <c r="AZ318" s="46" t="n">
        <v>9.300000000000001</v>
      </c>
      <c r="BA318" s="46" t="n">
        <v>13.02</v>
      </c>
      <c r="BB318" s="47" t="n">
        <v>2.4</v>
      </c>
    </row>
    <row r="319">
      <c r="A319" s="48" t="n">
        <v>45609</v>
      </c>
      <c r="B319" s="49" t="n">
        <v>162962</v>
      </c>
      <c r="C319" s="50" t="n">
        <v>21.458333</v>
      </c>
      <c r="D319" s="51" t="inlineStr">
        <is>
          <t>Moderate</t>
        </is>
      </c>
      <c r="E319" s="52" t="n">
        <v>14.2</v>
      </c>
      <c r="F319" s="52" t="n"/>
      <c r="G319" s="51" t="inlineStr">
        <is>
          <t>Wed</t>
        </is>
      </c>
      <c r="H319" s="51" t="inlineStr">
        <is>
          <t>Weekday</t>
        </is>
      </c>
      <c r="I319" s="51" t="inlineStr">
        <is>
          <t>Fall</t>
        </is>
      </c>
      <c r="J319" s="51" t="n">
        <v>24</v>
      </c>
      <c r="K319" s="51" t="inlineStr">
        <is>
          <t>강수량 공란</t>
        </is>
      </c>
      <c r="L319" s="46" t="n">
        <v>38.95833333333334</v>
      </c>
      <c r="M319" t="inlineStr">
        <is>
          <t>Moderate</t>
        </is>
      </c>
      <c r="N319" s="87" t="n">
        <v>24</v>
      </c>
      <c r="O319" s="87" t="n">
        <v>0</v>
      </c>
      <c r="P319" s="87" t="n">
        <v>0</v>
      </c>
      <c r="Q319" s="87" t="n">
        <v>0</v>
      </c>
      <c r="R319" s="87" t="n">
        <v>0</v>
      </c>
      <c r="S319" s="47" t="n">
        <v>1.7</v>
      </c>
      <c r="T319" s="47" t="n">
        <v>62.9</v>
      </c>
      <c r="U319" s="47" t="n"/>
      <c r="V319" s="87" t="n">
        <v>0</v>
      </c>
      <c r="W319" s="87" t="n">
        <v>0</v>
      </c>
      <c r="Y319" t="inlineStr">
        <is>
          <t>Nov</t>
        </is>
      </c>
      <c r="Z319" s="87" t="n">
        <v>2024</v>
      </c>
      <c r="AA319" s="47">
        <f>IF(F319="",0,F319)</f>
        <v/>
      </c>
      <c r="AB319" s="87">
        <f>IF(AA319&gt;=0.1,1,0)</f>
        <v/>
      </c>
      <c r="AC319" s="87" t="n">
        <v>0</v>
      </c>
      <c r="AD319" s="47">
        <f>IF(U319="",0,U319)</f>
        <v/>
      </c>
      <c r="AE319" s="87">
        <f>IF(OR(V319=1,W319=1),1,0)</f>
        <v/>
      </c>
      <c r="AF319" s="87" t="n">
        <v>0</v>
      </c>
      <c r="AG319" t="n">
        <v>8740</v>
      </c>
      <c r="AH319" t="n">
        <v>154222</v>
      </c>
      <c r="AI319" t="n">
        <v>0</v>
      </c>
      <c r="AJ319" s="88">
        <f>IF(OR(AG319&lt;=0,AH319&lt;=0),"",LN(AG319)-LN(AH319))</f>
        <v/>
      </c>
      <c r="AK319" t="n">
        <v>24092</v>
      </c>
      <c r="AL319" t="n">
        <v>138870</v>
      </c>
      <c r="AM319" s="88">
        <f>IF(OR(AK319&lt;=0,AL319&lt;=0),"",LN(AK319)-LN(AL319))</f>
        <v/>
      </c>
      <c r="AN319" t="n">
        <v>8570</v>
      </c>
      <c r="AO319" t="n">
        <v>148614</v>
      </c>
      <c r="AP319" s="88">
        <f>IF(OR(AN319&lt;=0,AO319&lt;=0),"",LN(AN319)-LN(AO319))</f>
        <v/>
      </c>
      <c r="AQ319" t="n">
        <v>8536</v>
      </c>
      <c r="AR319" t="n">
        <v>154222</v>
      </c>
      <c r="AS319" s="88">
        <f>IF(OR(AQ319&lt;=0,AR319&lt;=0),"",LN(AQ319)-LN(AR319))</f>
        <v/>
      </c>
      <c r="AT319" t="n">
        <v>9291</v>
      </c>
      <c r="AU319" t="n">
        <v>152639</v>
      </c>
      <c r="AV319" t="n">
        <v>1030</v>
      </c>
      <c r="AW319" t="n">
        <v>812</v>
      </c>
      <c r="AX319" t="n">
        <v>7877</v>
      </c>
      <c r="AY319" s="88">
        <f>IF(OR(AT319&lt;=0,AU319&lt;=0),"",LN(AT319)-LN(AU319))</f>
        <v/>
      </c>
      <c r="AZ319" s="46" t="n">
        <v>8.6</v>
      </c>
      <c r="BA319" s="46" t="n">
        <v>12.26</v>
      </c>
      <c r="BB319" s="47" t="n">
        <v>2.4</v>
      </c>
    </row>
    <row r="320">
      <c r="A320" s="48" t="n">
        <v>45610</v>
      </c>
      <c r="B320" s="49" t="n">
        <v>137465</v>
      </c>
      <c r="C320" s="50" t="n">
        <v>17.125</v>
      </c>
      <c r="D320" s="51" t="inlineStr">
        <is>
          <t>Moderate</t>
        </is>
      </c>
      <c r="E320" s="52" t="n">
        <v>14.8</v>
      </c>
      <c r="F320" s="52" t="n">
        <v>0.1</v>
      </c>
      <c r="G320" s="51" t="inlineStr">
        <is>
          <t>Thu</t>
        </is>
      </c>
      <c r="H320" s="51" t="inlineStr">
        <is>
          <t>Weekday</t>
        </is>
      </c>
      <c r="I320" s="51" t="inlineStr">
        <is>
          <t>Fall</t>
        </is>
      </c>
      <c r="J320" s="51" t="n">
        <v>24</v>
      </c>
      <c r="K320" s="51" t="inlineStr">
        <is>
          <t>OK</t>
        </is>
      </c>
      <c r="L320" s="46" t="n">
        <v>33.1304347826087</v>
      </c>
      <c r="M320" t="inlineStr">
        <is>
          <t>Moderate</t>
        </is>
      </c>
      <c r="N320" s="87" t="n">
        <v>23</v>
      </c>
      <c r="O320" s="87" t="n">
        <v>0</v>
      </c>
      <c r="P320" s="87" t="n">
        <v>0</v>
      </c>
      <c r="Q320" s="87" t="n">
        <v>0</v>
      </c>
      <c r="R320" s="87" t="n">
        <v>0</v>
      </c>
      <c r="S320" s="47" t="n">
        <v>1.8</v>
      </c>
      <c r="T320" s="47" t="n">
        <v>68.40000000000001</v>
      </c>
      <c r="U320" s="47" t="n"/>
      <c r="V320" s="87" t="n">
        <v>0</v>
      </c>
      <c r="W320" s="87" t="n">
        <v>0</v>
      </c>
      <c r="Y320" t="inlineStr">
        <is>
          <t>Nov</t>
        </is>
      </c>
      <c r="Z320" s="87" t="n">
        <v>2024</v>
      </c>
      <c r="AA320" s="47">
        <f>IF(F320="",0,F320)</f>
        <v/>
      </c>
      <c r="AB320" s="87">
        <f>IF(AA320&gt;=0.1,1,0)</f>
        <v/>
      </c>
      <c r="AC320" s="87" t="n">
        <v>0</v>
      </c>
      <c r="AD320" s="47">
        <f>IF(U320="",0,U320)</f>
        <v/>
      </c>
      <c r="AE320" s="87">
        <f>IF(OR(V320=1,W320=1),1,0)</f>
        <v/>
      </c>
      <c r="AF320" s="87" t="n">
        <v>0</v>
      </c>
      <c r="AG320" t="n">
        <v>6833</v>
      </c>
      <c r="AH320" t="n">
        <v>130632</v>
      </c>
      <c r="AI320" t="n">
        <v>0</v>
      </c>
      <c r="AJ320" s="88">
        <f>IF(OR(AG320&lt;=0,AH320&lt;=0),"",LN(AG320)-LN(AH320))</f>
        <v/>
      </c>
      <c r="AK320" t="n">
        <v>19454</v>
      </c>
      <c r="AL320" t="n">
        <v>118011</v>
      </c>
      <c r="AM320" s="88">
        <f>IF(OR(AK320&lt;=0,AL320&lt;=0),"",LN(AK320)-LN(AL320))</f>
        <v/>
      </c>
      <c r="AN320" t="n">
        <v>6732</v>
      </c>
      <c r="AO320" t="n">
        <v>125562</v>
      </c>
      <c r="AP320" s="88">
        <f>IF(OR(AN320&lt;=0,AO320&lt;=0),"",LN(AN320)-LN(AO320))</f>
        <v/>
      </c>
      <c r="AQ320" t="n">
        <v>6646</v>
      </c>
      <c r="AR320" t="n">
        <v>130632</v>
      </c>
      <c r="AS320" s="88">
        <f>IF(OR(AQ320&lt;=0,AR320&lt;=0),"",LN(AQ320)-LN(AR320))</f>
        <v/>
      </c>
      <c r="AT320" t="n">
        <v>7384</v>
      </c>
      <c r="AU320" t="n">
        <v>129185</v>
      </c>
      <c r="AV320" t="n">
        <v>904</v>
      </c>
      <c r="AW320" t="n">
        <v>542</v>
      </c>
      <c r="AX320" t="n">
        <v>6255</v>
      </c>
      <c r="AY320" s="88">
        <f>IF(OR(AT320&lt;=0,AU320&lt;=0),"",LN(AT320)-LN(AU320))</f>
        <v/>
      </c>
      <c r="AZ320" s="46" t="n">
        <v>0</v>
      </c>
      <c r="BA320" s="46" t="n">
        <v>3.57</v>
      </c>
      <c r="BB320" s="47" t="n">
        <v>8.5</v>
      </c>
    </row>
    <row r="321">
      <c r="A321" s="48" t="n">
        <v>45611</v>
      </c>
      <c r="B321" s="49" t="n">
        <v>158829</v>
      </c>
      <c r="C321" s="50" t="n">
        <v>16.25</v>
      </c>
      <c r="D321" s="51" t="inlineStr">
        <is>
          <t>Moderate</t>
        </is>
      </c>
      <c r="E321" s="52" t="n">
        <v>17</v>
      </c>
      <c r="F321" s="52" t="n">
        <v>0</v>
      </c>
      <c r="G321" s="51" t="inlineStr">
        <is>
          <t>Fri</t>
        </is>
      </c>
      <c r="H321" s="51" t="inlineStr">
        <is>
          <t>Weekday</t>
        </is>
      </c>
      <c r="I321" s="51" t="inlineStr">
        <is>
          <t>Fall</t>
        </is>
      </c>
      <c r="J321" s="51" t="n">
        <v>24</v>
      </c>
      <c r="K321" s="51" t="inlineStr">
        <is>
          <t>OK</t>
        </is>
      </c>
      <c r="L321" s="46" t="n">
        <v>27.70833333333333</v>
      </c>
      <c r="M321" t="inlineStr">
        <is>
          <t>Good</t>
        </is>
      </c>
      <c r="N321" s="87" t="n">
        <v>24</v>
      </c>
      <c r="O321" s="87" t="n">
        <v>0</v>
      </c>
      <c r="P321" s="87" t="n">
        <v>0</v>
      </c>
      <c r="Q321" s="87" t="n">
        <v>0</v>
      </c>
      <c r="R321" s="87" t="n">
        <v>0</v>
      </c>
      <c r="S321" s="47" t="n">
        <v>1.8</v>
      </c>
      <c r="T321" s="47" t="n">
        <v>65.09999999999999</v>
      </c>
      <c r="U321" s="47" t="n"/>
      <c r="V321" s="87" t="n">
        <v>0</v>
      </c>
      <c r="W321" s="87" t="n">
        <v>0</v>
      </c>
      <c r="Y321" t="inlineStr">
        <is>
          <t>Nov</t>
        </is>
      </c>
      <c r="Z321" s="87" t="n">
        <v>2024</v>
      </c>
      <c r="AA321" s="47">
        <f>IF(F321="",0,F321)</f>
        <v/>
      </c>
      <c r="AB321" s="87">
        <f>IF(AA321&gt;=0.1,1,0)</f>
        <v/>
      </c>
      <c r="AC321" s="87" t="n">
        <v>1</v>
      </c>
      <c r="AD321" s="47">
        <f>IF(U321="",0,U321)</f>
        <v/>
      </c>
      <c r="AE321" s="87">
        <f>IF(OR(V321=1,W321=1),1,0)</f>
        <v/>
      </c>
      <c r="AF321" s="87" t="n">
        <v>0</v>
      </c>
      <c r="AG321" t="n">
        <v>9214</v>
      </c>
      <c r="AH321" t="n">
        <v>149615</v>
      </c>
      <c r="AI321" t="n">
        <v>0</v>
      </c>
      <c r="AJ321" s="88">
        <f>IF(OR(AG321&lt;=0,AH321&lt;=0),"",LN(AG321)-LN(AH321))</f>
        <v/>
      </c>
      <c r="AK321" t="n">
        <v>24317</v>
      </c>
      <c r="AL321" t="n">
        <v>134512</v>
      </c>
      <c r="AM321" s="88">
        <f>IF(OR(AK321&lt;=0,AL321&lt;=0),"",LN(AK321)-LN(AL321))</f>
        <v/>
      </c>
      <c r="AN321" t="n">
        <v>9019</v>
      </c>
      <c r="AO321" t="n">
        <v>144040</v>
      </c>
      <c r="AP321" s="88">
        <f>IF(OR(AN321&lt;=0,AO321&lt;=0),"",LN(AN321)-LN(AO321))</f>
        <v/>
      </c>
      <c r="AQ321" t="n">
        <v>8950</v>
      </c>
      <c r="AR321" t="n">
        <v>149615</v>
      </c>
      <c r="AS321" s="88">
        <f>IF(OR(AQ321&lt;=0,AR321&lt;=0),"",LN(AQ321)-LN(AR321))</f>
        <v/>
      </c>
      <c r="AT321" t="n">
        <v>9661</v>
      </c>
      <c r="AU321" t="n">
        <v>148133</v>
      </c>
      <c r="AV321" t="n">
        <v>1037</v>
      </c>
      <c r="AW321" t="n">
        <v>912</v>
      </c>
      <c r="AX321" t="n">
        <v>8236</v>
      </c>
      <c r="AY321" s="88">
        <f>IF(OR(AT321&lt;=0,AU321&lt;=0),"",LN(AT321)-LN(AU321))</f>
        <v/>
      </c>
      <c r="AZ321" s="46" t="n">
        <v>5.5</v>
      </c>
      <c r="BA321" s="46" t="n">
        <v>9.84</v>
      </c>
      <c r="BB321" s="47" t="n">
        <v>6.8</v>
      </c>
    </row>
    <row r="322">
      <c r="A322" s="48" t="n">
        <v>45612</v>
      </c>
      <c r="B322" s="49" t="n">
        <v>80370</v>
      </c>
      <c r="C322" s="50" t="n">
        <v>13.416667</v>
      </c>
      <c r="D322" s="51" t="inlineStr">
        <is>
          <t>Good</t>
        </is>
      </c>
      <c r="E322" s="52" t="n">
        <v>17</v>
      </c>
      <c r="F322" s="52" t="n">
        <v>6.5</v>
      </c>
      <c r="G322" s="51" t="inlineStr">
        <is>
          <t>Sat</t>
        </is>
      </c>
      <c r="H322" s="51" t="inlineStr">
        <is>
          <t>Weekend</t>
        </is>
      </c>
      <c r="I322" s="51" t="inlineStr">
        <is>
          <t>Fall</t>
        </is>
      </c>
      <c r="J322" s="51" t="n">
        <v>24</v>
      </c>
      <c r="K322" s="51" t="inlineStr">
        <is>
          <t>OK</t>
        </is>
      </c>
      <c r="L322" s="46" t="n">
        <v>21.875</v>
      </c>
      <c r="M322" t="inlineStr">
        <is>
          <t>Good</t>
        </is>
      </c>
      <c r="N322" s="87" t="n">
        <v>24</v>
      </c>
      <c r="O322" s="87" t="n">
        <v>0</v>
      </c>
      <c r="P322" s="87" t="n">
        <v>0</v>
      </c>
      <c r="Q322" s="87" t="n">
        <v>0</v>
      </c>
      <c r="R322" s="87" t="n">
        <v>0</v>
      </c>
      <c r="S322" s="47" t="n">
        <v>2.6</v>
      </c>
      <c r="T322" s="47" t="n">
        <v>72.5</v>
      </c>
      <c r="U322" s="47" t="n"/>
      <c r="V322" s="87" t="n">
        <v>1</v>
      </c>
      <c r="W322" s="87" t="n">
        <v>0</v>
      </c>
      <c r="Y322" t="inlineStr">
        <is>
          <t>Nov</t>
        </is>
      </c>
      <c r="Z322" s="87" t="n">
        <v>2024</v>
      </c>
      <c r="AA322" s="47">
        <f>IF(F322="",0,F322)</f>
        <v/>
      </c>
      <c r="AB322" s="87">
        <f>IF(AA322&gt;=0.1,1,0)</f>
        <v/>
      </c>
      <c r="AC322" s="87" t="n">
        <v>0</v>
      </c>
      <c r="AD322" s="47">
        <f>IF(U322="",0,U322)</f>
        <v/>
      </c>
      <c r="AE322" s="87">
        <f>IF(OR(V322=1,W322=1),1,0)</f>
        <v/>
      </c>
      <c r="AF322" s="87" t="n">
        <v>0</v>
      </c>
      <c r="AG322" t="n">
        <v>4916</v>
      </c>
      <c r="AH322" t="n">
        <v>75454</v>
      </c>
      <c r="AI322" t="n">
        <v>0</v>
      </c>
      <c r="AJ322" s="88">
        <f>IF(OR(AG322&lt;=0,AH322&lt;=0),"",LN(AG322)-LN(AH322))</f>
        <v/>
      </c>
      <c r="AK322" t="n">
        <v>12174</v>
      </c>
      <c r="AL322" t="n">
        <v>68196</v>
      </c>
      <c r="AM322" s="88">
        <f>IF(OR(AK322&lt;=0,AL322&lt;=0),"",LN(AK322)-LN(AL322))</f>
        <v/>
      </c>
      <c r="AN322" t="n">
        <v>4826</v>
      </c>
      <c r="AO322" t="n">
        <v>72703</v>
      </c>
      <c r="AP322" s="88">
        <f>IF(OR(AN322&lt;=0,AO322&lt;=0),"",LN(AN322)-LN(AO322))</f>
        <v/>
      </c>
      <c r="AQ322" t="n">
        <v>4772</v>
      </c>
      <c r="AR322" t="n">
        <v>75454</v>
      </c>
      <c r="AS322" s="88">
        <f>IF(OR(AQ322&lt;=0,AR322&lt;=0),"",LN(AQ322)-LN(AR322))</f>
        <v/>
      </c>
      <c r="AT322" t="n">
        <v>6212</v>
      </c>
      <c r="AU322" t="n">
        <v>73665</v>
      </c>
      <c r="AV322" t="n">
        <v>499</v>
      </c>
      <c r="AW322" t="n">
        <v>611</v>
      </c>
      <c r="AX322" t="n">
        <v>4266</v>
      </c>
      <c r="AY322" s="88">
        <f>IF(OR(AT322&lt;=0,AU322&lt;=0),"",LN(AT322)-LN(AU322))</f>
        <v/>
      </c>
      <c r="AZ322" s="46" t="n"/>
      <c r="BA322" s="46" t="n"/>
      <c r="BB322" s="47" t="n">
        <v>7.5</v>
      </c>
    </row>
    <row r="323">
      <c r="A323" s="48" t="n">
        <v>45613</v>
      </c>
      <c r="B323" s="49" t="n">
        <v>78601</v>
      </c>
      <c r="C323" s="50" t="n">
        <v>8.875</v>
      </c>
      <c r="D323" s="51" t="inlineStr">
        <is>
          <t>Good</t>
        </is>
      </c>
      <c r="E323" s="52" t="n">
        <v>7</v>
      </c>
      <c r="F323" s="52" t="n"/>
      <c r="G323" s="51" t="inlineStr">
        <is>
          <t>Sun</t>
        </is>
      </c>
      <c r="H323" s="51" t="inlineStr">
        <is>
          <t>Weekend</t>
        </is>
      </c>
      <c r="I323" s="51" t="inlineStr">
        <is>
          <t>Fall</t>
        </is>
      </c>
      <c r="J323" s="51" t="n">
        <v>24</v>
      </c>
      <c r="K323" s="51" t="inlineStr">
        <is>
          <t>강수량 공란</t>
        </is>
      </c>
      <c r="L323" s="46" t="n">
        <v>19.125</v>
      </c>
      <c r="M323" t="inlineStr">
        <is>
          <t>Good</t>
        </is>
      </c>
      <c r="N323" s="87" t="n">
        <v>24</v>
      </c>
      <c r="O323" s="87" t="n">
        <v>0</v>
      </c>
      <c r="P323" s="87" t="n">
        <v>0</v>
      </c>
      <c r="Q323" s="87" t="n">
        <v>0</v>
      </c>
      <c r="R323" s="87" t="n">
        <v>0</v>
      </c>
      <c r="S323" s="47" t="n">
        <v>3.6</v>
      </c>
      <c r="T323" s="47" t="n">
        <v>47.6</v>
      </c>
      <c r="U323" s="47" t="n"/>
      <c r="V323" s="87" t="n">
        <v>1</v>
      </c>
      <c r="W323" s="87" t="n">
        <v>0</v>
      </c>
      <c r="Y323" t="inlineStr">
        <is>
          <t>Nov</t>
        </is>
      </c>
      <c r="Z323" s="87" t="n">
        <v>2024</v>
      </c>
      <c r="AA323" s="47">
        <f>IF(F323="",0,F323)</f>
        <v/>
      </c>
      <c r="AB323" s="87">
        <f>IF(AA323&gt;=0.1,1,0)</f>
        <v/>
      </c>
      <c r="AC323" s="87" t="n">
        <v>0</v>
      </c>
      <c r="AD323" s="47">
        <f>IF(U323="",0,U323)</f>
        <v/>
      </c>
      <c r="AE323" s="87">
        <f>IF(OR(V323=1,W323=1),1,0)</f>
        <v/>
      </c>
      <c r="AF323" s="87" t="n">
        <v>0</v>
      </c>
      <c r="AG323" t="n">
        <v>4706</v>
      </c>
      <c r="AH323" t="n">
        <v>73895</v>
      </c>
      <c r="AI323" t="n">
        <v>0</v>
      </c>
      <c r="AJ323" s="88">
        <f>IF(OR(AG323&lt;=0,AH323&lt;=0),"",LN(AG323)-LN(AH323))</f>
        <v/>
      </c>
      <c r="AK323" t="n">
        <v>11739</v>
      </c>
      <c r="AL323" t="n">
        <v>66862</v>
      </c>
      <c r="AM323" s="88">
        <f>IF(OR(AK323&lt;=0,AL323&lt;=0),"",LN(AK323)-LN(AL323))</f>
        <v/>
      </c>
      <c r="AN323" t="n">
        <v>4614</v>
      </c>
      <c r="AO323" t="n">
        <v>71181</v>
      </c>
      <c r="AP323" s="88">
        <f>IF(OR(AN323&lt;=0,AO323&lt;=0),"",LN(AN323)-LN(AO323))</f>
        <v/>
      </c>
      <c r="AQ323" t="n">
        <v>4558</v>
      </c>
      <c r="AR323" t="n">
        <v>73895</v>
      </c>
      <c r="AS323" s="88">
        <f>IF(OR(AQ323&lt;=0,AR323&lt;=0),"",LN(AQ323)-LN(AR323))</f>
        <v/>
      </c>
      <c r="AT323" t="n">
        <v>6710</v>
      </c>
      <c r="AU323" t="n">
        <v>71491</v>
      </c>
      <c r="AV323" t="n">
        <v>409</v>
      </c>
      <c r="AW323" t="n">
        <v>651</v>
      </c>
      <c r="AX323" t="n">
        <v>4022</v>
      </c>
      <c r="AY323" s="88">
        <f>IF(OR(AT323&lt;=0,AU323&lt;=0),"",LN(AT323)-LN(AU323))</f>
        <v/>
      </c>
      <c r="AZ323" s="46" t="n">
        <v>4.1</v>
      </c>
      <c r="BA323" s="46" t="n">
        <v>8.470000000000001</v>
      </c>
      <c r="BB323" s="47" t="n">
        <v>5</v>
      </c>
    </row>
    <row r="324">
      <c r="A324" s="48" t="n">
        <v>45614</v>
      </c>
      <c r="B324" s="49" t="n">
        <v>109664</v>
      </c>
      <c r="C324" s="50" t="n">
        <v>6.96</v>
      </c>
      <c r="D324" s="51" t="inlineStr">
        <is>
          <t>Good</t>
        </is>
      </c>
      <c r="E324" s="52" t="n">
        <v>2.8</v>
      </c>
      <c r="F324" s="52" t="n"/>
      <c r="G324" s="51" t="inlineStr">
        <is>
          <t>Mon</t>
        </is>
      </c>
      <c r="H324" s="51" t="inlineStr">
        <is>
          <t>Weekday</t>
        </is>
      </c>
      <c r="I324" s="51" t="inlineStr">
        <is>
          <t>Fall</t>
        </is>
      </c>
      <c r="J324" s="51" t="n">
        <v>25</v>
      </c>
      <c r="K324" s="51" t="inlineStr">
        <is>
          <t>강수량 공란</t>
        </is>
      </c>
      <c r="L324" s="46" t="n">
        <v>17.12</v>
      </c>
      <c r="M324" t="inlineStr">
        <is>
          <t>Good</t>
        </is>
      </c>
      <c r="N324" s="87" t="n">
        <v>25</v>
      </c>
      <c r="O324" s="87" t="n">
        <v>0</v>
      </c>
      <c r="P324" s="87" t="n">
        <v>0</v>
      </c>
      <c r="Q324" s="87" t="n">
        <v>0</v>
      </c>
      <c r="R324" s="87" t="n">
        <v>0</v>
      </c>
      <c r="S324" s="47" t="n">
        <v>2.3</v>
      </c>
      <c r="T324" s="47" t="n">
        <v>30.9</v>
      </c>
      <c r="U324" s="47" t="n"/>
      <c r="V324" s="87" t="n">
        <v>0</v>
      </c>
      <c r="W324" s="87" t="n">
        <v>0</v>
      </c>
      <c r="Y324" t="inlineStr">
        <is>
          <t>Nov</t>
        </is>
      </c>
      <c r="Z324" s="87" t="n">
        <v>2024</v>
      </c>
      <c r="AA324" s="47">
        <f>IF(F324="",0,F324)</f>
        <v/>
      </c>
      <c r="AB324" s="87">
        <f>IF(AA324&gt;=0.1,1,0)</f>
        <v/>
      </c>
      <c r="AC324" s="87" t="n">
        <v>0</v>
      </c>
      <c r="AD324" s="47">
        <f>IF(U324="",0,U324)</f>
        <v/>
      </c>
      <c r="AE324" s="87">
        <f>IF(OR(V324=1,W324=1),1,0)</f>
        <v/>
      </c>
      <c r="AF324" s="87" t="n">
        <v>0</v>
      </c>
      <c r="AG324" t="n">
        <v>5066</v>
      </c>
      <c r="AH324" t="n">
        <v>104598</v>
      </c>
      <c r="AI324" t="n">
        <v>0</v>
      </c>
      <c r="AJ324" s="88">
        <f>IF(OR(AG324&lt;=0,AH324&lt;=0),"",LN(AG324)-LN(AH324))</f>
        <v/>
      </c>
      <c r="AK324" t="n">
        <v>14870</v>
      </c>
      <c r="AL324" t="n">
        <v>94794</v>
      </c>
      <c r="AM324" s="88">
        <f>IF(OR(AK324&lt;=0,AL324&lt;=0),"",LN(AK324)-LN(AL324))</f>
        <v/>
      </c>
      <c r="AN324" t="n">
        <v>4970</v>
      </c>
      <c r="AO324" t="n">
        <v>100769</v>
      </c>
      <c r="AP324" s="88">
        <f>IF(OR(AN324&lt;=0,AO324&lt;=0),"",LN(AN324)-LN(AO324))</f>
        <v/>
      </c>
      <c r="AQ324" t="n">
        <v>4937</v>
      </c>
      <c r="AR324" t="n">
        <v>104598</v>
      </c>
      <c r="AS324" s="88">
        <f>IF(OR(AQ324&lt;=0,AR324&lt;=0),"",LN(AQ324)-LN(AR324))</f>
        <v/>
      </c>
      <c r="AT324" t="n">
        <v>6076</v>
      </c>
      <c r="AU324" t="n">
        <v>102941</v>
      </c>
      <c r="AV324" t="n">
        <v>662</v>
      </c>
      <c r="AW324" t="n">
        <v>391</v>
      </c>
      <c r="AX324" t="n">
        <v>4649</v>
      </c>
      <c r="AY324" s="88">
        <f>IF(OR(AT324&lt;=0,AU324&lt;=0),"",LN(AT324)-LN(AU324))</f>
        <v/>
      </c>
      <c r="AZ324" s="46" t="n">
        <v>9.300000000000001</v>
      </c>
      <c r="BA324" s="46" t="n">
        <v>13.68</v>
      </c>
      <c r="BB324" s="47" t="n">
        <v>0.6</v>
      </c>
    </row>
    <row r="325">
      <c r="A325" s="48" t="n">
        <v>45615</v>
      </c>
      <c r="B325" s="49" t="n">
        <v>124648</v>
      </c>
      <c r="C325" s="50" t="n">
        <v>12.36</v>
      </c>
      <c r="D325" s="51" t="inlineStr">
        <is>
          <t>Good</t>
        </is>
      </c>
      <c r="E325" s="52" t="n">
        <v>5.7</v>
      </c>
      <c r="F325" s="52" t="n"/>
      <c r="G325" s="51" t="inlineStr">
        <is>
          <t>Tue</t>
        </is>
      </c>
      <c r="H325" s="51" t="inlineStr">
        <is>
          <t>Weekday</t>
        </is>
      </c>
      <c r="I325" s="51" t="inlineStr">
        <is>
          <t>Fall</t>
        </is>
      </c>
      <c r="J325" s="51" t="n">
        <v>25</v>
      </c>
      <c r="K325" s="51" t="inlineStr">
        <is>
          <t>강수량 공란</t>
        </is>
      </c>
      <c r="L325" s="46" t="n">
        <v>25.08</v>
      </c>
      <c r="M325" t="inlineStr">
        <is>
          <t>Good</t>
        </is>
      </c>
      <c r="N325" s="87" t="n">
        <v>25</v>
      </c>
      <c r="O325" s="87" t="n">
        <v>0</v>
      </c>
      <c r="P325" s="87" t="n">
        <v>0</v>
      </c>
      <c r="Q325" s="87" t="n">
        <v>0</v>
      </c>
      <c r="R325" s="87" t="n">
        <v>0</v>
      </c>
      <c r="S325" s="47" t="n">
        <v>2</v>
      </c>
      <c r="T325" s="47" t="n">
        <v>49.5</v>
      </c>
      <c r="U325" s="47" t="n"/>
      <c r="V325" s="87" t="n">
        <v>0</v>
      </c>
      <c r="W325" s="87" t="n">
        <v>0</v>
      </c>
      <c r="Y325" t="inlineStr">
        <is>
          <t>Nov</t>
        </is>
      </c>
      <c r="Z325" s="87" t="n">
        <v>2024</v>
      </c>
      <c r="AA325" s="47">
        <f>IF(F325="",0,F325)</f>
        <v/>
      </c>
      <c r="AB325" s="87">
        <f>IF(AA325&gt;=0.1,1,0)</f>
        <v/>
      </c>
      <c r="AC325" s="87" t="n">
        <v>0</v>
      </c>
      <c r="AD325" s="47">
        <f>IF(U325="",0,U325)</f>
        <v/>
      </c>
      <c r="AE325" s="87">
        <f>IF(OR(V325=1,W325=1),1,0)</f>
        <v/>
      </c>
      <c r="AF325" s="87" t="n">
        <v>0</v>
      </c>
      <c r="AG325" t="n">
        <v>5854</v>
      </c>
      <c r="AH325" t="n">
        <v>118794</v>
      </c>
      <c r="AI325" t="n">
        <v>0</v>
      </c>
      <c r="AJ325" s="88">
        <f>IF(OR(AG325&lt;=0,AH325&lt;=0),"",LN(AG325)-LN(AH325))</f>
        <v/>
      </c>
      <c r="AK325" t="n">
        <v>17424</v>
      </c>
      <c r="AL325" t="n">
        <v>107224</v>
      </c>
      <c r="AM325" s="88">
        <f>IF(OR(AK325&lt;=0,AL325&lt;=0),"",LN(AK325)-LN(AL325))</f>
        <v/>
      </c>
      <c r="AN325" t="n">
        <v>5762</v>
      </c>
      <c r="AO325" t="n">
        <v>114553</v>
      </c>
      <c r="AP325" s="88">
        <f>IF(OR(AN325&lt;=0,AO325&lt;=0),"",LN(AN325)-LN(AO325))</f>
        <v/>
      </c>
      <c r="AQ325" t="n">
        <v>5710</v>
      </c>
      <c r="AR325" t="n">
        <v>118794</v>
      </c>
      <c r="AS325" s="88">
        <f>IF(OR(AQ325&lt;=0,AR325&lt;=0),"",LN(AQ325)-LN(AR325))</f>
        <v/>
      </c>
      <c r="AT325" t="n">
        <v>6618</v>
      </c>
      <c r="AU325" t="n">
        <v>117272</v>
      </c>
      <c r="AV325" t="n">
        <v>774</v>
      </c>
      <c r="AW325" t="n">
        <v>460</v>
      </c>
      <c r="AX325" t="n">
        <v>5352</v>
      </c>
      <c r="AY325" s="88">
        <f>IF(OR(AT325&lt;=0,AU325&lt;=0),"",LN(AT325)-LN(AU325))</f>
        <v/>
      </c>
      <c r="AZ325" s="46" t="n">
        <v>7.4</v>
      </c>
      <c r="BA325" s="46" t="n">
        <v>9.9</v>
      </c>
      <c r="BB325" s="47" t="n">
        <v>4.8</v>
      </c>
    </row>
    <row r="326">
      <c r="A326" s="48" t="n">
        <v>45616</v>
      </c>
      <c r="B326" s="49" t="n">
        <v>124089</v>
      </c>
      <c r="C326" s="50" t="n">
        <v>23.92</v>
      </c>
      <c r="D326" s="51" t="inlineStr">
        <is>
          <t>Moderate</t>
        </is>
      </c>
      <c r="E326" s="52" t="n">
        <v>6.5</v>
      </c>
      <c r="F326" s="52" t="n"/>
      <c r="G326" s="51" t="inlineStr">
        <is>
          <t>Wed</t>
        </is>
      </c>
      <c r="H326" s="51" t="inlineStr">
        <is>
          <t>Weekday</t>
        </is>
      </c>
      <c r="I326" s="51" t="inlineStr">
        <is>
          <t>Fall</t>
        </is>
      </c>
      <c r="J326" s="51" t="n">
        <v>25</v>
      </c>
      <c r="K326" s="51" t="inlineStr">
        <is>
          <t>강수량 공란</t>
        </is>
      </c>
      <c r="L326" s="46" t="n">
        <v>39.6</v>
      </c>
      <c r="M326" t="inlineStr">
        <is>
          <t>Moderate</t>
        </is>
      </c>
      <c r="N326" s="87" t="n">
        <v>25</v>
      </c>
      <c r="O326" s="87" t="n">
        <v>0</v>
      </c>
      <c r="P326" s="87" t="n">
        <v>0</v>
      </c>
      <c r="Q326" s="87" t="n">
        <v>0</v>
      </c>
      <c r="R326" s="87" t="n">
        <v>0</v>
      </c>
      <c r="S326" s="47" t="n">
        <v>1.3</v>
      </c>
      <c r="T326" s="47" t="n">
        <v>65.8</v>
      </c>
      <c r="U326" s="47" t="n"/>
      <c r="V326" s="87" t="n">
        <v>0</v>
      </c>
      <c r="W326" s="87" t="n">
        <v>0</v>
      </c>
      <c r="Y326" t="inlineStr">
        <is>
          <t>Nov</t>
        </is>
      </c>
      <c r="Z326" s="87" t="n">
        <v>2024</v>
      </c>
      <c r="AA326" s="47">
        <f>IF(F326="",0,F326)</f>
        <v/>
      </c>
      <c r="AB326" s="87">
        <f>IF(AA326&gt;=0.1,1,0)</f>
        <v/>
      </c>
      <c r="AC326" s="87" t="n">
        <v>0</v>
      </c>
      <c r="AD326" s="47">
        <f>IF(U326="",0,U326)</f>
        <v/>
      </c>
      <c r="AE326" s="87">
        <f>IF(OR(V326=1,W326=1),1,0)</f>
        <v/>
      </c>
      <c r="AF326" s="87" t="n">
        <v>0</v>
      </c>
      <c r="AG326" t="n">
        <v>5858</v>
      </c>
      <c r="AH326" t="n">
        <v>118231</v>
      </c>
      <c r="AI326" t="n">
        <v>0</v>
      </c>
      <c r="AJ326" s="88">
        <f>IF(OR(AG326&lt;=0,AH326&lt;=0),"",LN(AG326)-LN(AH326))</f>
        <v/>
      </c>
      <c r="AK326" t="n">
        <v>17322</v>
      </c>
      <c r="AL326" t="n">
        <v>106767</v>
      </c>
      <c r="AM326" s="88">
        <f>IF(OR(AK326&lt;=0,AL326&lt;=0),"",LN(AK326)-LN(AL326))</f>
        <v/>
      </c>
      <c r="AN326" t="n">
        <v>5734</v>
      </c>
      <c r="AO326" t="n">
        <v>114028</v>
      </c>
      <c r="AP326" s="88">
        <f>IF(OR(AN326&lt;=0,AO326&lt;=0),"",LN(AN326)-LN(AO326))</f>
        <v/>
      </c>
      <c r="AQ326" t="n">
        <v>5707</v>
      </c>
      <c r="AR326" t="n">
        <v>118231</v>
      </c>
      <c r="AS326" s="88">
        <f>IF(OR(AQ326&lt;=0,AR326&lt;=0),"",LN(AQ326)-LN(AR326))</f>
        <v/>
      </c>
      <c r="AT326" t="n">
        <v>6475</v>
      </c>
      <c r="AU326" t="n">
        <v>116892</v>
      </c>
      <c r="AV326" t="n">
        <v>722</v>
      </c>
      <c r="AW326" t="n">
        <v>428</v>
      </c>
      <c r="AX326" t="n">
        <v>5395</v>
      </c>
      <c r="AY326" s="88">
        <f>IF(OR(AT326&lt;=0,AU326&lt;=0),"",LN(AT326)-LN(AU326))</f>
        <v/>
      </c>
      <c r="AZ326" s="46" t="n">
        <v>0.3</v>
      </c>
      <c r="BA326" s="46" t="n">
        <v>3.75</v>
      </c>
      <c r="BB326" s="47" t="n">
        <v>7.6</v>
      </c>
    </row>
    <row r="327">
      <c r="A327" s="48" t="n">
        <v>45617</v>
      </c>
      <c r="B327" s="49" t="n">
        <v>127456</v>
      </c>
      <c r="C327" s="50" t="n">
        <v>36.32</v>
      </c>
      <c r="D327" s="51" t="inlineStr">
        <is>
          <t>Bad</t>
        </is>
      </c>
      <c r="E327" s="52" t="n">
        <v>9.699999999999999</v>
      </c>
      <c r="F327" s="52" t="n">
        <v>0</v>
      </c>
      <c r="G327" s="51" t="inlineStr">
        <is>
          <t>Thu</t>
        </is>
      </c>
      <c r="H327" s="51" t="inlineStr">
        <is>
          <t>Weekday</t>
        </is>
      </c>
      <c r="I327" s="51" t="inlineStr">
        <is>
          <t>Fall</t>
        </is>
      </c>
      <c r="J327" s="51" t="n">
        <v>25</v>
      </c>
      <c r="K327" s="51" t="inlineStr">
        <is>
          <t>OK</t>
        </is>
      </c>
      <c r="L327" s="46" t="n">
        <v>54.64</v>
      </c>
      <c r="M327" t="inlineStr">
        <is>
          <t>Moderate</t>
        </is>
      </c>
      <c r="N327" s="87" t="n">
        <v>25</v>
      </c>
      <c r="O327" s="87" t="n">
        <v>0</v>
      </c>
      <c r="P327" s="87" t="n">
        <v>0</v>
      </c>
      <c r="Q327" s="87" t="n">
        <v>0</v>
      </c>
      <c r="R327" s="87" t="n">
        <v>0</v>
      </c>
      <c r="S327" s="47" t="n">
        <v>2.2</v>
      </c>
      <c r="T327" s="47" t="n">
        <v>71.90000000000001</v>
      </c>
      <c r="U327" s="47" t="n"/>
      <c r="V327" s="87" t="n">
        <v>0</v>
      </c>
      <c r="W327" s="87" t="n">
        <v>0</v>
      </c>
      <c r="Y327" t="inlineStr">
        <is>
          <t>Nov</t>
        </is>
      </c>
      <c r="Z327" s="87" t="n">
        <v>2024</v>
      </c>
      <c r="AA327" s="47">
        <f>IF(F327="",0,F327)</f>
        <v/>
      </c>
      <c r="AB327" s="87">
        <f>IF(AA327&gt;=0.1,1,0)</f>
        <v/>
      </c>
      <c r="AC327" s="87" t="n">
        <v>1</v>
      </c>
      <c r="AD327" s="47">
        <f>IF(U327="",0,U327)</f>
        <v/>
      </c>
      <c r="AE327" s="87">
        <f>IF(OR(V327=1,W327=1),1,0)</f>
        <v/>
      </c>
      <c r="AF327" s="87" t="n">
        <v>0</v>
      </c>
      <c r="AG327" t="n">
        <v>6012</v>
      </c>
      <c r="AH327" t="n">
        <v>121444</v>
      </c>
      <c r="AI327" t="n">
        <v>0</v>
      </c>
      <c r="AJ327" s="88">
        <f>IF(OR(AG327&lt;=0,AH327&lt;=0),"",LN(AG327)-LN(AH327))</f>
        <v/>
      </c>
      <c r="AK327" t="n">
        <v>17551</v>
      </c>
      <c r="AL327" t="n">
        <v>109905</v>
      </c>
      <c r="AM327" s="88">
        <f>IF(OR(AK327&lt;=0,AL327&lt;=0),"",LN(AK327)-LN(AL327))</f>
        <v/>
      </c>
      <c r="AN327" t="n">
        <v>5910</v>
      </c>
      <c r="AO327" t="n">
        <v>117003</v>
      </c>
      <c r="AP327" s="88">
        <f>IF(OR(AN327&lt;=0,AO327&lt;=0),"",LN(AN327)-LN(AO327))</f>
        <v/>
      </c>
      <c r="AQ327" t="n">
        <v>5881</v>
      </c>
      <c r="AR327" t="n">
        <v>121444</v>
      </c>
      <c r="AS327" s="88">
        <f>IF(OR(AQ327&lt;=0,AR327&lt;=0),"",LN(AQ327)-LN(AR327))</f>
        <v/>
      </c>
      <c r="AT327" t="n">
        <v>6845</v>
      </c>
      <c r="AU327" t="n">
        <v>119839</v>
      </c>
      <c r="AV327" t="n">
        <v>776</v>
      </c>
      <c r="AW327" t="n">
        <v>440</v>
      </c>
      <c r="AX327" t="n">
        <v>5525</v>
      </c>
      <c r="AY327" s="88">
        <f>IF(OR(AT327&lt;=0,AU327&lt;=0),"",LN(AT327)-LN(AU327))</f>
        <v/>
      </c>
      <c r="AZ327" s="46" t="n">
        <v>3.2</v>
      </c>
      <c r="BA327" s="46" t="n">
        <v>6.57</v>
      </c>
      <c r="BB327" s="47" t="n">
        <v>4.8</v>
      </c>
    </row>
    <row r="328">
      <c r="A328" s="48" t="n">
        <v>45618</v>
      </c>
      <c r="B328" s="49" t="n">
        <v>127408</v>
      </c>
      <c r="C328" s="50" t="n">
        <v>19.44</v>
      </c>
      <c r="D328" s="51" t="inlineStr">
        <is>
          <t>Moderate</t>
        </is>
      </c>
      <c r="E328" s="52" t="n">
        <v>6.2</v>
      </c>
      <c r="F328" s="52" t="n"/>
      <c r="G328" s="51" t="inlineStr">
        <is>
          <t>Fri</t>
        </is>
      </c>
      <c r="H328" s="51" t="inlineStr">
        <is>
          <t>Weekday</t>
        </is>
      </c>
      <c r="I328" s="51" t="inlineStr">
        <is>
          <t>Fall</t>
        </is>
      </c>
      <c r="J328" s="51" t="n">
        <v>25</v>
      </c>
      <c r="K328" s="51" t="inlineStr">
        <is>
          <t>강수량 공란</t>
        </is>
      </c>
      <c r="L328" s="46" t="n">
        <v>34.12</v>
      </c>
      <c r="M328" t="inlineStr">
        <is>
          <t>Moderate</t>
        </is>
      </c>
      <c r="N328" s="87" t="n">
        <v>25</v>
      </c>
      <c r="O328" s="87" t="n">
        <v>0</v>
      </c>
      <c r="P328" s="87" t="n">
        <v>0</v>
      </c>
      <c r="Q328" s="87" t="n">
        <v>0</v>
      </c>
      <c r="R328" s="87" t="n">
        <v>0</v>
      </c>
      <c r="S328" s="47" t="n">
        <v>2.2</v>
      </c>
      <c r="T328" s="47" t="n">
        <v>48</v>
      </c>
      <c r="U328" s="47" t="n"/>
      <c r="V328" s="87" t="n">
        <v>0</v>
      </c>
      <c r="W328" s="87" t="n">
        <v>0</v>
      </c>
      <c r="Y328" t="inlineStr">
        <is>
          <t>Nov</t>
        </is>
      </c>
      <c r="Z328" s="87" t="n">
        <v>2024</v>
      </c>
      <c r="AA328" s="47">
        <f>IF(F328="",0,F328)</f>
        <v/>
      </c>
      <c r="AB328" s="87">
        <f>IF(AA328&gt;=0.1,1,0)</f>
        <v/>
      </c>
      <c r="AC328" s="87" t="n">
        <v>0</v>
      </c>
      <c r="AD328" s="47">
        <f>IF(U328="",0,U328)</f>
        <v/>
      </c>
      <c r="AE328" s="87">
        <f>IF(OR(V328=1,W328=1),1,0)</f>
        <v/>
      </c>
      <c r="AF328" s="87" t="n">
        <v>0</v>
      </c>
      <c r="AG328" t="n">
        <v>6258</v>
      </c>
      <c r="AH328" t="n">
        <v>121150</v>
      </c>
      <c r="AI328" t="n">
        <v>0</v>
      </c>
      <c r="AJ328" s="88">
        <f>IF(OR(AG328&lt;=0,AH328&lt;=0),"",LN(AG328)-LN(AH328))</f>
        <v/>
      </c>
      <c r="AK328" t="n">
        <v>17886</v>
      </c>
      <c r="AL328" t="n">
        <v>109522</v>
      </c>
      <c r="AM328" s="88">
        <f>IF(OR(AK328&lt;=0,AL328&lt;=0),"",LN(AK328)-LN(AL328))</f>
        <v/>
      </c>
      <c r="AN328" t="n">
        <v>6135</v>
      </c>
      <c r="AO328" t="n">
        <v>116767</v>
      </c>
      <c r="AP328" s="88">
        <f>IF(OR(AN328&lt;=0,AO328&lt;=0),"",LN(AN328)-LN(AO328))</f>
        <v/>
      </c>
      <c r="AQ328" t="n">
        <v>6099</v>
      </c>
      <c r="AR328" t="n">
        <v>121150</v>
      </c>
      <c r="AS328" s="88">
        <f>IF(OR(AQ328&lt;=0,AR328&lt;=0),"",LN(AQ328)-LN(AR328))</f>
        <v/>
      </c>
      <c r="AT328" t="n">
        <v>7105</v>
      </c>
      <c r="AU328" t="n">
        <v>119564</v>
      </c>
      <c r="AV328" t="n">
        <v>746</v>
      </c>
      <c r="AW328" t="n">
        <v>519</v>
      </c>
      <c r="AX328" t="n">
        <v>5706</v>
      </c>
      <c r="AY328" s="88">
        <f>IF(OR(AT328&lt;=0,AU328&lt;=0),"",LN(AT328)-LN(AU328))</f>
        <v/>
      </c>
      <c r="AZ328" s="46" t="n">
        <v>9.199999999999999</v>
      </c>
      <c r="BA328" s="46" t="n">
        <v>12.57</v>
      </c>
      <c r="BB328" s="47" t="n">
        <v>0</v>
      </c>
    </row>
    <row r="329">
      <c r="A329" s="48" t="n">
        <v>45619</v>
      </c>
      <c r="B329" s="49" t="n">
        <v>95075</v>
      </c>
      <c r="C329" s="50" t="n">
        <v>13.6</v>
      </c>
      <c r="D329" s="51" t="inlineStr">
        <is>
          <t>Good</t>
        </is>
      </c>
      <c r="E329" s="52" t="n">
        <v>6.4</v>
      </c>
      <c r="F329" s="52" t="n"/>
      <c r="G329" s="51" t="inlineStr">
        <is>
          <t>Sat</t>
        </is>
      </c>
      <c r="H329" s="51" t="inlineStr">
        <is>
          <t>Weekend</t>
        </is>
      </c>
      <c r="I329" s="51" t="inlineStr">
        <is>
          <t>Fall</t>
        </is>
      </c>
      <c r="J329" s="51" t="n">
        <v>25</v>
      </c>
      <c r="K329" s="51" t="inlineStr">
        <is>
          <t>강수량 공란</t>
        </is>
      </c>
      <c r="L329" s="46" t="n">
        <v>23.12</v>
      </c>
      <c r="M329" t="inlineStr">
        <is>
          <t>Good</t>
        </is>
      </c>
      <c r="N329" s="87" t="n">
        <v>25</v>
      </c>
      <c r="O329" s="87" t="n">
        <v>0</v>
      </c>
      <c r="P329" s="87" t="n">
        <v>0</v>
      </c>
      <c r="Q329" s="87" t="n">
        <v>0</v>
      </c>
      <c r="R329" s="87" t="n">
        <v>0</v>
      </c>
      <c r="S329" s="47" t="n">
        <v>1.7</v>
      </c>
      <c r="T329" s="47" t="n">
        <v>47.1</v>
      </c>
      <c r="U329" s="47" t="n"/>
      <c r="V329" s="87" t="n">
        <v>1</v>
      </c>
      <c r="W329" s="87" t="n">
        <v>0</v>
      </c>
      <c r="Y329" t="inlineStr">
        <is>
          <t>Nov</t>
        </is>
      </c>
      <c r="Z329" s="87" t="n">
        <v>2024</v>
      </c>
      <c r="AA329" s="47">
        <f>IF(F329="",0,F329)</f>
        <v/>
      </c>
      <c r="AB329" s="87">
        <f>IF(AA329&gt;=0.1,1,0)</f>
        <v/>
      </c>
      <c r="AC329" s="87" t="n">
        <v>0</v>
      </c>
      <c r="AD329" s="47">
        <f>IF(U329="",0,U329)</f>
        <v/>
      </c>
      <c r="AE329" s="87">
        <f>IF(OR(V329=1,W329=1),1,0)</f>
        <v/>
      </c>
      <c r="AF329" s="87" t="n">
        <v>0</v>
      </c>
      <c r="AG329" t="n">
        <v>5578</v>
      </c>
      <c r="AH329" t="n">
        <v>89497</v>
      </c>
      <c r="AI329" t="n">
        <v>0</v>
      </c>
      <c r="AJ329" s="88">
        <f>IF(OR(AG329&lt;=0,AH329&lt;=0),"",LN(AG329)-LN(AH329))</f>
        <v/>
      </c>
      <c r="AK329" t="n">
        <v>14354</v>
      </c>
      <c r="AL329" t="n">
        <v>80721</v>
      </c>
      <c r="AM329" s="88">
        <f>IF(OR(AK329&lt;=0,AL329&lt;=0),"",LN(AK329)-LN(AL329))</f>
        <v/>
      </c>
      <c r="AN329" t="n">
        <v>5445</v>
      </c>
      <c r="AO329" t="n">
        <v>86296</v>
      </c>
      <c r="AP329" s="88">
        <f>IF(OR(AN329&lt;=0,AO329&lt;=0),"",LN(AN329)-LN(AO329))</f>
        <v/>
      </c>
      <c r="AQ329" t="n">
        <v>5433</v>
      </c>
      <c r="AR329" t="n">
        <v>89497</v>
      </c>
      <c r="AS329" s="88">
        <f>IF(OR(AQ329&lt;=0,AR329&lt;=0),"",LN(AQ329)-LN(AR329))</f>
        <v/>
      </c>
      <c r="AT329" t="n">
        <v>7322</v>
      </c>
      <c r="AU329" t="n">
        <v>87201</v>
      </c>
      <c r="AV329" t="n">
        <v>553</v>
      </c>
      <c r="AW329" t="n">
        <v>698</v>
      </c>
      <c r="AX329" t="n">
        <v>4842</v>
      </c>
      <c r="AY329" s="88">
        <f>IF(OR(AT329&lt;=0,AU329&lt;=0),"",LN(AT329)-LN(AU329))</f>
        <v/>
      </c>
      <c r="AZ329" s="46" t="n">
        <v>9.199999999999999</v>
      </c>
      <c r="BA329" s="46" t="n">
        <v>11.87</v>
      </c>
      <c r="BB329" s="47" t="n">
        <v>1.4</v>
      </c>
    </row>
    <row r="330">
      <c r="A330" s="48" t="n">
        <v>45620</v>
      </c>
      <c r="B330" s="49" t="n">
        <v>85897</v>
      </c>
      <c r="C330" s="50" t="n">
        <v>10.68</v>
      </c>
      <c r="D330" s="51" t="inlineStr">
        <is>
          <t>Good</t>
        </is>
      </c>
      <c r="E330" s="52" t="n">
        <v>7.4</v>
      </c>
      <c r="F330" s="52" t="n"/>
      <c r="G330" s="51" t="inlineStr">
        <is>
          <t>Sun</t>
        </is>
      </c>
      <c r="H330" s="51" t="inlineStr">
        <is>
          <t>Weekend</t>
        </is>
      </c>
      <c r="I330" s="51" t="inlineStr">
        <is>
          <t>Fall</t>
        </is>
      </c>
      <c r="J330" s="51" t="n">
        <v>25</v>
      </c>
      <c r="K330" s="51" t="inlineStr">
        <is>
          <t>강수량 공란</t>
        </is>
      </c>
      <c r="L330" s="46" t="n">
        <v>17.72</v>
      </c>
      <c r="M330" t="inlineStr">
        <is>
          <t>Good</t>
        </is>
      </c>
      <c r="N330" s="87" t="n">
        <v>25</v>
      </c>
      <c r="O330" s="87" t="n">
        <v>0</v>
      </c>
      <c r="P330" s="87" t="n">
        <v>0</v>
      </c>
      <c r="Q330" s="87" t="n">
        <v>0</v>
      </c>
      <c r="R330" s="87" t="n">
        <v>0</v>
      </c>
      <c r="S330" s="47" t="n">
        <v>1.6</v>
      </c>
      <c r="T330" s="47" t="n">
        <v>58.4</v>
      </c>
      <c r="U330" s="47" t="n"/>
      <c r="V330" s="87" t="n">
        <v>1</v>
      </c>
      <c r="W330" s="87" t="n">
        <v>0</v>
      </c>
      <c r="Y330" t="inlineStr">
        <is>
          <t>Nov</t>
        </is>
      </c>
      <c r="Z330" s="87" t="n">
        <v>2024</v>
      </c>
      <c r="AA330" s="47">
        <f>IF(F330="",0,F330)</f>
        <v/>
      </c>
      <c r="AB330" s="87">
        <f>IF(AA330&gt;=0.1,1,0)</f>
        <v/>
      </c>
      <c r="AC330" s="87" t="n">
        <v>0</v>
      </c>
      <c r="AD330" s="47">
        <f>IF(U330="",0,U330)</f>
        <v/>
      </c>
      <c r="AE330" s="87">
        <f>IF(OR(V330=1,W330=1),1,0)</f>
        <v/>
      </c>
      <c r="AF330" s="87" t="n">
        <v>0</v>
      </c>
      <c r="AG330" t="n">
        <v>5598</v>
      </c>
      <c r="AH330" t="n">
        <v>80299</v>
      </c>
      <c r="AI330" t="n">
        <v>0</v>
      </c>
      <c r="AJ330" s="88">
        <f>IF(OR(AG330&lt;=0,AH330&lt;=0),"",LN(AG330)-LN(AH330))</f>
        <v/>
      </c>
      <c r="AK330" t="n">
        <v>13547</v>
      </c>
      <c r="AL330" t="n">
        <v>72350</v>
      </c>
      <c r="AM330" s="88">
        <f>IF(OR(AK330&lt;=0,AL330&lt;=0),"",LN(AK330)-LN(AL330))</f>
        <v/>
      </c>
      <c r="AN330" t="n">
        <v>5429</v>
      </c>
      <c r="AO330" t="n">
        <v>77544</v>
      </c>
      <c r="AP330" s="88">
        <f>IF(OR(AN330&lt;=0,AO330&lt;=0),"",LN(AN330)-LN(AO330))</f>
        <v/>
      </c>
      <c r="AQ330" t="n">
        <v>5435</v>
      </c>
      <c r="AR330" t="n">
        <v>80299</v>
      </c>
      <c r="AS330" s="88">
        <f>IF(OR(AQ330&lt;=0,AR330&lt;=0),"",LN(AQ330)-LN(AR330))</f>
        <v/>
      </c>
      <c r="AT330" t="n">
        <v>7323</v>
      </c>
      <c r="AU330" t="n">
        <v>78128</v>
      </c>
      <c r="AV330" t="n">
        <v>450</v>
      </c>
      <c r="AW330" t="n">
        <v>760</v>
      </c>
      <c r="AX330" t="n">
        <v>4800</v>
      </c>
      <c r="AY330" s="88">
        <f>IF(OR(AT330&lt;=0,AU330&lt;=0),"",LN(AT330)-LN(AU330))</f>
        <v/>
      </c>
      <c r="AZ330" s="46" t="n">
        <v>9.1</v>
      </c>
      <c r="BA330" s="46" t="n">
        <v>11.89</v>
      </c>
      <c r="BB330" s="47" t="n">
        <v>1.1</v>
      </c>
    </row>
    <row r="331">
      <c r="A331" s="48" t="n">
        <v>45621</v>
      </c>
      <c r="B331" s="49" t="n">
        <v>130573</v>
      </c>
      <c r="C331" s="50" t="n">
        <v>12.36</v>
      </c>
      <c r="D331" s="51" t="inlineStr">
        <is>
          <t>Good</t>
        </is>
      </c>
      <c r="E331" s="52" t="n">
        <v>10.1</v>
      </c>
      <c r="F331" s="52" t="n">
        <v>0</v>
      </c>
      <c r="G331" s="51" t="inlineStr">
        <is>
          <t>Mon</t>
        </is>
      </c>
      <c r="H331" s="51" t="inlineStr">
        <is>
          <t>Weekday</t>
        </is>
      </c>
      <c r="I331" s="51" t="inlineStr">
        <is>
          <t>Fall</t>
        </is>
      </c>
      <c r="J331" s="51" t="n">
        <v>25</v>
      </c>
      <c r="K331" s="51" t="inlineStr">
        <is>
          <t>OK</t>
        </is>
      </c>
      <c r="L331" s="46" t="n">
        <v>21.8</v>
      </c>
      <c r="M331" t="inlineStr">
        <is>
          <t>Good</t>
        </is>
      </c>
      <c r="N331" s="87" t="n">
        <v>25</v>
      </c>
      <c r="O331" s="87" t="n">
        <v>0</v>
      </c>
      <c r="P331" s="87" t="n">
        <v>0</v>
      </c>
      <c r="Q331" s="87" t="n">
        <v>0</v>
      </c>
      <c r="R331" s="87" t="n">
        <v>0</v>
      </c>
      <c r="S331" s="47" t="n">
        <v>2.5</v>
      </c>
      <c r="T331" s="47" t="n">
        <v>57.6</v>
      </c>
      <c r="U331" s="47" t="n"/>
      <c r="V331" s="87" t="n">
        <v>0</v>
      </c>
      <c r="W331" s="87" t="n">
        <v>0</v>
      </c>
      <c r="Y331" t="inlineStr">
        <is>
          <t>Nov</t>
        </is>
      </c>
      <c r="Z331" s="87" t="n">
        <v>2024</v>
      </c>
      <c r="AA331" s="47">
        <f>IF(F331="",0,F331)</f>
        <v/>
      </c>
      <c r="AB331" s="87">
        <f>IF(AA331&gt;=0.1,1,0)</f>
        <v/>
      </c>
      <c r="AC331" s="87" t="n">
        <v>1</v>
      </c>
      <c r="AD331" s="47">
        <f>IF(U331="",0,U331)</f>
        <v/>
      </c>
      <c r="AE331" s="87">
        <f>IF(OR(V331=1,W331=1),1,0)</f>
        <v/>
      </c>
      <c r="AF331" s="87" t="n">
        <v>0</v>
      </c>
      <c r="AG331" t="n">
        <v>6371</v>
      </c>
      <c r="AH331" t="n">
        <v>124202</v>
      </c>
      <c r="AI331" t="n">
        <v>0</v>
      </c>
      <c r="AJ331" s="88">
        <f>IF(OR(AG331&lt;=0,AH331&lt;=0),"",LN(AG331)-LN(AH331))</f>
        <v/>
      </c>
      <c r="AK331" t="n">
        <v>18285</v>
      </c>
      <c r="AL331" t="n">
        <v>112288</v>
      </c>
      <c r="AM331" s="88">
        <f>IF(OR(AK331&lt;=0,AL331&lt;=0),"",LN(AK331)-LN(AL331))</f>
        <v/>
      </c>
      <c r="AN331" t="n">
        <v>6203</v>
      </c>
      <c r="AO331" t="n">
        <v>119655</v>
      </c>
      <c r="AP331" s="88">
        <f>IF(OR(AN331&lt;=0,AO331&lt;=0),"",LN(AN331)-LN(AO331))</f>
        <v/>
      </c>
      <c r="AQ331" t="n">
        <v>6219</v>
      </c>
      <c r="AR331" t="n">
        <v>124202</v>
      </c>
      <c r="AS331" s="88">
        <f>IF(OR(AQ331&lt;=0,AR331&lt;=0),"",LN(AQ331)-LN(AR331))</f>
        <v/>
      </c>
      <c r="AT331" t="n">
        <v>7420</v>
      </c>
      <c r="AU331" t="n">
        <v>122379</v>
      </c>
      <c r="AV331" t="n">
        <v>777</v>
      </c>
      <c r="AW331" t="n">
        <v>551</v>
      </c>
      <c r="AX331" t="n">
        <v>5779</v>
      </c>
      <c r="AY331" s="88">
        <f>IF(OR(AT331&lt;=0,AU331&lt;=0),"",LN(AT331)-LN(AU331))</f>
        <v/>
      </c>
      <c r="AZ331" s="46" t="n">
        <v>6.8</v>
      </c>
      <c r="BA331" s="46" t="n">
        <v>9.9</v>
      </c>
      <c r="BB331" s="47" t="n">
        <v>5.8</v>
      </c>
    </row>
    <row r="332">
      <c r="A332" s="48" t="n">
        <v>45622</v>
      </c>
      <c r="B332" s="49" t="n">
        <v>35379</v>
      </c>
      <c r="C332" s="50" t="n">
        <v>4.68</v>
      </c>
      <c r="D332" s="51" t="inlineStr">
        <is>
          <t>Good</t>
        </is>
      </c>
      <c r="E332" s="52" t="n">
        <v>5.8</v>
      </c>
      <c r="F332" s="52" t="n">
        <v>26</v>
      </c>
      <c r="G332" s="51" t="inlineStr">
        <is>
          <t>Tue</t>
        </is>
      </c>
      <c r="H332" s="51" t="inlineStr">
        <is>
          <t>Weekday</t>
        </is>
      </c>
      <c r="I332" s="51" t="inlineStr">
        <is>
          <t>Fall</t>
        </is>
      </c>
      <c r="J332" s="51" t="n">
        <v>25</v>
      </c>
      <c r="K332" s="51" t="inlineStr">
        <is>
          <t>OK</t>
        </is>
      </c>
      <c r="L332" s="46" t="n">
        <v>10.2</v>
      </c>
      <c r="M332" t="inlineStr">
        <is>
          <t>Good</t>
        </is>
      </c>
      <c r="N332" s="87" t="n">
        <v>25</v>
      </c>
      <c r="O332" s="87" t="n">
        <v>0</v>
      </c>
      <c r="P332" s="87" t="n">
        <v>0</v>
      </c>
      <c r="Q332" s="87" t="n">
        <v>0</v>
      </c>
      <c r="R332" s="87" t="n">
        <v>0</v>
      </c>
      <c r="S332" s="47" t="n">
        <v>3.4</v>
      </c>
      <c r="T332" s="47" t="n">
        <v>86.40000000000001</v>
      </c>
      <c r="U332" s="47" t="n">
        <v>0.9</v>
      </c>
      <c r="V332" s="87" t="n">
        <v>0</v>
      </c>
      <c r="W332" s="87" t="n">
        <v>0</v>
      </c>
      <c r="Y332" t="inlineStr">
        <is>
          <t>Nov</t>
        </is>
      </c>
      <c r="Z332" s="87" t="n">
        <v>2024</v>
      </c>
      <c r="AA332" s="47">
        <f>IF(F332="",0,F332)</f>
        <v/>
      </c>
      <c r="AB332" s="87">
        <f>IF(AA332&gt;=0.1,1,0)</f>
        <v/>
      </c>
      <c r="AC332" s="87" t="n">
        <v>0</v>
      </c>
      <c r="AD332" s="47">
        <f>IF(U332="",0,U332)</f>
        <v/>
      </c>
      <c r="AE332" s="87">
        <f>IF(OR(V332=1,W332=1),1,0)</f>
        <v/>
      </c>
      <c r="AF332" s="87" t="n">
        <v>0</v>
      </c>
      <c r="AG332" t="n">
        <v>1573</v>
      </c>
      <c r="AH332" t="n">
        <v>33806</v>
      </c>
      <c r="AI332" t="n">
        <v>0</v>
      </c>
      <c r="AJ332" s="88">
        <f>IF(OR(AG332&lt;=0,AH332&lt;=0),"",LN(AG332)-LN(AH332))</f>
        <v/>
      </c>
      <c r="AK332" t="n">
        <v>4662</v>
      </c>
      <c r="AL332" t="n">
        <v>30717</v>
      </c>
      <c r="AM332" s="88">
        <f>IF(OR(AK332&lt;=0,AL332&lt;=0),"",LN(AK332)-LN(AL332))</f>
        <v/>
      </c>
      <c r="AN332" t="n">
        <v>1539</v>
      </c>
      <c r="AO332" t="n">
        <v>32618</v>
      </c>
      <c r="AP332" s="88">
        <f>IF(OR(AN332&lt;=0,AO332&lt;=0),"",LN(AN332)-LN(AO332))</f>
        <v/>
      </c>
      <c r="AQ332" t="n">
        <v>1544</v>
      </c>
      <c r="AR332" t="n">
        <v>33806</v>
      </c>
      <c r="AS332" s="88">
        <f>IF(OR(AQ332&lt;=0,AR332&lt;=0),"",LN(AQ332)-LN(AR332))</f>
        <v/>
      </c>
      <c r="AT332" t="n">
        <v>2244</v>
      </c>
      <c r="AU332" t="n">
        <v>32829</v>
      </c>
      <c r="AV332" t="n">
        <v>304</v>
      </c>
      <c r="AW332" t="n">
        <v>119</v>
      </c>
      <c r="AX332" t="n">
        <v>1439</v>
      </c>
      <c r="AY332" s="88">
        <f>IF(OR(AT332&lt;=0,AU332&lt;=0),"",LN(AT332)-LN(AU332))</f>
        <v/>
      </c>
      <c r="AZ332" s="46" t="n">
        <v>0.9</v>
      </c>
      <c r="BA332" s="46" t="n">
        <v>4.35</v>
      </c>
      <c r="BB332" s="47" t="n">
        <v>9.6</v>
      </c>
    </row>
    <row r="333">
      <c r="A333" s="48" t="n">
        <v>45623</v>
      </c>
      <c r="B333" s="49" t="n">
        <v>20902</v>
      </c>
      <c r="C333" s="50" t="n">
        <v>6.08</v>
      </c>
      <c r="D333" s="51" t="inlineStr">
        <is>
          <t>Good</t>
        </is>
      </c>
      <c r="E333" s="52" t="n">
        <v>-0.4</v>
      </c>
      <c r="F333" s="52" t="n">
        <v>22.4</v>
      </c>
      <c r="G333" s="51" t="inlineStr">
        <is>
          <t>Wed</t>
        </is>
      </c>
      <c r="H333" s="51" t="inlineStr">
        <is>
          <t>Weekday</t>
        </is>
      </c>
      <c r="I333" s="51" t="inlineStr">
        <is>
          <t>Fall</t>
        </is>
      </c>
      <c r="J333" s="51" t="n">
        <v>25</v>
      </c>
      <c r="K333" s="51" t="inlineStr">
        <is>
          <t>OK</t>
        </is>
      </c>
      <c r="L333" s="46" t="n">
        <v>9.800000000000001</v>
      </c>
      <c r="M333" t="inlineStr">
        <is>
          <t>Good</t>
        </is>
      </c>
      <c r="N333" s="87" t="n">
        <v>25</v>
      </c>
      <c r="O333" s="87" t="n">
        <v>0</v>
      </c>
      <c r="P333" s="87" t="n">
        <v>0</v>
      </c>
      <c r="Q333" s="87" t="n">
        <v>0</v>
      </c>
      <c r="R333" s="87" t="n">
        <v>0</v>
      </c>
      <c r="S333" s="47" t="n">
        <v>1.4</v>
      </c>
      <c r="T333" s="47" t="n">
        <v>90.59999999999999</v>
      </c>
      <c r="U333" s="47" t="n">
        <v>19.3</v>
      </c>
      <c r="V333" s="87" t="n">
        <v>0</v>
      </c>
      <c r="W333" s="87" t="n">
        <v>0</v>
      </c>
      <c r="Y333" t="inlineStr">
        <is>
          <t>Nov</t>
        </is>
      </c>
      <c r="Z333" s="87" t="n">
        <v>2024</v>
      </c>
      <c r="AA333" s="47">
        <f>IF(F333="",0,F333)</f>
        <v/>
      </c>
      <c r="AB333" s="87">
        <f>IF(AA333&gt;=0.1,1,0)</f>
        <v/>
      </c>
      <c r="AC333" s="87" t="n">
        <v>0</v>
      </c>
      <c r="AD333" s="47">
        <f>IF(U333="",0,U333)</f>
        <v/>
      </c>
      <c r="AE333" s="87">
        <f>IF(OR(V333=1,W333=1),1,0)</f>
        <v/>
      </c>
      <c r="AF333" s="87" t="n">
        <v>0</v>
      </c>
      <c r="AG333" t="n">
        <v>983</v>
      </c>
      <c r="AH333" t="n">
        <v>19919</v>
      </c>
      <c r="AI333" t="n">
        <v>0</v>
      </c>
      <c r="AJ333" s="88">
        <f>IF(OR(AG333&lt;=0,AH333&lt;=0),"",LN(AG333)-LN(AH333))</f>
        <v/>
      </c>
      <c r="AK333" t="n">
        <v>2778</v>
      </c>
      <c r="AL333" t="n">
        <v>18124</v>
      </c>
      <c r="AM333" s="88">
        <f>IF(OR(AK333&lt;=0,AL333&lt;=0),"",LN(AK333)-LN(AL333))</f>
        <v/>
      </c>
      <c r="AN333" t="n">
        <v>963</v>
      </c>
      <c r="AO333" t="n">
        <v>19129</v>
      </c>
      <c r="AP333" s="88">
        <f>IF(OR(AN333&lt;=0,AO333&lt;=0),"",LN(AN333)-LN(AO333))</f>
        <v/>
      </c>
      <c r="AQ333" t="n">
        <v>959</v>
      </c>
      <c r="AR333" t="n">
        <v>19919</v>
      </c>
      <c r="AS333" s="88">
        <f>IF(OR(AQ333&lt;=0,AR333&lt;=0),"",LN(AQ333)-LN(AR333))</f>
        <v/>
      </c>
      <c r="AT333" t="n">
        <v>1282</v>
      </c>
      <c r="AU333" t="n">
        <v>19399</v>
      </c>
      <c r="AV333" t="n">
        <v>216</v>
      </c>
      <c r="AW333" t="n">
        <v>58</v>
      </c>
      <c r="AX333" t="n">
        <v>906</v>
      </c>
      <c r="AY333" s="88">
        <f>IF(OR(AT333&lt;=0,AU333&lt;=0),"",LN(AT333)-LN(AU333))</f>
        <v/>
      </c>
      <c r="AZ333" s="46" t="n">
        <v>0.3</v>
      </c>
      <c r="BA333" s="46" t="n">
        <v>0.82</v>
      </c>
      <c r="BB333" s="47" t="n">
        <v>9.1</v>
      </c>
    </row>
    <row r="334">
      <c r="A334" s="48" t="n">
        <v>45624</v>
      </c>
      <c r="B334" s="49" t="n">
        <v>42954</v>
      </c>
      <c r="C334" s="50" t="n">
        <v>12.08</v>
      </c>
      <c r="D334" s="51" t="inlineStr">
        <is>
          <t>Good</t>
        </is>
      </c>
      <c r="E334" s="52" t="n">
        <v>0.8</v>
      </c>
      <c r="F334" s="52" t="n">
        <v>4.9</v>
      </c>
      <c r="G334" s="51" t="inlineStr">
        <is>
          <t>Thu</t>
        </is>
      </c>
      <c r="H334" s="51" t="inlineStr">
        <is>
          <t>Weekday</t>
        </is>
      </c>
      <c r="I334" s="51" t="inlineStr">
        <is>
          <t>Fall</t>
        </is>
      </c>
      <c r="J334" s="51" t="n">
        <v>25</v>
      </c>
      <c r="K334" s="51" t="inlineStr">
        <is>
          <t>OK</t>
        </is>
      </c>
      <c r="L334" s="46" t="n">
        <v>17.92</v>
      </c>
      <c r="M334" t="inlineStr">
        <is>
          <t>Good</t>
        </is>
      </c>
      <c r="N334" s="87" t="n">
        <v>25</v>
      </c>
      <c r="O334" s="87" t="n">
        <v>0</v>
      </c>
      <c r="P334" s="87" t="n">
        <v>0</v>
      </c>
      <c r="Q334" s="87" t="n">
        <v>0</v>
      </c>
      <c r="R334" s="87" t="n">
        <v>0</v>
      </c>
      <c r="S334" s="47" t="n">
        <v>1.8</v>
      </c>
      <c r="T334" s="47" t="n">
        <v>82</v>
      </c>
      <c r="U334" s="47" t="n">
        <v>8.5</v>
      </c>
      <c r="V334" s="87" t="n">
        <v>0</v>
      </c>
      <c r="W334" s="87" t="n">
        <v>0</v>
      </c>
      <c r="Y334" t="inlineStr">
        <is>
          <t>Nov</t>
        </is>
      </c>
      <c r="Z334" s="87" t="n">
        <v>2024</v>
      </c>
      <c r="AA334" s="47">
        <f>IF(F334="",0,F334)</f>
        <v/>
      </c>
      <c r="AB334" s="87">
        <f>IF(AA334&gt;=0.1,1,0)</f>
        <v/>
      </c>
      <c r="AC334" s="87" t="n">
        <v>0</v>
      </c>
      <c r="AD334" s="47">
        <f>IF(U334="",0,U334)</f>
        <v/>
      </c>
      <c r="AE334" s="87">
        <f>IF(OR(V334=1,W334=1),1,0)</f>
        <v/>
      </c>
      <c r="AF334" s="87" t="n">
        <v>0</v>
      </c>
      <c r="AG334" t="n">
        <v>1877</v>
      </c>
      <c r="AH334" t="n">
        <v>41077</v>
      </c>
      <c r="AI334" t="n">
        <v>0</v>
      </c>
      <c r="AJ334" s="88">
        <f>IF(OR(AG334&lt;=0,AH334&lt;=0),"",LN(AG334)-LN(AH334))</f>
        <v/>
      </c>
      <c r="AK334" t="n">
        <v>5702</v>
      </c>
      <c r="AL334" t="n">
        <v>37252</v>
      </c>
      <c r="AM334" s="88">
        <f>IF(OR(AK334&lt;=0,AL334&lt;=0),"",LN(AK334)-LN(AL334))</f>
        <v/>
      </c>
      <c r="AN334" t="n">
        <v>1839</v>
      </c>
      <c r="AO334" t="n">
        <v>39469</v>
      </c>
      <c r="AP334" s="88">
        <f>IF(OR(AN334&lt;=0,AO334&lt;=0),"",LN(AN334)-LN(AO334))</f>
        <v/>
      </c>
      <c r="AQ334" t="n">
        <v>1834</v>
      </c>
      <c r="AR334" t="n">
        <v>41077</v>
      </c>
      <c r="AS334" s="88">
        <f>IF(OR(AQ334&lt;=0,AR334&lt;=0),"",LN(AQ334)-LN(AR334))</f>
        <v/>
      </c>
      <c r="AT334" t="n">
        <v>2891</v>
      </c>
      <c r="AU334" t="n">
        <v>39729</v>
      </c>
      <c r="AV334" t="n">
        <v>332</v>
      </c>
      <c r="AW334" t="n">
        <v>155</v>
      </c>
      <c r="AX334" t="n">
        <v>1710</v>
      </c>
      <c r="AY334" s="88">
        <f>IF(OR(AT334&lt;=0,AU334&lt;=0),"",LN(AT334)-LN(AU334))</f>
        <v/>
      </c>
      <c r="AZ334" s="46" t="n">
        <v>4.5</v>
      </c>
      <c r="BA334" s="46" t="n">
        <v>8.16</v>
      </c>
      <c r="BB334" s="47" t="n">
        <v>5.4</v>
      </c>
    </row>
    <row r="335">
      <c r="A335" s="48" t="n">
        <v>45625</v>
      </c>
      <c r="B335" s="49" t="n">
        <v>73901</v>
      </c>
      <c r="C335" s="50" t="n">
        <v>17.72</v>
      </c>
      <c r="D335" s="51" t="inlineStr">
        <is>
          <t>Moderate</t>
        </is>
      </c>
      <c r="E335" s="52" t="n">
        <v>0.2</v>
      </c>
      <c r="F335" s="52" t="n">
        <v>0</v>
      </c>
      <c r="G335" s="51" t="inlineStr">
        <is>
          <t>Fri</t>
        </is>
      </c>
      <c r="H335" s="51" t="inlineStr">
        <is>
          <t>Weekday</t>
        </is>
      </c>
      <c r="I335" s="51" t="inlineStr">
        <is>
          <t>Fall</t>
        </is>
      </c>
      <c r="J335" s="51" t="n">
        <v>25</v>
      </c>
      <c r="K335" s="51" t="inlineStr">
        <is>
          <t>OK</t>
        </is>
      </c>
      <c r="L335" s="46" t="n">
        <v>31.24</v>
      </c>
      <c r="M335" t="inlineStr">
        <is>
          <t>Moderate</t>
        </is>
      </c>
      <c r="N335" s="87" t="n">
        <v>25</v>
      </c>
      <c r="O335" s="87" t="n">
        <v>0</v>
      </c>
      <c r="P335" s="87" t="n">
        <v>0</v>
      </c>
      <c r="Q335" s="87" t="n">
        <v>0</v>
      </c>
      <c r="R335" s="87" t="n">
        <v>0</v>
      </c>
      <c r="S335" s="47" t="n">
        <v>1.5</v>
      </c>
      <c r="T335" s="47" t="n">
        <v>76.3</v>
      </c>
      <c r="U335" s="47" t="n"/>
      <c r="V335" s="87" t="n">
        <v>0</v>
      </c>
      <c r="W335" s="87" t="n">
        <v>0</v>
      </c>
      <c r="Y335" t="inlineStr">
        <is>
          <t>Nov</t>
        </is>
      </c>
      <c r="Z335" s="87" t="n">
        <v>2024</v>
      </c>
      <c r="AA335" s="47">
        <f>IF(F335="",0,F335)</f>
        <v/>
      </c>
      <c r="AB335" s="87">
        <f>IF(AA335&gt;=0.1,1,0)</f>
        <v/>
      </c>
      <c r="AC335" s="87" t="n">
        <v>1</v>
      </c>
      <c r="AD335" s="47">
        <f>IF(U335="",0,U335)</f>
        <v/>
      </c>
      <c r="AE335" s="87">
        <f>IF(OR(V335=1,W335=1),1,0)</f>
        <v/>
      </c>
      <c r="AF335" s="87" t="n">
        <v>0</v>
      </c>
      <c r="AG335" t="n">
        <v>3349</v>
      </c>
      <c r="AH335" t="n">
        <v>70552</v>
      </c>
      <c r="AI335" t="n">
        <v>0</v>
      </c>
      <c r="AJ335" s="88">
        <f>IF(OR(AG335&lt;=0,AH335&lt;=0),"",LN(AG335)-LN(AH335))</f>
        <v/>
      </c>
      <c r="AK335" t="n">
        <v>10252</v>
      </c>
      <c r="AL335" t="n">
        <v>63649</v>
      </c>
      <c r="AM335" s="88">
        <f>IF(OR(AK335&lt;=0,AL335&lt;=0),"",LN(AK335)-LN(AL335))</f>
        <v/>
      </c>
      <c r="AN335" t="n">
        <v>3282</v>
      </c>
      <c r="AO335" t="n">
        <v>67822</v>
      </c>
      <c r="AP335" s="88">
        <f>IF(OR(AN335&lt;=0,AO335&lt;=0),"",LN(AN335)-LN(AO335))</f>
        <v/>
      </c>
      <c r="AQ335" t="n">
        <v>3271</v>
      </c>
      <c r="AR335" t="n">
        <v>70552</v>
      </c>
      <c r="AS335" s="88">
        <f>IF(OR(AQ335&lt;=0,AR335&lt;=0),"",LN(AQ335)-LN(AR335))</f>
        <v/>
      </c>
      <c r="AT335" t="n">
        <v>4375</v>
      </c>
      <c r="AU335" t="n">
        <v>69032</v>
      </c>
      <c r="AV335" t="n">
        <v>507</v>
      </c>
      <c r="AW335" t="n">
        <v>254</v>
      </c>
      <c r="AX335" t="n">
        <v>3077</v>
      </c>
      <c r="AY335" s="88">
        <f>IF(OR(AT335&lt;=0,AU335&lt;=0),"",LN(AT335)-LN(AU335))</f>
        <v/>
      </c>
      <c r="AZ335" s="46" t="n">
        <v>5.4</v>
      </c>
      <c r="BA335" s="46" t="n">
        <v>8.35</v>
      </c>
      <c r="BB335" s="47" t="n">
        <v>2.4</v>
      </c>
    </row>
    <row r="336">
      <c r="A336" s="48" t="n">
        <v>45626</v>
      </c>
      <c r="B336" s="49" t="n">
        <v>57419</v>
      </c>
      <c r="C336" s="50" t="n">
        <v>15.72</v>
      </c>
      <c r="D336" s="51" t="inlineStr">
        <is>
          <t>Moderate</t>
        </is>
      </c>
      <c r="E336" s="52" t="n">
        <v>2.5</v>
      </c>
      <c r="F336" s="52" t="n">
        <v>0</v>
      </c>
      <c r="G336" s="51" t="inlineStr">
        <is>
          <t>Sat</t>
        </is>
      </c>
      <c r="H336" s="51" t="inlineStr">
        <is>
          <t>Weekend</t>
        </is>
      </c>
      <c r="I336" s="51" t="inlineStr">
        <is>
          <t>Fall</t>
        </is>
      </c>
      <c r="J336" s="51" t="n">
        <v>25</v>
      </c>
      <c r="K336" s="51" t="inlineStr">
        <is>
          <t>OK</t>
        </is>
      </c>
      <c r="L336" s="46" t="n">
        <v>25.56</v>
      </c>
      <c r="M336" t="inlineStr">
        <is>
          <t>Good</t>
        </is>
      </c>
      <c r="N336" s="87" t="n">
        <v>25</v>
      </c>
      <c r="O336" s="87" t="n">
        <v>0</v>
      </c>
      <c r="P336" s="87" t="n">
        <v>0</v>
      </c>
      <c r="Q336" s="87" t="n">
        <v>0</v>
      </c>
      <c r="R336" s="87" t="n">
        <v>0</v>
      </c>
      <c r="S336" s="47" t="n">
        <v>1.8</v>
      </c>
      <c r="T336" s="47" t="n">
        <v>81.59999999999999</v>
      </c>
      <c r="U336" s="47" t="n"/>
      <c r="V336" s="87" t="n">
        <v>1</v>
      </c>
      <c r="W336" s="87" t="n">
        <v>0</v>
      </c>
      <c r="Y336" t="inlineStr">
        <is>
          <t>Nov</t>
        </is>
      </c>
      <c r="Z336" s="87" t="n">
        <v>2024</v>
      </c>
      <c r="AA336" s="47">
        <f>IF(F336="",0,F336)</f>
        <v/>
      </c>
      <c r="AB336" s="87">
        <f>IF(AA336&gt;=0.1,1,0)</f>
        <v/>
      </c>
      <c r="AC336" s="87" t="n">
        <v>1</v>
      </c>
      <c r="AD336" s="47">
        <f>IF(U336="",0,U336)</f>
        <v/>
      </c>
      <c r="AE336" s="87">
        <f>IF(OR(V336=1,W336=1),1,0)</f>
        <v/>
      </c>
      <c r="AF336" s="87" t="n">
        <v>0</v>
      </c>
      <c r="AG336" t="n">
        <v>2894</v>
      </c>
      <c r="AH336" t="n">
        <v>54525</v>
      </c>
      <c r="AI336" t="n">
        <v>0</v>
      </c>
      <c r="AJ336" s="88">
        <f>IF(OR(AG336&lt;=0,AH336&lt;=0),"",LN(AG336)-LN(AH336))</f>
        <v/>
      </c>
      <c r="AK336" t="n">
        <v>8134</v>
      </c>
      <c r="AL336" t="n">
        <v>49285</v>
      </c>
      <c r="AM336" s="88">
        <f>IF(OR(AK336&lt;=0,AL336&lt;=0),"",LN(AK336)-LN(AL336))</f>
        <v/>
      </c>
      <c r="AN336" t="n">
        <v>2825</v>
      </c>
      <c r="AO336" t="n">
        <v>52565</v>
      </c>
      <c r="AP336" s="88">
        <f>IF(OR(AN336&lt;=0,AO336&lt;=0),"",LN(AN336)-LN(AO336))</f>
        <v/>
      </c>
      <c r="AQ336" t="n">
        <v>2831</v>
      </c>
      <c r="AR336" t="n">
        <v>54525</v>
      </c>
      <c r="AS336" s="88">
        <f>IF(OR(AQ336&lt;=0,AR336&lt;=0),"",LN(AQ336)-LN(AR336))</f>
        <v/>
      </c>
      <c r="AT336" t="n">
        <v>4304</v>
      </c>
      <c r="AU336" t="n">
        <v>52747</v>
      </c>
      <c r="AV336" t="n">
        <v>369</v>
      </c>
      <c r="AW336" t="n">
        <v>320</v>
      </c>
      <c r="AX336" t="n">
        <v>2559</v>
      </c>
      <c r="AY336" s="88">
        <f>IF(OR(AT336&lt;=0,AU336&lt;=0),"",LN(AT336)-LN(AU336))</f>
        <v/>
      </c>
      <c r="AZ336" s="46" t="n">
        <v>2.4</v>
      </c>
      <c r="BA336" s="46" t="n">
        <v>4.74</v>
      </c>
      <c r="BB336" s="47" t="n">
        <v>4.1</v>
      </c>
    </row>
    <row r="337">
      <c r="A337" s="48" t="n">
        <v>45627</v>
      </c>
      <c r="B337" s="49" t="n">
        <v>58682</v>
      </c>
      <c r="C337" s="50" t="n">
        <v>23</v>
      </c>
      <c r="D337" s="51" t="inlineStr">
        <is>
          <t>Moderate</t>
        </is>
      </c>
      <c r="E337" s="52" t="n">
        <v>5.2</v>
      </c>
      <c r="F337" s="52" t="n">
        <v>0.5</v>
      </c>
      <c r="G337" s="51" t="inlineStr">
        <is>
          <t>Sun</t>
        </is>
      </c>
      <c r="H337" s="51" t="inlineStr">
        <is>
          <t>Weekend</t>
        </is>
      </c>
      <c r="I337" s="51" t="inlineStr">
        <is>
          <t>Winter</t>
        </is>
      </c>
      <c r="J337" s="51" t="n">
        <v>25</v>
      </c>
      <c r="K337" s="51" t="inlineStr">
        <is>
          <t>OK</t>
        </is>
      </c>
      <c r="L337" s="46" t="n">
        <v>32.52</v>
      </c>
      <c r="M337" t="inlineStr">
        <is>
          <t>Moderate</t>
        </is>
      </c>
      <c r="N337" s="87" t="n">
        <v>25</v>
      </c>
      <c r="O337" s="87" t="n">
        <v>0</v>
      </c>
      <c r="P337" s="87" t="n">
        <v>0</v>
      </c>
      <c r="Q337" s="87" t="n">
        <v>0</v>
      </c>
      <c r="R337" s="87" t="n">
        <v>0</v>
      </c>
      <c r="S337" s="47" t="n">
        <v>2.4</v>
      </c>
      <c r="T337" s="47" t="n">
        <v>89.3</v>
      </c>
      <c r="U337" s="47" t="n"/>
      <c r="V337" s="87" t="n">
        <v>1</v>
      </c>
      <c r="W337" s="87" t="n">
        <v>0</v>
      </c>
      <c r="Y337" t="inlineStr">
        <is>
          <t>Dec</t>
        </is>
      </c>
      <c r="Z337" s="87" t="n">
        <v>2024</v>
      </c>
      <c r="AA337" s="47">
        <f>IF(F337="",0,F337)</f>
        <v/>
      </c>
      <c r="AB337" s="87">
        <f>IF(AA337&gt;=0.1,1,0)</f>
        <v/>
      </c>
      <c r="AC337" s="87" t="n">
        <v>0</v>
      </c>
      <c r="AD337" s="47">
        <f>IF(U337="",0,U337)</f>
        <v/>
      </c>
      <c r="AE337" s="87">
        <f>IF(OR(V337=1,W337=1),1,0)</f>
        <v/>
      </c>
      <c r="AF337" s="87" t="n">
        <v>0</v>
      </c>
      <c r="AG337" t="n">
        <v>3239</v>
      </c>
      <c r="AH337" t="n">
        <v>55443</v>
      </c>
      <c r="AI337" t="n">
        <v>0</v>
      </c>
      <c r="AJ337" s="88">
        <f>IF(OR(AG337&lt;=0,AH337&lt;=0),"",LN(AG337)-LN(AH337))</f>
        <v/>
      </c>
      <c r="AK337" t="n">
        <v>8621</v>
      </c>
      <c r="AL337" t="n">
        <v>50061</v>
      </c>
      <c r="AM337" s="88">
        <f>IF(OR(AK337&lt;=0,AL337&lt;=0),"",LN(AK337)-LN(AL337))</f>
        <v/>
      </c>
      <c r="AN337" t="n">
        <v>3127</v>
      </c>
      <c r="AO337" t="n">
        <v>53494</v>
      </c>
      <c r="AP337" s="88">
        <f>IF(OR(AN337&lt;=0,AO337&lt;=0),"",LN(AN337)-LN(AO337))</f>
        <v/>
      </c>
      <c r="AQ337" t="n">
        <v>3134</v>
      </c>
      <c r="AR337" t="n">
        <v>55443</v>
      </c>
      <c r="AS337" s="88">
        <f>IF(OR(AQ337&lt;=0,AR337&lt;=0),"",LN(AQ337)-LN(AR337))</f>
        <v/>
      </c>
      <c r="AT337" t="n">
        <v>4710</v>
      </c>
      <c r="AU337" t="n">
        <v>53643</v>
      </c>
      <c r="AV337" t="n">
        <v>331</v>
      </c>
      <c r="AW337" t="n">
        <v>394</v>
      </c>
      <c r="AX337" t="n">
        <v>2821</v>
      </c>
      <c r="AY337" s="88">
        <f>IF(OR(AT337&lt;=0,AU337&lt;=0),"",LN(AT337)-LN(AU337))</f>
        <v/>
      </c>
      <c r="AZ337" s="46" t="n">
        <v>2.4</v>
      </c>
      <c r="BA337" s="46" t="n">
        <v>7.01</v>
      </c>
      <c r="BB337" s="47" t="n">
        <v>5.9</v>
      </c>
    </row>
    <row r="338">
      <c r="A338" s="48" t="n">
        <v>45628</v>
      </c>
      <c r="B338" s="49" t="n">
        <v>100402</v>
      </c>
      <c r="C338" s="50" t="n">
        <v>26.8</v>
      </c>
      <c r="D338" s="51" t="inlineStr">
        <is>
          <t>Moderate</t>
        </is>
      </c>
      <c r="E338" s="52" t="n">
        <v>6.4</v>
      </c>
      <c r="F338" s="52" t="n">
        <v>0</v>
      </c>
      <c r="G338" s="51" t="inlineStr">
        <is>
          <t>Mon</t>
        </is>
      </c>
      <c r="H338" s="51" t="inlineStr">
        <is>
          <t>Weekday</t>
        </is>
      </c>
      <c r="I338" s="51" t="inlineStr">
        <is>
          <t>Winter</t>
        </is>
      </c>
      <c r="J338" s="51" t="n">
        <v>25</v>
      </c>
      <c r="K338" s="51" t="inlineStr">
        <is>
          <t>OK</t>
        </is>
      </c>
      <c r="L338" s="46" t="n">
        <v>43.04</v>
      </c>
      <c r="M338" t="inlineStr">
        <is>
          <t>Moderate</t>
        </is>
      </c>
      <c r="N338" s="87" t="n">
        <v>25</v>
      </c>
      <c r="O338" s="87" t="n">
        <v>0</v>
      </c>
      <c r="P338" s="87" t="n">
        <v>0</v>
      </c>
      <c r="Q338" s="87" t="n">
        <v>0</v>
      </c>
      <c r="R338" s="87" t="n">
        <v>0</v>
      </c>
      <c r="S338" s="47" t="n">
        <v>2.2</v>
      </c>
      <c r="T338" s="47" t="n">
        <v>79.90000000000001</v>
      </c>
      <c r="U338" s="47" t="n"/>
      <c r="V338" s="87" t="n">
        <v>0</v>
      </c>
      <c r="W338" s="87" t="n">
        <v>0</v>
      </c>
      <c r="Y338" t="inlineStr">
        <is>
          <t>Dec</t>
        </is>
      </c>
      <c r="Z338" s="87" t="n">
        <v>2024</v>
      </c>
      <c r="AA338" s="47">
        <f>IF(F338="",0,F338)</f>
        <v/>
      </c>
      <c r="AB338" s="87">
        <f>IF(AA338&gt;=0.1,1,0)</f>
        <v/>
      </c>
      <c r="AC338" s="87" t="n">
        <v>1</v>
      </c>
      <c r="AD338" s="47">
        <f>IF(U338="",0,U338)</f>
        <v/>
      </c>
      <c r="AE338" s="87">
        <f>IF(OR(V338=1,W338=1),1,0)</f>
        <v/>
      </c>
      <c r="AF338" s="87" t="n">
        <v>0</v>
      </c>
      <c r="AG338" t="n">
        <v>4665</v>
      </c>
      <c r="AH338" t="n">
        <v>95737</v>
      </c>
      <c r="AI338" t="n">
        <v>0</v>
      </c>
      <c r="AJ338" s="88">
        <f>IF(OR(AG338&lt;=0,AH338&lt;=0),"",LN(AG338)-LN(AH338))</f>
        <v/>
      </c>
      <c r="AK338" t="n">
        <v>13814</v>
      </c>
      <c r="AL338" t="n">
        <v>86588</v>
      </c>
      <c r="AM338" s="88">
        <f>IF(OR(AK338&lt;=0,AL338&lt;=0),"",LN(AK338)-LN(AL338))</f>
        <v/>
      </c>
      <c r="AN338" t="n">
        <v>4561</v>
      </c>
      <c r="AO338" t="n">
        <v>92209</v>
      </c>
      <c r="AP338" s="88">
        <f>IF(OR(AN338&lt;=0,AO338&lt;=0),"",LN(AN338)-LN(AO338))</f>
        <v/>
      </c>
      <c r="AQ338" t="n">
        <v>4561</v>
      </c>
      <c r="AR338" t="n">
        <v>95737</v>
      </c>
      <c r="AS338" s="88">
        <f>IF(OR(AQ338&lt;=0,AR338&lt;=0),"",LN(AQ338)-LN(AR338))</f>
        <v/>
      </c>
      <c r="AT338" t="n">
        <v>5934</v>
      </c>
      <c r="AU338" t="n">
        <v>93884</v>
      </c>
      <c r="AV338" t="n">
        <v>579</v>
      </c>
      <c r="AW338" t="n">
        <v>373</v>
      </c>
      <c r="AX338" t="n">
        <v>4272</v>
      </c>
      <c r="AY338" s="88">
        <f>IF(OR(AT338&lt;=0,AU338&lt;=0),"",LN(AT338)-LN(AU338))</f>
        <v/>
      </c>
      <c r="AZ338" s="46" t="n">
        <v>2.3</v>
      </c>
      <c r="BA338" s="46" t="n">
        <v>5.09</v>
      </c>
      <c r="BB338" s="47" t="n">
        <v>2.6</v>
      </c>
    </row>
    <row r="339">
      <c r="A339" s="48" t="n">
        <v>45629</v>
      </c>
      <c r="B339" s="49" t="n">
        <v>94706</v>
      </c>
      <c r="C339" s="50" t="n">
        <v>7.12</v>
      </c>
      <c r="D339" s="51" t="inlineStr">
        <is>
          <t>Good</t>
        </is>
      </c>
      <c r="E339" s="52" t="n">
        <v>1.3</v>
      </c>
      <c r="F339" s="52" t="n">
        <v>0</v>
      </c>
      <c r="G339" s="51" t="inlineStr">
        <is>
          <t>Tue</t>
        </is>
      </c>
      <c r="H339" s="51" t="inlineStr">
        <is>
          <t>Weekday</t>
        </is>
      </c>
      <c r="I339" s="51" t="inlineStr">
        <is>
          <t>Winter</t>
        </is>
      </c>
      <c r="J339" s="51" t="n">
        <v>25</v>
      </c>
      <c r="K339" s="51" t="inlineStr">
        <is>
          <t>OK</t>
        </is>
      </c>
      <c r="L339" s="46" t="n">
        <v>17.12</v>
      </c>
      <c r="M339" t="inlineStr">
        <is>
          <t>Good</t>
        </is>
      </c>
      <c r="N339" s="87" t="n">
        <v>25</v>
      </c>
      <c r="O339" s="87" t="n">
        <v>0</v>
      </c>
      <c r="P339" s="87" t="n">
        <v>0</v>
      </c>
      <c r="Q339" s="87" t="n">
        <v>0</v>
      </c>
      <c r="R339" s="87" t="n">
        <v>0</v>
      </c>
      <c r="S339" s="47" t="n">
        <v>2.4</v>
      </c>
      <c r="T339" s="47" t="n">
        <v>48.6</v>
      </c>
      <c r="U339" s="47" t="n"/>
      <c r="V339" s="87" t="n">
        <v>0</v>
      </c>
      <c r="W339" s="87" t="n">
        <v>0</v>
      </c>
      <c r="Y339" t="inlineStr">
        <is>
          <t>Dec</t>
        </is>
      </c>
      <c r="Z339" s="87" t="n">
        <v>2024</v>
      </c>
      <c r="AA339" s="47">
        <f>IF(F339="",0,F339)</f>
        <v/>
      </c>
      <c r="AB339" s="87">
        <f>IF(AA339&gt;=0.1,1,0)</f>
        <v/>
      </c>
      <c r="AC339" s="87" t="n">
        <v>1</v>
      </c>
      <c r="AD339" s="47">
        <f>IF(U339="",0,U339)</f>
        <v/>
      </c>
      <c r="AE339" s="87">
        <f>IF(OR(V339=1,W339=1),1,0)</f>
        <v/>
      </c>
      <c r="AF339" s="87" t="n">
        <v>0</v>
      </c>
      <c r="AG339" t="n">
        <v>4332</v>
      </c>
      <c r="AH339" t="n">
        <v>90374</v>
      </c>
      <c r="AI339" t="n">
        <v>0</v>
      </c>
      <c r="AJ339" s="88">
        <f>IF(OR(AG339&lt;=0,AH339&lt;=0),"",LN(AG339)-LN(AH339))</f>
        <v/>
      </c>
      <c r="AK339" t="n">
        <v>12749</v>
      </c>
      <c r="AL339" t="n">
        <v>81957</v>
      </c>
      <c r="AM339" s="88">
        <f>IF(OR(AK339&lt;=0,AL339&lt;=0),"",LN(AK339)-LN(AL339))</f>
        <v/>
      </c>
      <c r="AN339" t="n">
        <v>4253</v>
      </c>
      <c r="AO339" t="n">
        <v>87224</v>
      </c>
      <c r="AP339" s="88">
        <f>IF(OR(AN339&lt;=0,AO339&lt;=0),"",LN(AN339)-LN(AO339))</f>
        <v/>
      </c>
      <c r="AQ339" t="n">
        <v>4240</v>
      </c>
      <c r="AR339" t="n">
        <v>90374</v>
      </c>
      <c r="AS339" s="88">
        <f>IF(OR(AQ339&lt;=0,AR339&lt;=0),"",LN(AQ339)-LN(AR339))</f>
        <v/>
      </c>
      <c r="AT339" t="n">
        <v>4938</v>
      </c>
      <c r="AU339" t="n">
        <v>89232</v>
      </c>
      <c r="AV339" t="n">
        <v>549</v>
      </c>
      <c r="AW339" t="n">
        <v>296</v>
      </c>
      <c r="AX339" t="n">
        <v>4010</v>
      </c>
      <c r="AY339" s="88">
        <f>IF(OR(AT339&lt;=0,AU339&lt;=0),"",LN(AT339)-LN(AU339))</f>
        <v/>
      </c>
      <c r="AZ339" s="46" t="n">
        <v>8.9</v>
      </c>
      <c r="BA339" s="46" t="n">
        <v>11.61</v>
      </c>
      <c r="BB339" s="47" t="n">
        <v>3</v>
      </c>
    </row>
    <row r="340">
      <c r="A340" s="48" t="n">
        <v>45630</v>
      </c>
      <c r="B340" s="49" t="n">
        <v>97362</v>
      </c>
      <c r="C340" s="50" t="n">
        <v>10.96</v>
      </c>
      <c r="D340" s="51" t="inlineStr">
        <is>
          <t>Good</t>
        </is>
      </c>
      <c r="E340" s="52" t="n">
        <v>3.1</v>
      </c>
      <c r="F340" s="52" t="n">
        <v>0</v>
      </c>
      <c r="G340" s="51" t="inlineStr">
        <is>
          <t>Wed</t>
        </is>
      </c>
      <c r="H340" s="51" t="inlineStr">
        <is>
          <t>Weekday</t>
        </is>
      </c>
      <c r="I340" s="51" t="inlineStr">
        <is>
          <t>Winter</t>
        </is>
      </c>
      <c r="J340" s="51" t="n">
        <v>25</v>
      </c>
      <c r="K340" s="51" t="inlineStr">
        <is>
          <t>OK</t>
        </is>
      </c>
      <c r="L340" s="46" t="n">
        <v>22.56</v>
      </c>
      <c r="M340" t="inlineStr">
        <is>
          <t>Good</t>
        </is>
      </c>
      <c r="N340" s="87" t="n">
        <v>25</v>
      </c>
      <c r="O340" s="87" t="n">
        <v>0</v>
      </c>
      <c r="P340" s="87" t="n">
        <v>0</v>
      </c>
      <c r="Q340" s="87" t="n">
        <v>0</v>
      </c>
      <c r="R340" s="87" t="n">
        <v>0</v>
      </c>
      <c r="S340" s="47" t="n">
        <v>2.1</v>
      </c>
      <c r="T340" s="47" t="n">
        <v>52.1</v>
      </c>
      <c r="U340" s="47" t="n"/>
      <c r="V340" s="87" t="n">
        <v>0</v>
      </c>
      <c r="W340" s="87" t="n">
        <v>0</v>
      </c>
      <c r="Y340" t="inlineStr">
        <is>
          <t>Dec</t>
        </is>
      </c>
      <c r="Z340" s="87" t="n">
        <v>2024</v>
      </c>
      <c r="AA340" s="47">
        <f>IF(F340="",0,F340)</f>
        <v/>
      </c>
      <c r="AB340" s="87">
        <f>IF(AA340&gt;=0.1,1,0)</f>
        <v/>
      </c>
      <c r="AC340" s="87" t="n">
        <v>1</v>
      </c>
      <c r="AD340" s="47">
        <f>IF(U340="",0,U340)</f>
        <v/>
      </c>
      <c r="AE340" s="87">
        <f>IF(OR(V340=1,W340=1),1,0)</f>
        <v/>
      </c>
      <c r="AF340" s="87" t="n">
        <v>0</v>
      </c>
      <c r="AG340" t="n">
        <v>4405</v>
      </c>
      <c r="AH340" t="n">
        <v>92957</v>
      </c>
      <c r="AI340" t="n">
        <v>0</v>
      </c>
      <c r="AJ340" s="88">
        <f>IF(OR(AG340&lt;=0,AH340&lt;=0),"",LN(AG340)-LN(AH340))</f>
        <v/>
      </c>
      <c r="AK340" t="n">
        <v>13307</v>
      </c>
      <c r="AL340" t="n">
        <v>84055</v>
      </c>
      <c r="AM340" s="88">
        <f>IF(OR(AK340&lt;=0,AL340&lt;=0),"",LN(AK340)-LN(AL340))</f>
        <v/>
      </c>
      <c r="AN340" t="n">
        <v>4322</v>
      </c>
      <c r="AO340" t="n">
        <v>89715</v>
      </c>
      <c r="AP340" s="88">
        <f>IF(OR(AN340&lt;=0,AO340&lt;=0),"",LN(AN340)-LN(AO340))</f>
        <v/>
      </c>
      <c r="AQ340" t="n">
        <v>4300</v>
      </c>
      <c r="AR340" t="n">
        <v>92957</v>
      </c>
      <c r="AS340" s="88">
        <f>IF(OR(AQ340&lt;=0,AR340&lt;=0),"",LN(AQ340)-LN(AR340))</f>
        <v/>
      </c>
      <c r="AT340" t="n">
        <v>5199</v>
      </c>
      <c r="AU340" t="n">
        <v>91595</v>
      </c>
      <c r="AV340" t="n">
        <v>575</v>
      </c>
      <c r="AW340" t="n">
        <v>316</v>
      </c>
      <c r="AX340" t="n">
        <v>4068</v>
      </c>
      <c r="AY340" s="88">
        <f>IF(OR(AT340&lt;=0,AU340&lt;=0),"",LN(AT340)-LN(AU340))</f>
        <v/>
      </c>
      <c r="AZ340" s="46" t="n">
        <v>8.9</v>
      </c>
      <c r="BA340" s="46" t="n">
        <v>11.12</v>
      </c>
      <c r="BB340" s="47" t="n">
        <v>1.3</v>
      </c>
    </row>
    <row r="341">
      <c r="A341" s="48" t="n">
        <v>45631</v>
      </c>
      <c r="B341" s="49" t="n">
        <v>83581</v>
      </c>
      <c r="C341" s="50" t="n">
        <v>10.68</v>
      </c>
      <c r="D341" s="51" t="inlineStr">
        <is>
          <t>Good</t>
        </is>
      </c>
      <c r="E341" s="52" t="n">
        <v>3.9</v>
      </c>
      <c r="F341" s="52" t="n">
        <v>1.8</v>
      </c>
      <c r="G341" s="51" t="inlineStr">
        <is>
          <t>Thu</t>
        </is>
      </c>
      <c r="H341" s="51" t="inlineStr">
        <is>
          <t>Weekday</t>
        </is>
      </c>
      <c r="I341" s="51" t="inlineStr">
        <is>
          <t>Winter</t>
        </is>
      </c>
      <c r="J341" s="51" t="n">
        <v>25</v>
      </c>
      <c r="K341" s="51" t="inlineStr">
        <is>
          <t>OK</t>
        </is>
      </c>
      <c r="L341" s="46" t="n">
        <v>21.84</v>
      </c>
      <c r="M341" t="inlineStr">
        <is>
          <t>Good</t>
        </is>
      </c>
      <c r="N341" s="87" t="n">
        <v>25</v>
      </c>
      <c r="O341" s="87" t="n">
        <v>0</v>
      </c>
      <c r="P341" s="87" t="n">
        <v>0</v>
      </c>
      <c r="Q341" s="87" t="n">
        <v>0</v>
      </c>
      <c r="R341" s="87" t="n">
        <v>0</v>
      </c>
      <c r="S341" s="47" t="n">
        <v>2.3</v>
      </c>
      <c r="T341" s="47" t="n">
        <v>62.8</v>
      </c>
      <c r="U341" s="47" t="n"/>
      <c r="V341" s="87" t="n">
        <v>0</v>
      </c>
      <c r="W341" s="87" t="n">
        <v>0</v>
      </c>
      <c r="Y341" t="inlineStr">
        <is>
          <t>Dec</t>
        </is>
      </c>
      <c r="Z341" s="87" t="n">
        <v>2024</v>
      </c>
      <c r="AA341" s="47">
        <f>IF(F341="",0,F341)</f>
        <v/>
      </c>
      <c r="AB341" s="87">
        <f>IF(AA341&gt;=0.1,1,0)</f>
        <v/>
      </c>
      <c r="AC341" s="87" t="n">
        <v>0</v>
      </c>
      <c r="AD341" s="47">
        <f>IF(U341="",0,U341)</f>
        <v/>
      </c>
      <c r="AE341" s="87">
        <f>IF(OR(V341=1,W341=1),1,0)</f>
        <v/>
      </c>
      <c r="AF341" s="87" t="n">
        <v>0</v>
      </c>
      <c r="AG341" t="n">
        <v>3767</v>
      </c>
      <c r="AH341" t="n">
        <v>79814</v>
      </c>
      <c r="AI341" t="n">
        <v>0</v>
      </c>
      <c r="AJ341" s="88">
        <f>IF(OR(AG341&lt;=0,AH341&lt;=0),"",LN(AG341)-LN(AH341))</f>
        <v/>
      </c>
      <c r="AK341" t="n">
        <v>10958</v>
      </c>
      <c r="AL341" t="n">
        <v>72623</v>
      </c>
      <c r="AM341" s="88">
        <f>IF(OR(AK341&lt;=0,AL341&lt;=0),"",LN(AK341)-LN(AL341))</f>
        <v/>
      </c>
      <c r="AN341" t="n">
        <v>3692</v>
      </c>
      <c r="AO341" t="n">
        <v>76976</v>
      </c>
      <c r="AP341" s="88">
        <f>IF(OR(AN341&lt;=0,AO341&lt;=0),"",LN(AN341)-LN(AO341))</f>
        <v/>
      </c>
      <c r="AQ341" t="n">
        <v>3673</v>
      </c>
      <c r="AR341" t="n">
        <v>79814</v>
      </c>
      <c r="AS341" s="88">
        <f>IF(OR(AQ341&lt;=0,AR341&lt;=0),"",LN(AQ341)-LN(AR341))</f>
        <v/>
      </c>
      <c r="AT341" t="n">
        <v>4319</v>
      </c>
      <c r="AU341" t="n">
        <v>78801</v>
      </c>
      <c r="AV341" t="n">
        <v>465</v>
      </c>
      <c r="AW341" t="n">
        <v>270</v>
      </c>
      <c r="AX341" t="n">
        <v>3478</v>
      </c>
      <c r="AY341" s="88">
        <f>IF(OR(AT341&lt;=0,AU341&lt;=0),"",LN(AT341)-LN(AU341))</f>
        <v/>
      </c>
      <c r="AZ341" s="46" t="n">
        <v>6.7</v>
      </c>
      <c r="BA341" s="46" t="n">
        <v>9.890000000000001</v>
      </c>
      <c r="BB341" s="47" t="n">
        <v>2.5</v>
      </c>
    </row>
    <row r="342">
      <c r="A342" s="48" t="n">
        <v>45632</v>
      </c>
      <c r="B342" s="49" t="n">
        <v>92777</v>
      </c>
      <c r="C342" s="50" t="n">
        <v>8.68</v>
      </c>
      <c r="D342" s="51" t="inlineStr">
        <is>
          <t>Good</t>
        </is>
      </c>
      <c r="E342" s="52" t="n">
        <v>2.1</v>
      </c>
      <c r="F342" s="52" t="n"/>
      <c r="G342" s="51" t="inlineStr">
        <is>
          <t>Fri</t>
        </is>
      </c>
      <c r="H342" s="51" t="inlineStr">
        <is>
          <t>Weekday</t>
        </is>
      </c>
      <c r="I342" s="51" t="inlineStr">
        <is>
          <t>Winter</t>
        </is>
      </c>
      <c r="J342" s="51" t="n">
        <v>25</v>
      </c>
      <c r="K342" s="51" t="inlineStr">
        <is>
          <t>강수량 공란</t>
        </is>
      </c>
      <c r="L342" s="46" t="n">
        <v>24.92</v>
      </c>
      <c r="M342" t="inlineStr">
        <is>
          <t>Good</t>
        </is>
      </c>
      <c r="N342" s="87" t="n">
        <v>25</v>
      </c>
      <c r="O342" s="87" t="n">
        <v>0</v>
      </c>
      <c r="P342" s="87" t="n">
        <v>0</v>
      </c>
      <c r="Q342" s="87" t="n">
        <v>0</v>
      </c>
      <c r="R342" s="87" t="n">
        <v>0</v>
      </c>
      <c r="S342" s="47" t="n">
        <v>2.5</v>
      </c>
      <c r="T342" s="47" t="n">
        <v>49.3</v>
      </c>
      <c r="U342" s="47" t="n"/>
      <c r="V342" s="87" t="n">
        <v>0</v>
      </c>
      <c r="W342" s="87" t="n">
        <v>0</v>
      </c>
      <c r="Y342" t="inlineStr">
        <is>
          <t>Dec</t>
        </is>
      </c>
      <c r="Z342" s="87" t="n">
        <v>2024</v>
      </c>
      <c r="AA342" s="47">
        <f>IF(F342="",0,F342)</f>
        <v/>
      </c>
      <c r="AB342" s="87">
        <f>IF(AA342&gt;=0.1,1,0)</f>
        <v/>
      </c>
      <c r="AC342" s="87" t="n">
        <v>0</v>
      </c>
      <c r="AD342" s="47">
        <f>IF(U342="",0,U342)</f>
        <v/>
      </c>
      <c r="AE342" s="87">
        <f>IF(OR(V342=1,W342=1),1,0)</f>
        <v/>
      </c>
      <c r="AF342" s="87" t="n">
        <v>0</v>
      </c>
      <c r="AG342" t="n">
        <v>4154</v>
      </c>
      <c r="AH342" t="n">
        <v>88623</v>
      </c>
      <c r="AI342" t="n">
        <v>0</v>
      </c>
      <c r="AJ342" s="88">
        <f>IF(OR(AG342&lt;=0,AH342&lt;=0),"",LN(AG342)-LN(AH342))</f>
        <v/>
      </c>
      <c r="AK342" t="n">
        <v>12556</v>
      </c>
      <c r="AL342" t="n">
        <v>80221</v>
      </c>
      <c r="AM342" s="88">
        <f>IF(OR(AK342&lt;=0,AL342&lt;=0),"",LN(AK342)-LN(AL342))</f>
        <v/>
      </c>
      <c r="AN342" t="n">
        <v>4085</v>
      </c>
      <c r="AO342" t="n">
        <v>85515</v>
      </c>
      <c r="AP342" s="88">
        <f>IF(OR(AN342&lt;=0,AO342&lt;=0),"",LN(AN342)-LN(AO342))</f>
        <v/>
      </c>
      <c r="AQ342" t="n">
        <v>4077</v>
      </c>
      <c r="AR342" t="n">
        <v>88623</v>
      </c>
      <c r="AS342" s="88">
        <f>IF(OR(AQ342&lt;=0,AR342&lt;=0),"",LN(AQ342)-LN(AR342))</f>
        <v/>
      </c>
      <c r="AT342" t="n">
        <v>5101</v>
      </c>
      <c r="AU342" t="n">
        <v>87139</v>
      </c>
      <c r="AV342" t="n">
        <v>542</v>
      </c>
      <c r="AW342" t="n">
        <v>293</v>
      </c>
      <c r="AX342" t="n">
        <v>3841</v>
      </c>
      <c r="AY342" s="88">
        <f>IF(OR(AT342&lt;=0,AU342&lt;=0),"",LN(AT342)-LN(AU342))</f>
        <v/>
      </c>
      <c r="AZ342" s="46" t="n">
        <v>9.1</v>
      </c>
      <c r="BA342" s="46" t="n">
        <v>11.69</v>
      </c>
      <c r="BB342" s="47" t="n">
        <v>0.1</v>
      </c>
    </row>
    <row r="343">
      <c r="A343" s="48" t="n">
        <v>45633</v>
      </c>
      <c r="B343" s="49" t="n">
        <v>66498</v>
      </c>
      <c r="C343" s="50" t="n">
        <v>11.64</v>
      </c>
      <c r="D343" s="51" t="inlineStr">
        <is>
          <t>Good</t>
        </is>
      </c>
      <c r="E343" s="52" t="n">
        <v>0.2</v>
      </c>
      <c r="F343" s="52" t="n"/>
      <c r="G343" s="51" t="inlineStr">
        <is>
          <t>Sat</t>
        </is>
      </c>
      <c r="H343" s="51" t="inlineStr">
        <is>
          <t>Weekend</t>
        </is>
      </c>
      <c r="I343" s="51" t="inlineStr">
        <is>
          <t>Winter</t>
        </is>
      </c>
      <c r="J343" s="51" t="n">
        <v>25</v>
      </c>
      <c r="K343" s="51" t="inlineStr">
        <is>
          <t>강수량 공란</t>
        </is>
      </c>
      <c r="L343" s="46" t="n">
        <v>22.32</v>
      </c>
      <c r="M343" t="inlineStr">
        <is>
          <t>Good</t>
        </is>
      </c>
      <c r="N343" s="87" t="n">
        <v>25</v>
      </c>
      <c r="O343" s="87" t="n">
        <v>0</v>
      </c>
      <c r="P343" s="87" t="n">
        <v>0</v>
      </c>
      <c r="Q343" s="87" t="n">
        <v>0</v>
      </c>
      <c r="R343" s="87" t="n">
        <v>0</v>
      </c>
      <c r="S343" s="47" t="n">
        <v>2.5</v>
      </c>
      <c r="T343" s="47" t="n">
        <v>56.9</v>
      </c>
      <c r="U343" s="47" t="n"/>
      <c r="V343" s="87" t="n">
        <v>1</v>
      </c>
      <c r="W343" s="87" t="n">
        <v>0</v>
      </c>
      <c r="Y343" t="inlineStr">
        <is>
          <t>Dec</t>
        </is>
      </c>
      <c r="Z343" s="87" t="n">
        <v>2024</v>
      </c>
      <c r="AA343" s="47">
        <f>IF(F343="",0,F343)</f>
        <v/>
      </c>
      <c r="AB343" s="87">
        <f>IF(AA343&gt;=0.1,1,0)</f>
        <v/>
      </c>
      <c r="AC343" s="87" t="n">
        <v>0</v>
      </c>
      <c r="AD343" s="47">
        <f>IF(U343="",0,U343)</f>
        <v/>
      </c>
      <c r="AE343" s="87">
        <f>IF(OR(V343=1,W343=1),1,0)</f>
        <v/>
      </c>
      <c r="AF343" s="87" t="n">
        <v>0</v>
      </c>
      <c r="AG343" t="n">
        <v>4934</v>
      </c>
      <c r="AH343" t="n">
        <v>61564</v>
      </c>
      <c r="AI343" t="n">
        <v>0</v>
      </c>
      <c r="AJ343" s="88">
        <f>IF(OR(AG343&lt;=0,AH343&lt;=0),"",LN(AG343)-LN(AH343))</f>
        <v/>
      </c>
      <c r="AK343" t="n">
        <v>11360</v>
      </c>
      <c r="AL343" t="n">
        <v>55138</v>
      </c>
      <c r="AM343" s="88">
        <f>IF(OR(AK343&lt;=0,AL343&lt;=0),"",LN(AK343)-LN(AL343))</f>
        <v/>
      </c>
      <c r="AN343" t="n">
        <v>4860</v>
      </c>
      <c r="AO343" t="n">
        <v>59444</v>
      </c>
      <c r="AP343" s="88">
        <f>IF(OR(AN343&lt;=0,AO343&lt;=0),"",LN(AN343)-LN(AO343))</f>
        <v/>
      </c>
      <c r="AQ343" t="n">
        <v>4835</v>
      </c>
      <c r="AR343" t="n">
        <v>61564</v>
      </c>
      <c r="AS343" s="88">
        <f>IF(OR(AQ343&lt;=0,AR343&lt;=0),"",LN(AQ343)-LN(AR343))</f>
        <v/>
      </c>
      <c r="AT343" t="n">
        <v>4397</v>
      </c>
      <c r="AU343" t="n">
        <v>61459</v>
      </c>
      <c r="AV343" t="n">
        <v>631</v>
      </c>
      <c r="AW343" t="n">
        <v>345</v>
      </c>
      <c r="AX343" t="n">
        <v>4465</v>
      </c>
      <c r="AY343" s="88">
        <f>IF(OR(AT343&lt;=0,AU343&lt;=0),"",LN(AT343)-LN(AU343))</f>
        <v/>
      </c>
      <c r="AZ343" s="46" t="n">
        <v>7.2</v>
      </c>
      <c r="BA343" s="46" t="n">
        <v>10.86</v>
      </c>
      <c r="BB343" s="47" t="n">
        <v>0.9</v>
      </c>
    </row>
    <row r="344">
      <c r="A344" s="48" t="n">
        <v>45634</v>
      </c>
      <c r="B344" s="49" t="n">
        <v>50136</v>
      </c>
      <c r="C344" s="50" t="n">
        <v>11.92</v>
      </c>
      <c r="D344" s="51" t="inlineStr">
        <is>
          <t>Good</t>
        </is>
      </c>
      <c r="E344" s="52" t="n">
        <v>-0.2</v>
      </c>
      <c r="F344" s="52" t="n"/>
      <c r="G344" s="51" t="inlineStr">
        <is>
          <t>Sun</t>
        </is>
      </c>
      <c r="H344" s="51" t="inlineStr">
        <is>
          <t>Weekend</t>
        </is>
      </c>
      <c r="I344" s="51" t="inlineStr">
        <is>
          <t>Winter</t>
        </is>
      </c>
      <c r="J344" s="51" t="n">
        <v>25</v>
      </c>
      <c r="K344" s="51" t="inlineStr">
        <is>
          <t>강수량 공란</t>
        </is>
      </c>
      <c r="L344" s="46" t="n">
        <v>22.72</v>
      </c>
      <c r="M344" t="inlineStr">
        <is>
          <t>Good</t>
        </is>
      </c>
      <c r="N344" s="87" t="n">
        <v>25</v>
      </c>
      <c r="O344" s="87" t="n">
        <v>0</v>
      </c>
      <c r="P344" s="87" t="n">
        <v>0</v>
      </c>
      <c r="Q344" s="87" t="n">
        <v>0</v>
      </c>
      <c r="R344" s="87" t="n">
        <v>0</v>
      </c>
      <c r="S344" s="47" t="n">
        <v>2.2</v>
      </c>
      <c r="T344" s="47" t="n">
        <v>46.5</v>
      </c>
      <c r="U344" s="47" t="n"/>
      <c r="V344" s="87" t="n">
        <v>1</v>
      </c>
      <c r="W344" s="87" t="n">
        <v>0</v>
      </c>
      <c r="Y344" t="inlineStr">
        <is>
          <t>Dec</t>
        </is>
      </c>
      <c r="Z344" s="87" t="n">
        <v>2024</v>
      </c>
      <c r="AA344" s="47">
        <f>IF(F344="",0,F344)</f>
        <v/>
      </c>
      <c r="AB344" s="87">
        <f>IF(AA344&gt;=0.1,1,0)</f>
        <v/>
      </c>
      <c r="AC344" s="87" t="n">
        <v>0</v>
      </c>
      <c r="AD344" s="47">
        <f>IF(U344="",0,U344)</f>
        <v/>
      </c>
      <c r="AE344" s="87">
        <f>IF(OR(V344=1,W344=1),1,0)</f>
        <v/>
      </c>
      <c r="AF344" s="87" t="n">
        <v>0</v>
      </c>
      <c r="AG344" t="n">
        <v>2701</v>
      </c>
      <c r="AH344" t="n">
        <v>47435</v>
      </c>
      <c r="AI344" t="n">
        <v>0</v>
      </c>
      <c r="AJ344" s="88">
        <f>IF(OR(AG344&lt;=0,AH344&lt;=0),"",LN(AG344)-LN(AH344))</f>
        <v/>
      </c>
      <c r="AK344" t="n">
        <v>7073</v>
      </c>
      <c r="AL344" t="n">
        <v>43063</v>
      </c>
      <c r="AM344" s="88">
        <f>IF(OR(AK344&lt;=0,AL344&lt;=0),"",LN(AK344)-LN(AL344))</f>
        <v/>
      </c>
      <c r="AN344" t="n">
        <v>2638</v>
      </c>
      <c r="AO344" t="n">
        <v>45811</v>
      </c>
      <c r="AP344" s="88">
        <f>IF(OR(AN344&lt;=0,AO344&lt;=0),"",LN(AN344)-LN(AO344))</f>
        <v/>
      </c>
      <c r="AQ344" t="n">
        <v>2633</v>
      </c>
      <c r="AR344" t="n">
        <v>47435</v>
      </c>
      <c r="AS344" s="88">
        <f>IF(OR(AQ344&lt;=0,AR344&lt;=0),"",LN(AQ344)-LN(AR344))</f>
        <v/>
      </c>
      <c r="AT344" t="n">
        <v>3900</v>
      </c>
      <c r="AU344" t="n">
        <v>45968</v>
      </c>
      <c r="AV344" t="n">
        <v>267</v>
      </c>
      <c r="AW344" t="n">
        <v>313</v>
      </c>
      <c r="AX344" t="n">
        <v>2374</v>
      </c>
      <c r="AY344" s="88">
        <f>IF(OR(AT344&lt;=0,AU344&lt;=0),"",LN(AT344)-LN(AU344))</f>
        <v/>
      </c>
      <c r="AZ344" s="46" t="n">
        <v>9.1</v>
      </c>
      <c r="BA344" s="46" t="n">
        <v>11.62</v>
      </c>
      <c r="BB344" s="47" t="n">
        <v>0</v>
      </c>
    </row>
    <row r="345">
      <c r="A345" s="48" t="n">
        <v>45635</v>
      </c>
      <c r="B345" s="49" t="n">
        <v>89574</v>
      </c>
      <c r="C345" s="50" t="n">
        <v>17.16</v>
      </c>
      <c r="D345" s="51" t="inlineStr">
        <is>
          <t>Moderate</t>
        </is>
      </c>
      <c r="E345" s="52" t="n">
        <v>1</v>
      </c>
      <c r="F345" s="52" t="n"/>
      <c r="G345" s="51" t="inlineStr">
        <is>
          <t>Mon</t>
        </is>
      </c>
      <c r="H345" s="51" t="inlineStr">
        <is>
          <t>Weekday</t>
        </is>
      </c>
      <c r="I345" s="51" t="inlineStr">
        <is>
          <t>Winter</t>
        </is>
      </c>
      <c r="J345" s="51" t="n">
        <v>25</v>
      </c>
      <c r="K345" s="51" t="inlineStr">
        <is>
          <t>강수량 공란</t>
        </is>
      </c>
      <c r="L345" s="46" t="n">
        <v>33.04</v>
      </c>
      <c r="M345" t="inlineStr">
        <is>
          <t>Moderate</t>
        </is>
      </c>
      <c r="N345" s="87" t="n">
        <v>25</v>
      </c>
      <c r="O345" s="87" t="n">
        <v>0</v>
      </c>
      <c r="P345" s="87" t="n">
        <v>0</v>
      </c>
      <c r="Q345" s="87" t="n">
        <v>0</v>
      </c>
      <c r="R345" s="87" t="n">
        <v>0</v>
      </c>
      <c r="S345" s="47" t="n">
        <v>1.6</v>
      </c>
      <c r="T345" s="47" t="n">
        <v>56.1</v>
      </c>
      <c r="U345" s="47" t="n"/>
      <c r="V345" s="87" t="n">
        <v>0</v>
      </c>
      <c r="W345" s="87" t="n">
        <v>0</v>
      </c>
      <c r="Y345" t="inlineStr">
        <is>
          <t>Dec</t>
        </is>
      </c>
      <c r="Z345" s="87" t="n">
        <v>2024</v>
      </c>
      <c r="AA345" s="47">
        <f>IF(F345="",0,F345)</f>
        <v/>
      </c>
      <c r="AB345" s="87">
        <f>IF(AA345&gt;=0.1,1,0)</f>
        <v/>
      </c>
      <c r="AC345" s="87" t="n">
        <v>0</v>
      </c>
      <c r="AD345" s="47">
        <f>IF(U345="",0,U345)</f>
        <v/>
      </c>
      <c r="AE345" s="87">
        <f>IF(OR(V345=1,W345=1),1,0)</f>
        <v/>
      </c>
      <c r="AF345" s="87" t="n">
        <v>0</v>
      </c>
      <c r="AG345" t="n">
        <v>4157</v>
      </c>
      <c r="AH345" t="n">
        <v>85417</v>
      </c>
      <c r="AI345" t="n">
        <v>0</v>
      </c>
      <c r="AJ345" s="88">
        <f>IF(OR(AG345&lt;=0,AH345&lt;=0),"",LN(AG345)-LN(AH345))</f>
        <v/>
      </c>
      <c r="AK345" t="n">
        <v>12305</v>
      </c>
      <c r="AL345" t="n">
        <v>77269</v>
      </c>
      <c r="AM345" s="88">
        <f>IF(OR(AK345&lt;=0,AL345&lt;=0),"",LN(AK345)-LN(AL345))</f>
        <v/>
      </c>
      <c r="AN345" t="n">
        <v>4085</v>
      </c>
      <c r="AO345" t="n">
        <v>82437</v>
      </c>
      <c r="AP345" s="88">
        <f>IF(OR(AN345&lt;=0,AO345&lt;=0),"",LN(AN345)-LN(AO345))</f>
        <v/>
      </c>
      <c r="AQ345" t="n">
        <v>4056</v>
      </c>
      <c r="AR345" t="n">
        <v>85417</v>
      </c>
      <c r="AS345" s="88">
        <f>IF(OR(AQ345&lt;=0,AR345&lt;=0),"",LN(AQ345)-LN(AR345))</f>
        <v/>
      </c>
      <c r="AT345" t="n">
        <v>4957</v>
      </c>
      <c r="AU345" t="n">
        <v>84068</v>
      </c>
      <c r="AV345" t="n">
        <v>555</v>
      </c>
      <c r="AW345" t="n">
        <v>324</v>
      </c>
      <c r="AX345" t="n">
        <v>3785</v>
      </c>
      <c r="AY345" s="88">
        <f>IF(OR(AT345&lt;=0,AU345&lt;=0),"",LN(AT345)-LN(AU345))</f>
        <v/>
      </c>
      <c r="AZ345" s="46" t="n">
        <v>8.300000000000001</v>
      </c>
      <c r="BA345" s="46" t="n">
        <v>10.61</v>
      </c>
      <c r="BB345" s="47" t="n">
        <v>0.8</v>
      </c>
    </row>
    <row r="346">
      <c r="A346" s="48" t="n">
        <v>45636</v>
      </c>
      <c r="B346" s="49" t="n">
        <v>95363</v>
      </c>
      <c r="C346" s="50" t="n">
        <v>26.68</v>
      </c>
      <c r="D346" s="51" t="inlineStr">
        <is>
          <t>Moderate</t>
        </is>
      </c>
      <c r="E346" s="52" t="n">
        <v>2.6</v>
      </c>
      <c r="F346" s="52" t="n"/>
      <c r="G346" s="51" t="inlineStr">
        <is>
          <t>Tue</t>
        </is>
      </c>
      <c r="H346" s="51" t="inlineStr">
        <is>
          <t>Weekday</t>
        </is>
      </c>
      <c r="I346" s="51" t="inlineStr">
        <is>
          <t>Winter</t>
        </is>
      </c>
      <c r="J346" s="51" t="n">
        <v>25</v>
      </c>
      <c r="K346" s="51" t="inlineStr">
        <is>
          <t>강수량 공란</t>
        </is>
      </c>
      <c r="L346" s="46" t="n">
        <v>41.04</v>
      </c>
      <c r="M346" t="inlineStr">
        <is>
          <t>Moderate</t>
        </is>
      </c>
      <c r="N346" s="87" t="n">
        <v>25</v>
      </c>
      <c r="O346" s="87" t="n">
        <v>0</v>
      </c>
      <c r="P346" s="87" t="n">
        <v>0</v>
      </c>
      <c r="Q346" s="87" t="n">
        <v>0</v>
      </c>
      <c r="R346" s="87" t="n">
        <v>0</v>
      </c>
      <c r="S346" s="47" t="n">
        <v>1.9</v>
      </c>
      <c r="T346" s="47" t="n">
        <v>58.9</v>
      </c>
      <c r="U346" s="47" t="n"/>
      <c r="V346" s="87" t="n">
        <v>0</v>
      </c>
      <c r="W346" s="87" t="n">
        <v>0</v>
      </c>
      <c r="Y346" t="inlineStr">
        <is>
          <t>Dec</t>
        </is>
      </c>
      <c r="Z346" s="87" t="n">
        <v>2024</v>
      </c>
      <c r="AA346" s="47">
        <f>IF(F346="",0,F346)</f>
        <v/>
      </c>
      <c r="AB346" s="87">
        <f>IF(AA346&gt;=0.1,1,0)</f>
        <v/>
      </c>
      <c r="AC346" s="87" t="n">
        <v>0</v>
      </c>
      <c r="AD346" s="47">
        <f>IF(U346="",0,U346)</f>
        <v/>
      </c>
      <c r="AE346" s="87">
        <f>IF(OR(V346=1,W346=1),1,0)</f>
        <v/>
      </c>
      <c r="AF346" s="87" t="n">
        <v>0</v>
      </c>
      <c r="AG346" t="n">
        <v>4468</v>
      </c>
      <c r="AH346" t="n">
        <v>90895</v>
      </c>
      <c r="AI346" t="n">
        <v>0</v>
      </c>
      <c r="AJ346" s="88">
        <f>IF(OR(AG346&lt;=0,AH346&lt;=0),"",LN(AG346)-LN(AH346))</f>
        <v/>
      </c>
      <c r="AK346" t="n">
        <v>13178</v>
      </c>
      <c r="AL346" t="n">
        <v>82185</v>
      </c>
      <c r="AM346" s="88">
        <f>IF(OR(AK346&lt;=0,AL346&lt;=0),"",LN(AK346)-LN(AL346))</f>
        <v/>
      </c>
      <c r="AN346" t="n">
        <v>4399</v>
      </c>
      <c r="AO346" t="n">
        <v>87681</v>
      </c>
      <c r="AP346" s="88">
        <f>IF(OR(AN346&lt;=0,AO346&lt;=0),"",LN(AN346)-LN(AO346))</f>
        <v/>
      </c>
      <c r="AQ346" t="n">
        <v>4346</v>
      </c>
      <c r="AR346" t="n">
        <v>90895</v>
      </c>
      <c r="AS346" s="88">
        <f>IF(OR(AQ346&lt;=0,AR346&lt;=0),"",LN(AQ346)-LN(AR346))</f>
        <v/>
      </c>
      <c r="AT346" t="n">
        <v>5071</v>
      </c>
      <c r="AU346" t="n">
        <v>89744</v>
      </c>
      <c r="AV346" t="n">
        <v>557</v>
      </c>
      <c r="AW346" t="n">
        <v>354</v>
      </c>
      <c r="AX346" t="n">
        <v>4085</v>
      </c>
      <c r="AY346" s="88">
        <f>IF(OR(AT346&lt;=0,AU346&lt;=0),"",LN(AT346)-LN(AU346))</f>
        <v/>
      </c>
      <c r="AZ346" s="46" t="n">
        <v>8.4</v>
      </c>
      <c r="BA346" s="46" t="n">
        <v>10.52</v>
      </c>
      <c r="BB346" s="47" t="n">
        <v>3.9</v>
      </c>
    </row>
    <row r="347">
      <c r="A347" s="48" t="n">
        <v>45637</v>
      </c>
      <c r="B347" s="49" t="n">
        <v>98559</v>
      </c>
      <c r="C347" s="50" t="n">
        <v>38.32</v>
      </c>
      <c r="D347" s="51" t="inlineStr">
        <is>
          <t>Bad</t>
        </is>
      </c>
      <c r="E347" s="52" t="n">
        <v>3</v>
      </c>
      <c r="F347" s="52" t="n"/>
      <c r="G347" s="51" t="inlineStr">
        <is>
          <t>Wed</t>
        </is>
      </c>
      <c r="H347" s="51" t="inlineStr">
        <is>
          <t>Weekday</t>
        </is>
      </c>
      <c r="I347" s="51" t="inlineStr">
        <is>
          <t>Winter</t>
        </is>
      </c>
      <c r="J347" s="51" t="n">
        <v>25</v>
      </c>
      <c r="K347" s="51" t="inlineStr">
        <is>
          <t>강수량 공란</t>
        </is>
      </c>
      <c r="L347" s="46" t="n">
        <v>60.72</v>
      </c>
      <c r="M347" t="inlineStr">
        <is>
          <t>Moderate</t>
        </is>
      </c>
      <c r="N347" s="87" t="n">
        <v>25</v>
      </c>
      <c r="O347" s="87" t="n">
        <v>0</v>
      </c>
      <c r="P347" s="87" t="n">
        <v>0</v>
      </c>
      <c r="Q347" s="87" t="n">
        <v>0</v>
      </c>
      <c r="R347" s="87" t="n">
        <v>0</v>
      </c>
      <c r="S347" s="47" t="n">
        <v>1.6</v>
      </c>
      <c r="T347" s="47" t="n">
        <v>50.3</v>
      </c>
      <c r="U347" s="47" t="n"/>
      <c r="V347" s="87" t="n">
        <v>0</v>
      </c>
      <c r="W347" s="87" t="n">
        <v>0</v>
      </c>
      <c r="Y347" t="inlineStr">
        <is>
          <t>Dec</t>
        </is>
      </c>
      <c r="Z347" s="87" t="n">
        <v>2024</v>
      </c>
      <c r="AA347" s="47">
        <f>IF(F347="",0,F347)</f>
        <v/>
      </c>
      <c r="AB347" s="87">
        <f>IF(AA347&gt;=0.1,1,0)</f>
        <v/>
      </c>
      <c r="AC347" s="87" t="n">
        <v>0</v>
      </c>
      <c r="AD347" s="47">
        <f>IF(U347="",0,U347)</f>
        <v/>
      </c>
      <c r="AE347" s="87">
        <f>IF(OR(V347=1,W347=1),1,0)</f>
        <v/>
      </c>
      <c r="AF347" s="87" t="n">
        <v>0</v>
      </c>
      <c r="AG347" t="n">
        <v>4498</v>
      </c>
      <c r="AH347" t="n">
        <v>94061</v>
      </c>
      <c r="AI347" t="n">
        <v>0</v>
      </c>
      <c r="AJ347" s="88">
        <f>IF(OR(AG347&lt;=0,AH347&lt;=0),"",LN(AG347)-LN(AH347))</f>
        <v/>
      </c>
      <c r="AK347" t="n">
        <v>13327</v>
      </c>
      <c r="AL347" t="n">
        <v>85232</v>
      </c>
      <c r="AM347" s="88">
        <f>IF(OR(AK347&lt;=0,AL347&lt;=0),"",LN(AK347)-LN(AL347))</f>
        <v/>
      </c>
      <c r="AN347" t="n">
        <v>4396</v>
      </c>
      <c r="AO347" t="n">
        <v>90846</v>
      </c>
      <c r="AP347" s="88">
        <f>IF(OR(AN347&lt;=0,AO347&lt;=0),"",LN(AN347)-LN(AO347))</f>
        <v/>
      </c>
      <c r="AQ347" t="n">
        <v>4388</v>
      </c>
      <c r="AR347" t="n">
        <v>94061</v>
      </c>
      <c r="AS347" s="88">
        <f>IF(OR(AQ347&lt;=0,AR347&lt;=0),"",LN(AQ347)-LN(AR347))</f>
        <v/>
      </c>
      <c r="AT347" t="n">
        <v>5173</v>
      </c>
      <c r="AU347" t="n">
        <v>92803</v>
      </c>
      <c r="AV347" t="n">
        <v>582</v>
      </c>
      <c r="AW347" t="n">
        <v>309</v>
      </c>
      <c r="AX347" t="n">
        <v>4155</v>
      </c>
      <c r="AY347" s="88">
        <f>IF(OR(AT347&lt;=0,AU347&lt;=0),"",LN(AT347)-LN(AU347))</f>
        <v/>
      </c>
      <c r="AZ347" s="46" t="n">
        <v>6.9</v>
      </c>
      <c r="BA347" s="46" t="n">
        <v>8.65</v>
      </c>
      <c r="BB347" s="47" t="n">
        <v>4.6</v>
      </c>
    </row>
    <row r="348">
      <c r="A348" s="48" t="n">
        <v>45638</v>
      </c>
      <c r="B348" s="49" t="n">
        <v>91964</v>
      </c>
      <c r="C348" s="50" t="n">
        <v>22.12</v>
      </c>
      <c r="D348" s="51" t="inlineStr">
        <is>
          <t>Moderate</t>
        </is>
      </c>
      <c r="E348" s="52" t="n">
        <v>0.5</v>
      </c>
      <c r="F348" s="52" t="n"/>
      <c r="G348" s="51" t="inlineStr">
        <is>
          <t>Thu</t>
        </is>
      </c>
      <c r="H348" s="51" t="inlineStr">
        <is>
          <t>Weekday</t>
        </is>
      </c>
      <c r="I348" s="51" t="inlineStr">
        <is>
          <t>Winter</t>
        </is>
      </c>
      <c r="J348" s="51" t="n">
        <v>25</v>
      </c>
      <c r="K348" s="51" t="inlineStr">
        <is>
          <t>강수량 공란</t>
        </is>
      </c>
      <c r="L348" s="46" t="n">
        <v>40.2</v>
      </c>
      <c r="M348" t="inlineStr">
        <is>
          <t>Moderate</t>
        </is>
      </c>
      <c r="N348" s="87" t="n">
        <v>25</v>
      </c>
      <c r="O348" s="87" t="n">
        <v>0</v>
      </c>
      <c r="P348" s="87" t="n">
        <v>0</v>
      </c>
      <c r="Q348" s="87" t="n">
        <v>0</v>
      </c>
      <c r="R348" s="87" t="n">
        <v>0</v>
      </c>
      <c r="S348" s="47" t="n">
        <v>2.1</v>
      </c>
      <c r="T348" s="47" t="n">
        <v>45.8</v>
      </c>
      <c r="U348" s="47" t="n"/>
      <c r="V348" s="87" t="n">
        <v>0</v>
      </c>
      <c r="W348" s="87" t="n">
        <v>0</v>
      </c>
      <c r="Y348" t="inlineStr">
        <is>
          <t>Dec</t>
        </is>
      </c>
      <c r="Z348" s="87" t="n">
        <v>2024</v>
      </c>
      <c r="AA348" s="47">
        <f>IF(F348="",0,F348)</f>
        <v/>
      </c>
      <c r="AB348" s="87">
        <f>IF(AA348&gt;=0.1,1,0)</f>
        <v/>
      </c>
      <c r="AC348" s="87" t="n">
        <v>0</v>
      </c>
      <c r="AD348" s="47">
        <f>IF(U348="",0,U348)</f>
        <v/>
      </c>
      <c r="AE348" s="87">
        <f>IF(OR(V348=1,W348=1),1,0)</f>
        <v/>
      </c>
      <c r="AF348" s="87" t="n">
        <v>0</v>
      </c>
      <c r="AG348" t="n">
        <v>4185</v>
      </c>
      <c r="AH348" t="n">
        <v>87779</v>
      </c>
      <c r="AI348" t="n">
        <v>0</v>
      </c>
      <c r="AJ348" s="88">
        <f>IF(OR(AG348&lt;=0,AH348&lt;=0),"",LN(AG348)-LN(AH348))</f>
        <v/>
      </c>
      <c r="AK348" t="n">
        <v>12413</v>
      </c>
      <c r="AL348" t="n">
        <v>79551</v>
      </c>
      <c r="AM348" s="88">
        <f>IF(OR(AK348&lt;=0,AL348&lt;=0),"",LN(AK348)-LN(AL348))</f>
        <v/>
      </c>
      <c r="AN348" t="n">
        <v>4109</v>
      </c>
      <c r="AO348" t="n">
        <v>84753</v>
      </c>
      <c r="AP348" s="88">
        <f>IF(OR(AN348&lt;=0,AO348&lt;=0),"",LN(AN348)-LN(AO348))</f>
        <v/>
      </c>
      <c r="AQ348" t="n">
        <v>4085</v>
      </c>
      <c r="AR348" t="n">
        <v>87779</v>
      </c>
      <c r="AS348" s="88">
        <f>IF(OR(AQ348&lt;=0,AR348&lt;=0),"",LN(AQ348)-LN(AR348))</f>
        <v/>
      </c>
      <c r="AT348" t="n">
        <v>4863</v>
      </c>
      <c r="AU348" t="n">
        <v>86584</v>
      </c>
      <c r="AV348" t="n">
        <v>521</v>
      </c>
      <c r="AW348" t="n">
        <v>308</v>
      </c>
      <c r="AX348" t="n">
        <v>3850</v>
      </c>
      <c r="AY348" s="88">
        <f>IF(OR(AT348&lt;=0,AU348&lt;=0),"",LN(AT348)-LN(AU348))</f>
        <v/>
      </c>
      <c r="AZ348" s="46" t="n">
        <v>6.7</v>
      </c>
      <c r="BA348" s="46" t="n">
        <v>10.06</v>
      </c>
      <c r="BB348" s="47" t="n">
        <v>4.5</v>
      </c>
    </row>
    <row r="349">
      <c r="A349" s="48" t="n">
        <v>45639</v>
      </c>
      <c r="B349" s="49" t="n">
        <v>89559</v>
      </c>
      <c r="C349" s="50" t="n">
        <v>15.52</v>
      </c>
      <c r="D349" s="51" t="inlineStr">
        <is>
          <t>Moderate</t>
        </is>
      </c>
      <c r="E349" s="52" t="n">
        <v>1</v>
      </c>
      <c r="F349" s="52" t="n"/>
      <c r="G349" s="51" t="inlineStr">
        <is>
          <t>Fri</t>
        </is>
      </c>
      <c r="H349" s="51" t="inlineStr">
        <is>
          <t>Weekday</t>
        </is>
      </c>
      <c r="I349" s="51" t="inlineStr">
        <is>
          <t>Winter</t>
        </is>
      </c>
      <c r="J349" s="51" t="n">
        <v>25</v>
      </c>
      <c r="K349" s="51" t="inlineStr">
        <is>
          <t>강수량 공란</t>
        </is>
      </c>
      <c r="L349" s="46" t="n">
        <v>27.68</v>
      </c>
      <c r="M349" t="inlineStr">
        <is>
          <t>Good</t>
        </is>
      </c>
      <c r="N349" s="87" t="n">
        <v>25</v>
      </c>
      <c r="O349" s="87" t="n">
        <v>0</v>
      </c>
      <c r="P349" s="87" t="n">
        <v>0</v>
      </c>
      <c r="Q349" s="87" t="n">
        <v>0</v>
      </c>
      <c r="R349" s="87" t="n">
        <v>0</v>
      </c>
      <c r="S349" s="47" t="n">
        <v>2.2</v>
      </c>
      <c r="T349" s="47" t="n">
        <v>42.1</v>
      </c>
      <c r="U349" s="47" t="n"/>
      <c r="V349" s="87" t="n">
        <v>0</v>
      </c>
      <c r="W349" s="87" t="n">
        <v>0</v>
      </c>
      <c r="Y349" t="inlineStr">
        <is>
          <t>Dec</t>
        </is>
      </c>
      <c r="Z349" s="87" t="n">
        <v>2024</v>
      </c>
      <c r="AA349" s="47">
        <f>IF(F349="",0,F349)</f>
        <v/>
      </c>
      <c r="AB349" s="87">
        <f>IF(AA349&gt;=0.1,1,0)</f>
        <v/>
      </c>
      <c r="AC349" s="87" t="n">
        <v>0</v>
      </c>
      <c r="AD349" s="47">
        <f>IF(U349="",0,U349)</f>
        <v/>
      </c>
      <c r="AE349" s="87">
        <f>IF(OR(V349=1,W349=1),1,0)</f>
        <v/>
      </c>
      <c r="AF349" s="87" t="n">
        <v>0</v>
      </c>
      <c r="AG349" t="n">
        <v>4188</v>
      </c>
      <c r="AH349" t="n">
        <v>85371</v>
      </c>
      <c r="AI349" t="n">
        <v>0</v>
      </c>
      <c r="AJ349" s="88">
        <f>IF(OR(AG349&lt;=0,AH349&lt;=0),"",LN(AG349)-LN(AH349))</f>
        <v/>
      </c>
      <c r="AK349" t="n">
        <v>12221</v>
      </c>
      <c r="AL349" t="n">
        <v>77338</v>
      </c>
      <c r="AM349" s="88">
        <f>IF(OR(AK349&lt;=0,AL349&lt;=0),"",LN(AK349)-LN(AL349))</f>
        <v/>
      </c>
      <c r="AN349" t="n">
        <v>4102</v>
      </c>
      <c r="AO349" t="n">
        <v>82454</v>
      </c>
      <c r="AP349" s="88">
        <f>IF(OR(AN349&lt;=0,AO349&lt;=0),"",LN(AN349)-LN(AO349))</f>
        <v/>
      </c>
      <c r="AQ349" t="n">
        <v>4101</v>
      </c>
      <c r="AR349" t="n">
        <v>85371</v>
      </c>
      <c r="AS349" s="88">
        <f>IF(OR(AQ349&lt;=0,AR349&lt;=0),"",LN(AQ349)-LN(AR349))</f>
        <v/>
      </c>
      <c r="AT349" t="n">
        <v>4926</v>
      </c>
      <c r="AU349" t="n">
        <v>84125</v>
      </c>
      <c r="AV349" t="n">
        <v>516</v>
      </c>
      <c r="AW349" t="n">
        <v>307</v>
      </c>
      <c r="AX349" t="n">
        <v>3854</v>
      </c>
      <c r="AY349" s="88">
        <f>IF(OR(AT349&lt;=0,AU349&lt;=0),"",LN(AT349)-LN(AU349))</f>
        <v/>
      </c>
      <c r="AZ349" s="46" t="n">
        <v>5.2</v>
      </c>
      <c r="BA349" s="46" t="n">
        <v>7.14</v>
      </c>
      <c r="BB349" s="47" t="n">
        <v>5</v>
      </c>
    </row>
    <row r="350">
      <c r="A350" s="48" t="n">
        <v>45640</v>
      </c>
      <c r="B350" s="49" t="n">
        <v>64501</v>
      </c>
      <c r="C350" s="50" t="n">
        <v>14.96</v>
      </c>
      <c r="D350" s="51" t="inlineStr">
        <is>
          <t>Good</t>
        </is>
      </c>
      <c r="E350" s="52" t="n">
        <v>-0.8</v>
      </c>
      <c r="F350" s="52" t="n"/>
      <c r="G350" s="51" t="inlineStr">
        <is>
          <t>Sat</t>
        </is>
      </c>
      <c r="H350" s="51" t="inlineStr">
        <is>
          <t>Weekend</t>
        </is>
      </c>
      <c r="I350" s="51" t="inlineStr">
        <is>
          <t>Winter</t>
        </is>
      </c>
      <c r="J350" s="51" t="n">
        <v>25</v>
      </c>
      <c r="K350" s="51" t="inlineStr">
        <is>
          <t>강수량 공란</t>
        </is>
      </c>
      <c r="L350" s="46" t="n">
        <v>28.08</v>
      </c>
      <c r="M350" t="inlineStr">
        <is>
          <t>Good</t>
        </is>
      </c>
      <c r="N350" s="87" t="n">
        <v>25</v>
      </c>
      <c r="O350" s="87" t="n">
        <v>0</v>
      </c>
      <c r="P350" s="87" t="n">
        <v>0</v>
      </c>
      <c r="Q350" s="87" t="n">
        <v>0</v>
      </c>
      <c r="R350" s="87" t="n">
        <v>0</v>
      </c>
      <c r="S350" s="47" t="n">
        <v>2.2</v>
      </c>
      <c r="T350" s="47" t="n">
        <v>51</v>
      </c>
      <c r="U350" s="47" t="n"/>
      <c r="V350" s="87" t="n">
        <v>1</v>
      </c>
      <c r="W350" s="87" t="n">
        <v>0</v>
      </c>
      <c r="Y350" t="inlineStr">
        <is>
          <t>Dec</t>
        </is>
      </c>
      <c r="Z350" s="87" t="n">
        <v>2024</v>
      </c>
      <c r="AA350" s="47">
        <f>IF(F350="",0,F350)</f>
        <v/>
      </c>
      <c r="AB350" s="87">
        <f>IF(AA350&gt;=0.1,1,0)</f>
        <v/>
      </c>
      <c r="AC350" s="87" t="n">
        <v>0</v>
      </c>
      <c r="AD350" s="47">
        <f>IF(U350="",0,U350)</f>
        <v/>
      </c>
      <c r="AE350" s="87">
        <f>IF(OR(V350=1,W350=1),1,0)</f>
        <v/>
      </c>
      <c r="AF350" s="87" t="n">
        <v>0</v>
      </c>
      <c r="AG350" t="n">
        <v>5320</v>
      </c>
      <c r="AH350" t="n">
        <v>59181</v>
      </c>
      <c r="AI350" t="n">
        <v>0</v>
      </c>
      <c r="AJ350" s="88">
        <f>IF(OR(AG350&lt;=0,AH350&lt;=0),"",LN(AG350)-LN(AH350))</f>
        <v/>
      </c>
      <c r="AK350" t="n">
        <v>11666</v>
      </c>
      <c r="AL350" t="n">
        <v>52835</v>
      </c>
      <c r="AM350" s="88">
        <f>IF(OR(AK350&lt;=0,AL350&lt;=0),"",LN(AK350)-LN(AL350))</f>
        <v/>
      </c>
      <c r="AN350" t="n">
        <v>5218</v>
      </c>
      <c r="AO350" t="n">
        <v>57133</v>
      </c>
      <c r="AP350" s="88">
        <f>IF(OR(AN350&lt;=0,AO350&lt;=0),"",LN(AN350)-LN(AO350))</f>
        <v/>
      </c>
      <c r="AQ350" t="n">
        <v>5212</v>
      </c>
      <c r="AR350" t="n">
        <v>59181</v>
      </c>
      <c r="AS350" s="88">
        <f>IF(OR(AQ350&lt;=0,AR350&lt;=0),"",LN(AQ350)-LN(AR350))</f>
        <v/>
      </c>
      <c r="AT350" t="n">
        <v>4199</v>
      </c>
      <c r="AU350" t="n">
        <v>59702</v>
      </c>
      <c r="AV350" t="n">
        <v>597</v>
      </c>
      <c r="AW350" t="n">
        <v>343</v>
      </c>
      <c r="AX350" t="n">
        <v>4859</v>
      </c>
      <c r="AY350" s="88">
        <f>IF(OR(AT350&lt;=0,AU350&lt;=0),"",LN(AT350)-LN(AU350))</f>
        <v/>
      </c>
      <c r="AZ350" s="46" t="n">
        <v>9</v>
      </c>
      <c r="BA350" s="46" t="n">
        <v>11.11</v>
      </c>
      <c r="BB350" s="47" t="n">
        <v>1.3</v>
      </c>
    </row>
    <row r="351">
      <c r="A351" s="48" t="n">
        <v>45641</v>
      </c>
      <c r="B351" s="49" t="n">
        <v>51238</v>
      </c>
      <c r="C351" s="50" t="n">
        <v>9.48</v>
      </c>
      <c r="D351" s="51" t="inlineStr">
        <is>
          <t>Good</t>
        </is>
      </c>
      <c r="E351" s="52" t="n">
        <v>1.2</v>
      </c>
      <c r="F351" s="52" t="n">
        <v>0</v>
      </c>
      <c r="G351" s="51" t="inlineStr">
        <is>
          <t>Sun</t>
        </is>
      </c>
      <c r="H351" s="51" t="inlineStr">
        <is>
          <t>Weekend</t>
        </is>
      </c>
      <c r="I351" s="51" t="inlineStr">
        <is>
          <t>Winter</t>
        </is>
      </c>
      <c r="J351" s="51" t="n">
        <v>25</v>
      </c>
      <c r="K351" s="51" t="inlineStr">
        <is>
          <t>OK</t>
        </is>
      </c>
      <c r="L351" s="46" t="n">
        <v>20.04</v>
      </c>
      <c r="M351" t="inlineStr">
        <is>
          <t>Good</t>
        </is>
      </c>
      <c r="N351" s="87" t="n">
        <v>25</v>
      </c>
      <c r="O351" s="87" t="n">
        <v>0</v>
      </c>
      <c r="P351" s="87" t="n">
        <v>0</v>
      </c>
      <c r="Q351" s="87" t="n">
        <v>0</v>
      </c>
      <c r="R351" s="87" t="n">
        <v>0</v>
      </c>
      <c r="S351" s="47" t="n">
        <v>2.4</v>
      </c>
      <c r="T351" s="47" t="n">
        <v>54.1</v>
      </c>
      <c r="U351" s="47" t="n"/>
      <c r="V351" s="87" t="n">
        <v>1</v>
      </c>
      <c r="W351" s="87" t="n">
        <v>0</v>
      </c>
      <c r="Y351" t="inlineStr">
        <is>
          <t>Dec</t>
        </is>
      </c>
      <c r="Z351" s="87" t="n">
        <v>2024</v>
      </c>
      <c r="AA351" s="47">
        <f>IF(F351="",0,F351)</f>
        <v/>
      </c>
      <c r="AB351" s="87">
        <f>IF(AA351&gt;=0.1,1,0)</f>
        <v/>
      </c>
      <c r="AC351" s="87" t="n">
        <v>1</v>
      </c>
      <c r="AD351" s="47">
        <f>IF(U351="",0,U351)</f>
        <v/>
      </c>
      <c r="AE351" s="87">
        <f>IF(OR(V351=1,W351=1),1,0)</f>
        <v/>
      </c>
      <c r="AF351" s="87" t="n">
        <v>0</v>
      </c>
      <c r="AG351" t="n">
        <v>2771</v>
      </c>
      <c r="AH351" t="n">
        <v>48467</v>
      </c>
      <c r="AI351" t="n">
        <v>0</v>
      </c>
      <c r="AJ351" s="88">
        <f>IF(OR(AG351&lt;=0,AH351&lt;=0),"",LN(AG351)-LN(AH351))</f>
        <v/>
      </c>
      <c r="AK351" t="n">
        <v>7325</v>
      </c>
      <c r="AL351" t="n">
        <v>43913</v>
      </c>
      <c r="AM351" s="88">
        <f>IF(OR(AK351&lt;=0,AL351&lt;=0),"",LN(AK351)-LN(AL351))</f>
        <v/>
      </c>
      <c r="AN351" t="n">
        <v>2714</v>
      </c>
      <c r="AO351" t="n">
        <v>46805</v>
      </c>
      <c r="AP351" s="88">
        <f>IF(OR(AN351&lt;=0,AO351&lt;=0),"",LN(AN351)-LN(AO351))</f>
        <v/>
      </c>
      <c r="AQ351" t="n">
        <v>2698</v>
      </c>
      <c r="AR351" t="n">
        <v>48467</v>
      </c>
      <c r="AS351" s="88">
        <f>IF(OR(AQ351&lt;=0,AR351&lt;=0),"",LN(AQ351)-LN(AR351))</f>
        <v/>
      </c>
      <c r="AT351" t="n">
        <v>3993</v>
      </c>
      <c r="AU351" t="n">
        <v>46979</v>
      </c>
      <c r="AV351" t="n">
        <v>273</v>
      </c>
      <c r="AW351" t="n">
        <v>314</v>
      </c>
      <c r="AX351" t="n">
        <v>2448</v>
      </c>
      <c r="AY351" s="88">
        <f>IF(OR(AT351&lt;=0,AU351&lt;=0),"",LN(AT351)-LN(AU351))</f>
        <v/>
      </c>
      <c r="AZ351" s="46" t="n">
        <v>6</v>
      </c>
      <c r="BA351" s="46" t="n">
        <v>8.76</v>
      </c>
      <c r="BB351" s="47" t="n">
        <v>2.8</v>
      </c>
    </row>
    <row r="352">
      <c r="A352" s="48" t="n">
        <v>45642</v>
      </c>
      <c r="B352" s="49" t="n">
        <v>78056</v>
      </c>
      <c r="C352" s="50" t="n">
        <v>16.12</v>
      </c>
      <c r="D352" s="51" t="inlineStr">
        <is>
          <t>Moderate</t>
        </is>
      </c>
      <c r="E352" s="52" t="n">
        <v>-0.2</v>
      </c>
      <c r="F352" s="52" t="n">
        <v>0</v>
      </c>
      <c r="G352" s="51" t="inlineStr">
        <is>
          <t>Mon</t>
        </is>
      </c>
      <c r="H352" s="51" t="inlineStr">
        <is>
          <t>Weekday</t>
        </is>
      </c>
      <c r="I352" s="51" t="inlineStr">
        <is>
          <t>Winter</t>
        </is>
      </c>
      <c r="J352" s="51" t="n">
        <v>25</v>
      </c>
      <c r="K352" s="51" t="inlineStr">
        <is>
          <t>OK</t>
        </is>
      </c>
      <c r="L352" s="46" t="n">
        <v>29.08</v>
      </c>
      <c r="M352" t="inlineStr">
        <is>
          <t>Good</t>
        </is>
      </c>
      <c r="N352" s="87" t="n">
        <v>25</v>
      </c>
      <c r="O352" s="87" t="n">
        <v>0</v>
      </c>
      <c r="P352" s="87" t="n">
        <v>0</v>
      </c>
      <c r="Q352" s="87" t="n">
        <v>0</v>
      </c>
      <c r="R352" s="87" t="n">
        <v>0</v>
      </c>
      <c r="S352" s="47" t="n">
        <v>1.2</v>
      </c>
      <c r="T352" s="47" t="n">
        <v>65.90000000000001</v>
      </c>
      <c r="U352" s="47" t="n"/>
      <c r="V352" s="87" t="n">
        <v>0</v>
      </c>
      <c r="W352" s="87" t="n">
        <v>0</v>
      </c>
      <c r="Y352" t="inlineStr">
        <is>
          <t>Dec</t>
        </is>
      </c>
      <c r="Z352" s="87" t="n">
        <v>2024</v>
      </c>
      <c r="AA352" s="47">
        <f>IF(F352="",0,F352)</f>
        <v/>
      </c>
      <c r="AB352" s="87">
        <f>IF(AA352&gt;=0.1,1,0)</f>
        <v/>
      </c>
      <c r="AC352" s="87" t="n">
        <v>1</v>
      </c>
      <c r="AD352" s="47">
        <f>IF(U352="",0,U352)</f>
        <v/>
      </c>
      <c r="AE352" s="87">
        <f>IF(OR(V352=1,W352=1),1,0)</f>
        <v/>
      </c>
      <c r="AF352" s="87" t="n">
        <v>0</v>
      </c>
      <c r="AG352" t="n">
        <v>3568</v>
      </c>
      <c r="AH352" t="n">
        <v>74488</v>
      </c>
      <c r="AI352" t="n">
        <v>0</v>
      </c>
      <c r="AJ352" s="88">
        <f>IF(OR(AG352&lt;=0,AH352&lt;=0),"",LN(AG352)-LN(AH352))</f>
        <v/>
      </c>
      <c r="AK352" t="n">
        <v>10648</v>
      </c>
      <c r="AL352" t="n">
        <v>67408</v>
      </c>
      <c r="AM352" s="88">
        <f>IF(OR(AK352&lt;=0,AL352&lt;=0),"",LN(AK352)-LN(AL352))</f>
        <v/>
      </c>
      <c r="AN352" t="n">
        <v>3474</v>
      </c>
      <c r="AO352" t="n">
        <v>71888</v>
      </c>
      <c r="AP352" s="88">
        <f>IF(OR(AN352&lt;=0,AO352&lt;=0),"",LN(AN352)-LN(AO352))</f>
        <v/>
      </c>
      <c r="AQ352" t="n">
        <v>3475</v>
      </c>
      <c r="AR352" t="n">
        <v>74488</v>
      </c>
      <c r="AS352" s="88">
        <f>IF(OR(AQ352&lt;=0,AR352&lt;=0),"",LN(AQ352)-LN(AR352))</f>
        <v/>
      </c>
      <c r="AT352" t="n">
        <v>4377</v>
      </c>
      <c r="AU352" t="n">
        <v>73257</v>
      </c>
      <c r="AV352" t="n">
        <v>418</v>
      </c>
      <c r="AW352" t="n">
        <v>234</v>
      </c>
      <c r="AX352" t="n">
        <v>3317</v>
      </c>
      <c r="AY352" s="88">
        <f>IF(OR(AT352&lt;=0,AU352&lt;=0),"",LN(AT352)-LN(AU352))</f>
        <v/>
      </c>
      <c r="AZ352" s="46" t="n">
        <v>3.8</v>
      </c>
      <c r="BA352" s="46" t="n">
        <v>5.61</v>
      </c>
      <c r="BB352" s="47" t="n">
        <v>3.1</v>
      </c>
    </row>
    <row r="353">
      <c r="A353" s="48" t="n">
        <v>45643</v>
      </c>
      <c r="B353" s="49" t="n">
        <v>83410</v>
      </c>
      <c r="C353" s="50" t="n">
        <v>13.92</v>
      </c>
      <c r="D353" s="51" t="inlineStr">
        <is>
          <t>Good</t>
        </is>
      </c>
      <c r="E353" s="52" t="n">
        <v>-0.8</v>
      </c>
      <c r="F353" s="52" t="n"/>
      <c r="G353" s="51" t="inlineStr">
        <is>
          <t>Tue</t>
        </is>
      </c>
      <c r="H353" s="51" t="inlineStr">
        <is>
          <t>Weekday</t>
        </is>
      </c>
      <c r="I353" s="51" t="inlineStr">
        <is>
          <t>Winter</t>
        </is>
      </c>
      <c r="J353" s="51" t="n">
        <v>25</v>
      </c>
      <c r="K353" s="51" t="inlineStr">
        <is>
          <t>강수량 공란</t>
        </is>
      </c>
      <c r="L353" s="46" t="n">
        <v>24.88</v>
      </c>
      <c r="M353" t="inlineStr">
        <is>
          <t>Good</t>
        </is>
      </c>
      <c r="N353" s="87" t="n">
        <v>25</v>
      </c>
      <c r="O353" s="87" t="n">
        <v>0</v>
      </c>
      <c r="P353" s="87" t="n">
        <v>0</v>
      </c>
      <c r="Q353" s="87" t="n">
        <v>0</v>
      </c>
      <c r="R353" s="87" t="n">
        <v>0</v>
      </c>
      <c r="S353" s="47" t="n">
        <v>2.2</v>
      </c>
      <c r="T353" s="47" t="n">
        <v>51.8</v>
      </c>
      <c r="U353" s="47" t="n"/>
      <c r="V353" s="87" t="n">
        <v>0</v>
      </c>
      <c r="W353" s="87" t="n">
        <v>0</v>
      </c>
      <c r="Y353" t="inlineStr">
        <is>
          <t>Dec</t>
        </is>
      </c>
      <c r="Z353" s="87" t="n">
        <v>2024</v>
      </c>
      <c r="AA353" s="47">
        <f>IF(F353="",0,F353)</f>
        <v/>
      </c>
      <c r="AB353" s="87">
        <f>IF(AA353&gt;=0.1,1,0)</f>
        <v/>
      </c>
      <c r="AC353" s="87" t="n">
        <v>0</v>
      </c>
      <c r="AD353" s="47">
        <f>IF(U353="",0,U353)</f>
        <v/>
      </c>
      <c r="AE353" s="87">
        <f>IF(OR(V353=1,W353=1),1,0)</f>
        <v/>
      </c>
      <c r="AF353" s="87" t="n">
        <v>0</v>
      </c>
      <c r="AG353" t="n">
        <v>3727</v>
      </c>
      <c r="AH353" t="n">
        <v>79683</v>
      </c>
      <c r="AI353" t="n">
        <v>0</v>
      </c>
      <c r="AJ353" s="88">
        <f>IF(OR(AG353&lt;=0,AH353&lt;=0),"",LN(AG353)-LN(AH353))</f>
        <v/>
      </c>
      <c r="AK353" t="n">
        <v>11232</v>
      </c>
      <c r="AL353" t="n">
        <v>72178</v>
      </c>
      <c r="AM353" s="88">
        <f>IF(OR(AK353&lt;=0,AL353&lt;=0),"",LN(AK353)-LN(AL353))</f>
        <v/>
      </c>
      <c r="AN353" t="n">
        <v>3644</v>
      </c>
      <c r="AO353" t="n">
        <v>76928</v>
      </c>
      <c r="AP353" s="88">
        <f>IF(OR(AN353&lt;=0,AO353&lt;=0),"",LN(AN353)-LN(AO353))</f>
        <v/>
      </c>
      <c r="AQ353" t="n">
        <v>3636</v>
      </c>
      <c r="AR353" t="n">
        <v>79683</v>
      </c>
      <c r="AS353" s="88">
        <f>IF(OR(AQ353&lt;=0,AR353&lt;=0),"",LN(AQ353)-LN(AR353))</f>
        <v/>
      </c>
      <c r="AT353" t="n">
        <v>4329</v>
      </c>
      <c r="AU353" t="n">
        <v>78627</v>
      </c>
      <c r="AV353" t="n">
        <v>460</v>
      </c>
      <c r="AW353" t="n">
        <v>250</v>
      </c>
      <c r="AX353" t="n">
        <v>3457</v>
      </c>
      <c r="AY353" s="88">
        <f>IF(OR(AT353&lt;=0,AU353&lt;=0),"",LN(AT353)-LN(AU353))</f>
        <v/>
      </c>
      <c r="AZ353" s="46" t="n">
        <v>6.2</v>
      </c>
      <c r="BA353" s="46" t="n">
        <v>8.26</v>
      </c>
      <c r="BB353" s="47" t="n">
        <v>1.1</v>
      </c>
    </row>
    <row r="354">
      <c r="A354" s="48" t="n">
        <v>45644</v>
      </c>
      <c r="B354" s="49" t="n">
        <v>76127</v>
      </c>
      <c r="C354" s="50" t="n">
        <v>16.4</v>
      </c>
      <c r="D354" s="51" t="inlineStr">
        <is>
          <t>Moderate</t>
        </is>
      </c>
      <c r="E354" s="52" t="n">
        <v>-3.4</v>
      </c>
      <c r="F354" s="52" t="n"/>
      <c r="G354" s="51" t="inlineStr">
        <is>
          <t>Wed</t>
        </is>
      </c>
      <c r="H354" s="51" t="inlineStr">
        <is>
          <t>Weekday</t>
        </is>
      </c>
      <c r="I354" s="51" t="inlineStr">
        <is>
          <t>Winter</t>
        </is>
      </c>
      <c r="J354" s="51" t="n">
        <v>25</v>
      </c>
      <c r="K354" s="51" t="inlineStr">
        <is>
          <t>강수량 공란</t>
        </is>
      </c>
      <c r="L354" s="46" t="n">
        <v>31.88</v>
      </c>
      <c r="M354" t="inlineStr">
        <is>
          <t>Moderate</t>
        </is>
      </c>
      <c r="N354" s="87" t="n">
        <v>25</v>
      </c>
      <c r="O354" s="87" t="n">
        <v>0</v>
      </c>
      <c r="P354" s="87" t="n">
        <v>0</v>
      </c>
      <c r="Q354" s="87" t="n">
        <v>0</v>
      </c>
      <c r="R354" s="87" t="n">
        <v>0</v>
      </c>
      <c r="S354" s="47" t="n">
        <v>2.2</v>
      </c>
      <c r="T354" s="47" t="n">
        <v>47.1</v>
      </c>
      <c r="U354" s="47" t="n"/>
      <c r="V354" s="87" t="n">
        <v>0</v>
      </c>
      <c r="W354" s="87" t="n">
        <v>0</v>
      </c>
      <c r="Y354" t="inlineStr">
        <is>
          <t>Dec</t>
        </is>
      </c>
      <c r="Z354" s="87" t="n">
        <v>2024</v>
      </c>
      <c r="AA354" s="47">
        <f>IF(F354="",0,F354)</f>
        <v/>
      </c>
      <c r="AB354" s="87">
        <f>IF(AA354&gt;=0.1,1,0)</f>
        <v/>
      </c>
      <c r="AC354" s="87" t="n">
        <v>0</v>
      </c>
      <c r="AD354" s="47">
        <f>IF(U354="",0,U354)</f>
        <v/>
      </c>
      <c r="AE354" s="87">
        <f>IF(OR(V354=1,W354=1),1,0)</f>
        <v/>
      </c>
      <c r="AF354" s="87" t="n">
        <v>0</v>
      </c>
      <c r="AG354" t="n">
        <v>3277</v>
      </c>
      <c r="AH354" t="n">
        <v>72850</v>
      </c>
      <c r="AI354" t="n">
        <v>0</v>
      </c>
      <c r="AJ354" s="88">
        <f>IF(OR(AG354&lt;=0,AH354&lt;=0),"",LN(AG354)-LN(AH354))</f>
        <v/>
      </c>
      <c r="AK354" t="n">
        <v>9959</v>
      </c>
      <c r="AL354" t="n">
        <v>66168</v>
      </c>
      <c r="AM354" s="88">
        <f>IF(OR(AK354&lt;=0,AL354&lt;=0),"",LN(AK354)-LN(AL354))</f>
        <v/>
      </c>
      <c r="AN354" t="n">
        <v>3220</v>
      </c>
      <c r="AO354" t="n">
        <v>70339</v>
      </c>
      <c r="AP354" s="88">
        <f>IF(OR(AN354&lt;=0,AO354&lt;=0),"",LN(AN354)-LN(AO354))</f>
        <v/>
      </c>
      <c r="AQ354" t="n">
        <v>3194</v>
      </c>
      <c r="AR354" t="n">
        <v>72850</v>
      </c>
      <c r="AS354" s="88">
        <f>IF(OR(AQ354&lt;=0,AR354&lt;=0),"",LN(AQ354)-LN(AR354))</f>
        <v/>
      </c>
      <c r="AT354" t="n">
        <v>3931</v>
      </c>
      <c r="AU354" t="n">
        <v>71686</v>
      </c>
      <c r="AV354" t="n">
        <v>518</v>
      </c>
      <c r="AW354" t="n">
        <v>183</v>
      </c>
      <c r="AX354" t="n">
        <v>3061</v>
      </c>
      <c r="AY354" s="88">
        <f>IF(OR(AT354&lt;=0,AU354&lt;=0),"",LN(AT354)-LN(AU354))</f>
        <v/>
      </c>
      <c r="AZ354" s="46" t="n">
        <v>9</v>
      </c>
      <c r="BA354" s="46" t="n">
        <v>11.38</v>
      </c>
      <c r="BB354" s="47" t="n">
        <v>0</v>
      </c>
    </row>
    <row r="355">
      <c r="A355" s="48" t="n">
        <v>45645</v>
      </c>
      <c r="B355" s="49" t="n">
        <v>79353</v>
      </c>
      <c r="C355" s="50" t="n">
        <v>30.56</v>
      </c>
      <c r="D355" s="51" t="inlineStr">
        <is>
          <t>Moderate</t>
        </is>
      </c>
      <c r="E355" s="52" t="n">
        <v>-1.4</v>
      </c>
      <c r="F355" s="52" t="n"/>
      <c r="G355" s="51" t="inlineStr">
        <is>
          <t>Thu</t>
        </is>
      </c>
      <c r="H355" s="51" t="inlineStr">
        <is>
          <t>Weekday</t>
        </is>
      </c>
      <c r="I355" s="51" t="inlineStr">
        <is>
          <t>Winter</t>
        </is>
      </c>
      <c r="J355" s="51" t="n">
        <v>25</v>
      </c>
      <c r="K355" s="51" t="inlineStr">
        <is>
          <t>강수량 공란</t>
        </is>
      </c>
      <c r="L355" s="46" t="n">
        <v>53.08</v>
      </c>
      <c r="M355" t="inlineStr">
        <is>
          <t>Moderate</t>
        </is>
      </c>
      <c r="N355" s="87" t="n">
        <v>25</v>
      </c>
      <c r="O355" s="87" t="n">
        <v>0</v>
      </c>
      <c r="P355" s="87" t="n">
        <v>0</v>
      </c>
      <c r="Q355" s="87" t="n">
        <v>0</v>
      </c>
      <c r="R355" s="87" t="n">
        <v>0</v>
      </c>
      <c r="S355" s="47" t="n">
        <v>1.5</v>
      </c>
      <c r="T355" s="47" t="n">
        <v>47.4</v>
      </c>
      <c r="U355" s="47" t="n"/>
      <c r="V355" s="87" t="n">
        <v>0</v>
      </c>
      <c r="W355" s="87" t="n">
        <v>0</v>
      </c>
      <c r="Y355" t="inlineStr">
        <is>
          <t>Dec</t>
        </is>
      </c>
      <c r="Z355" s="87" t="n">
        <v>2024</v>
      </c>
      <c r="AA355" s="47">
        <f>IF(F355="",0,F355)</f>
        <v/>
      </c>
      <c r="AB355" s="87">
        <f>IF(AA355&gt;=0.1,1,0)</f>
        <v/>
      </c>
      <c r="AC355" s="87" t="n">
        <v>0</v>
      </c>
      <c r="AD355" s="47">
        <f>IF(U355="",0,U355)</f>
        <v/>
      </c>
      <c r="AE355" s="87">
        <f>IF(OR(V355=1,W355=1),1,0)</f>
        <v/>
      </c>
      <c r="AF355" s="87" t="n">
        <v>0</v>
      </c>
      <c r="AG355" t="n">
        <v>3457</v>
      </c>
      <c r="AH355" t="n">
        <v>75896</v>
      </c>
      <c r="AI355" t="n">
        <v>0</v>
      </c>
      <c r="AJ355" s="88">
        <f>IF(OR(AG355&lt;=0,AH355&lt;=0),"",LN(AG355)-LN(AH355))</f>
        <v/>
      </c>
      <c r="AK355" t="n">
        <v>10539</v>
      </c>
      <c r="AL355" t="n">
        <v>68814</v>
      </c>
      <c r="AM355" s="88">
        <f>IF(OR(AK355&lt;=0,AL355&lt;=0),"",LN(AK355)-LN(AL355))</f>
        <v/>
      </c>
      <c r="AN355" t="n">
        <v>3397</v>
      </c>
      <c r="AO355" t="n">
        <v>73319</v>
      </c>
      <c r="AP355" s="88">
        <f>IF(OR(AN355&lt;=0,AO355&lt;=0),"",LN(AN355)-LN(AO355))</f>
        <v/>
      </c>
      <c r="AQ355" t="n">
        <v>3380</v>
      </c>
      <c r="AR355" t="n">
        <v>75896</v>
      </c>
      <c r="AS355" s="88">
        <f>IF(OR(AQ355&lt;=0,AR355&lt;=0),"",LN(AQ355)-LN(AR355))</f>
        <v/>
      </c>
      <c r="AT355" t="n">
        <v>4000</v>
      </c>
      <c r="AU355" t="n">
        <v>74903</v>
      </c>
      <c r="AV355" t="n">
        <v>461</v>
      </c>
      <c r="AW355" t="n">
        <v>214</v>
      </c>
      <c r="AX355" t="n">
        <v>3227</v>
      </c>
      <c r="AY355" s="88">
        <f>IF(OR(AT355&lt;=0,AU355&lt;=0),"",LN(AT355)-LN(AU355))</f>
        <v/>
      </c>
      <c r="AZ355" s="46" t="n">
        <v>8.199999999999999</v>
      </c>
      <c r="BA355" s="46" t="n">
        <v>10.53</v>
      </c>
      <c r="BB355" s="47" t="n">
        <v>3.3</v>
      </c>
    </row>
    <row r="356">
      <c r="A356" s="48" t="n">
        <v>45646</v>
      </c>
      <c r="B356" s="49" t="n">
        <v>80200</v>
      </c>
      <c r="C356" s="50" t="n">
        <v>38.68</v>
      </c>
      <c r="D356" s="51" t="inlineStr">
        <is>
          <t>Bad</t>
        </is>
      </c>
      <c r="E356" s="52" t="n">
        <v>1.4</v>
      </c>
      <c r="F356" s="52" t="n">
        <v>0.4</v>
      </c>
      <c r="G356" s="51" t="inlineStr">
        <is>
          <t>Fri</t>
        </is>
      </c>
      <c r="H356" s="51" t="inlineStr">
        <is>
          <t>Weekday</t>
        </is>
      </c>
      <c r="I356" s="51" t="inlineStr">
        <is>
          <t>Winter</t>
        </is>
      </c>
      <c r="J356" s="51" t="n">
        <v>25</v>
      </c>
      <c r="K356" s="51" t="inlineStr">
        <is>
          <t>OK</t>
        </is>
      </c>
      <c r="L356" s="46" t="n">
        <v>57.2</v>
      </c>
      <c r="M356" t="inlineStr">
        <is>
          <t>Moderate</t>
        </is>
      </c>
      <c r="N356" s="87" t="n">
        <v>25</v>
      </c>
      <c r="O356" s="87" t="n">
        <v>0</v>
      </c>
      <c r="P356" s="87" t="n">
        <v>0</v>
      </c>
      <c r="Q356" s="87" t="n">
        <v>0</v>
      </c>
      <c r="R356" s="87" t="n">
        <v>0</v>
      </c>
      <c r="S356" s="47" t="n">
        <v>2</v>
      </c>
      <c r="T356" s="47" t="n">
        <v>60.9</v>
      </c>
      <c r="U356" s="47" t="n">
        <v>0.5</v>
      </c>
      <c r="V356" s="87" t="n">
        <v>0</v>
      </c>
      <c r="W356" s="87" t="n">
        <v>0</v>
      </c>
      <c r="Y356" t="inlineStr">
        <is>
          <t>Dec</t>
        </is>
      </c>
      <c r="Z356" s="87" t="n">
        <v>2024</v>
      </c>
      <c r="AA356" s="47">
        <f>IF(F356="",0,F356)</f>
        <v/>
      </c>
      <c r="AB356" s="87">
        <f>IF(AA356&gt;=0.1,1,0)</f>
        <v/>
      </c>
      <c r="AC356" s="87" t="n">
        <v>0</v>
      </c>
      <c r="AD356" s="47">
        <f>IF(U356="",0,U356)</f>
        <v/>
      </c>
      <c r="AE356" s="87">
        <f>IF(OR(V356=1,W356=1),1,0)</f>
        <v/>
      </c>
      <c r="AF356" s="87" t="n">
        <v>0</v>
      </c>
      <c r="AG356" t="n">
        <v>3606</v>
      </c>
      <c r="AH356" t="n">
        <v>76594</v>
      </c>
      <c r="AI356" t="n">
        <v>0</v>
      </c>
      <c r="AJ356" s="88">
        <f>IF(OR(AG356&lt;=0,AH356&lt;=0),"",LN(AG356)-LN(AH356))</f>
        <v/>
      </c>
      <c r="AK356" t="n">
        <v>10653</v>
      </c>
      <c r="AL356" t="n">
        <v>69547</v>
      </c>
      <c r="AM356" s="88">
        <f>IF(OR(AK356&lt;=0,AL356&lt;=0),"",LN(AK356)-LN(AL356))</f>
        <v/>
      </c>
      <c r="AN356" t="n">
        <v>3532</v>
      </c>
      <c r="AO356" t="n">
        <v>74015</v>
      </c>
      <c r="AP356" s="88">
        <f>IF(OR(AN356&lt;=0,AO356&lt;=0),"",LN(AN356)-LN(AO356))</f>
        <v/>
      </c>
      <c r="AQ356" t="n">
        <v>3533</v>
      </c>
      <c r="AR356" t="n">
        <v>76594</v>
      </c>
      <c r="AS356" s="88">
        <f>IF(OR(AQ356&lt;=0,AR356&lt;=0),"",LN(AQ356)-LN(AR356))</f>
        <v/>
      </c>
      <c r="AT356" t="n">
        <v>4456</v>
      </c>
      <c r="AU356" t="n">
        <v>75338</v>
      </c>
      <c r="AV356" t="n">
        <v>411</v>
      </c>
      <c r="AW356" t="n">
        <v>265</v>
      </c>
      <c r="AX356" t="n">
        <v>3324</v>
      </c>
      <c r="AY356" s="88">
        <f>IF(OR(AT356&lt;=0,AU356&lt;=0),"",LN(AT356)-LN(AU356))</f>
        <v/>
      </c>
      <c r="AZ356" s="46" t="n">
        <v>1.4</v>
      </c>
      <c r="BA356" s="46" t="n">
        <v>4.9</v>
      </c>
      <c r="BB356" s="47" t="n">
        <v>9.1</v>
      </c>
    </row>
    <row r="357">
      <c r="A357" s="48" t="n">
        <v>45647</v>
      </c>
      <c r="B357" s="49" t="n">
        <v>39452</v>
      </c>
      <c r="C357" s="50" t="n">
        <v>38.72</v>
      </c>
      <c r="D357" s="51" t="inlineStr">
        <is>
          <t>Bad</t>
        </is>
      </c>
      <c r="E357" s="52" t="n">
        <v>-0.7</v>
      </c>
      <c r="F357" s="52" t="n">
        <v>2.9</v>
      </c>
      <c r="G357" s="51" t="inlineStr">
        <is>
          <t>Sat</t>
        </is>
      </c>
      <c r="H357" s="51" t="inlineStr">
        <is>
          <t>Weekend</t>
        </is>
      </c>
      <c r="I357" s="51" t="inlineStr">
        <is>
          <t>Winter</t>
        </is>
      </c>
      <c r="J357" s="51" t="n">
        <v>25</v>
      </c>
      <c r="K357" s="51" t="inlineStr">
        <is>
          <t>OK</t>
        </is>
      </c>
      <c r="L357" s="46" t="n">
        <v>48.84</v>
      </c>
      <c r="M357" t="inlineStr">
        <is>
          <t>Moderate</t>
        </is>
      </c>
      <c r="N357" s="87" t="n">
        <v>25</v>
      </c>
      <c r="O357" s="87" t="n">
        <v>0</v>
      </c>
      <c r="P357" s="87" t="n">
        <v>0</v>
      </c>
      <c r="Q357" s="87" t="n">
        <v>0</v>
      </c>
      <c r="R357" s="87" t="n">
        <v>0</v>
      </c>
      <c r="S357" s="47" t="n">
        <v>2.8</v>
      </c>
      <c r="T357" s="47" t="n">
        <v>74.09999999999999</v>
      </c>
      <c r="U357" s="47" t="n">
        <v>2.4</v>
      </c>
      <c r="V357" s="87" t="n">
        <v>1</v>
      </c>
      <c r="W357" s="87" t="n">
        <v>0</v>
      </c>
      <c r="Y357" t="inlineStr">
        <is>
          <t>Dec</t>
        </is>
      </c>
      <c r="Z357" s="87" t="n">
        <v>2024</v>
      </c>
      <c r="AA357" s="47">
        <f>IF(F357="",0,F357)</f>
        <v/>
      </c>
      <c r="AB357" s="87">
        <f>IF(AA357&gt;=0.1,1,0)</f>
        <v/>
      </c>
      <c r="AC357" s="87" t="n">
        <v>0</v>
      </c>
      <c r="AD357" s="47">
        <f>IF(U357="",0,U357)</f>
        <v/>
      </c>
      <c r="AE357" s="87">
        <f>IF(OR(V357=1,W357=1),1,0)</f>
        <v/>
      </c>
      <c r="AF357" s="87" t="n">
        <v>0</v>
      </c>
      <c r="AG357" t="n">
        <v>1707</v>
      </c>
      <c r="AH357" t="n">
        <v>37745</v>
      </c>
      <c r="AI357" t="n">
        <v>0</v>
      </c>
      <c r="AJ357" s="88">
        <f>IF(OR(AG357&lt;=0,AH357&lt;=0),"",LN(AG357)-LN(AH357))</f>
        <v/>
      </c>
      <c r="AK357" t="n">
        <v>5173</v>
      </c>
      <c r="AL357" t="n">
        <v>34279</v>
      </c>
      <c r="AM357" s="88">
        <f>IF(OR(AK357&lt;=0,AL357&lt;=0),"",LN(AK357)-LN(AL357))</f>
        <v/>
      </c>
      <c r="AN357" t="n">
        <v>1652</v>
      </c>
      <c r="AO357" t="n">
        <v>36387</v>
      </c>
      <c r="AP357" s="88">
        <f>IF(OR(AN357&lt;=0,AO357&lt;=0),"",LN(AN357)-LN(AO357))</f>
        <v/>
      </c>
      <c r="AQ357" t="n">
        <v>1672</v>
      </c>
      <c r="AR357" t="n">
        <v>37745</v>
      </c>
      <c r="AS357" s="88">
        <f>IF(OR(AQ357&lt;=0,AR357&lt;=0),"",LN(AQ357)-LN(AR357))</f>
        <v/>
      </c>
      <c r="AT357" t="n">
        <v>2891</v>
      </c>
      <c r="AU357" t="n">
        <v>36337</v>
      </c>
      <c r="AV357" t="n">
        <v>225</v>
      </c>
      <c r="AW357" t="n">
        <v>177</v>
      </c>
      <c r="AX357" t="n">
        <v>1523</v>
      </c>
      <c r="AY357" s="88">
        <f>IF(OR(AT357&lt;=0,AU357&lt;=0),"",LN(AT357)-LN(AU357))</f>
        <v/>
      </c>
      <c r="AZ357" s="46" t="n">
        <v>2</v>
      </c>
      <c r="BA357" s="46" t="n">
        <v>4.03</v>
      </c>
      <c r="BB357" s="47" t="n">
        <v>5.3</v>
      </c>
    </row>
    <row r="358">
      <c r="A358" s="48" t="n">
        <v>45648</v>
      </c>
      <c r="B358" s="49" t="n">
        <v>37978</v>
      </c>
      <c r="C358" s="50" t="n">
        <v>9.791667</v>
      </c>
      <c r="D358" s="51" t="inlineStr">
        <is>
          <t>Good</t>
        </is>
      </c>
      <c r="E358" s="52" t="n">
        <v>-3.4</v>
      </c>
      <c r="F358" s="52" t="n"/>
      <c r="G358" s="51" t="inlineStr">
        <is>
          <t>Sun</t>
        </is>
      </c>
      <c r="H358" s="51" t="inlineStr">
        <is>
          <t>Weekend</t>
        </is>
      </c>
      <c r="I358" s="51" t="inlineStr">
        <is>
          <t>Winter</t>
        </is>
      </c>
      <c r="J358" s="51" t="n">
        <v>24</v>
      </c>
      <c r="K358" s="51" t="inlineStr">
        <is>
          <t>강수량 공란</t>
        </is>
      </c>
      <c r="L358" s="46" t="n">
        <v>20.16666666666667</v>
      </c>
      <c r="M358" t="inlineStr">
        <is>
          <t>Good</t>
        </is>
      </c>
      <c r="N358" s="87" t="n">
        <v>24</v>
      </c>
      <c r="O358" s="87" t="n">
        <v>0</v>
      </c>
      <c r="P358" s="87" t="n">
        <v>0</v>
      </c>
      <c r="Q358" s="87" t="n">
        <v>0</v>
      </c>
      <c r="R358" s="87" t="n">
        <v>0</v>
      </c>
      <c r="S358" s="47" t="n">
        <v>2.1</v>
      </c>
      <c r="T358" s="47" t="n">
        <v>52.9</v>
      </c>
      <c r="U358" s="47" t="n"/>
      <c r="V358" s="87" t="n">
        <v>1</v>
      </c>
      <c r="W358" s="87" t="n">
        <v>0</v>
      </c>
      <c r="Y358" t="inlineStr">
        <is>
          <t>Dec</t>
        </is>
      </c>
      <c r="Z358" s="87" t="n">
        <v>2024</v>
      </c>
      <c r="AA358" s="47">
        <f>IF(F358="",0,F358)</f>
        <v/>
      </c>
      <c r="AB358" s="87">
        <f>IF(AA358&gt;=0.1,1,0)</f>
        <v/>
      </c>
      <c r="AC358" s="87" t="n">
        <v>0</v>
      </c>
      <c r="AD358" s="47">
        <f>IF(U358="",0,U358)</f>
        <v/>
      </c>
      <c r="AE358" s="87">
        <f>IF(OR(V358=1,W358=1),1,0)</f>
        <v/>
      </c>
      <c r="AF358" s="87" t="n">
        <v>0</v>
      </c>
      <c r="AG358" t="n">
        <v>1840</v>
      </c>
      <c r="AH358" t="n">
        <v>36138</v>
      </c>
      <c r="AI358" t="n">
        <v>0</v>
      </c>
      <c r="AJ358" s="88">
        <f>IF(OR(AG358&lt;=0,AH358&lt;=0),"",LN(AG358)-LN(AH358))</f>
        <v/>
      </c>
      <c r="AK358" t="n">
        <v>5138</v>
      </c>
      <c r="AL358" t="n">
        <v>32840</v>
      </c>
      <c r="AM358" s="88">
        <f>IF(OR(AK358&lt;=0,AL358&lt;=0),"",LN(AK358)-LN(AL358))</f>
        <v/>
      </c>
      <c r="AN358" t="n">
        <v>1796</v>
      </c>
      <c r="AO358" t="n">
        <v>34993</v>
      </c>
      <c r="AP358" s="88">
        <f>IF(OR(AN358&lt;=0,AO358&lt;=0),"",LN(AN358)-LN(AO358))</f>
        <v/>
      </c>
      <c r="AQ358" t="n">
        <v>1794</v>
      </c>
      <c r="AR358" t="n">
        <v>36138</v>
      </c>
      <c r="AS358" s="88">
        <f>IF(OR(AQ358&lt;=0,AR358&lt;=0),"",LN(AQ358)-LN(AR358))</f>
        <v/>
      </c>
      <c r="AT358" t="n">
        <v>3004</v>
      </c>
      <c r="AU358" t="n">
        <v>34763</v>
      </c>
      <c r="AV358" t="n">
        <v>211</v>
      </c>
      <c r="AW358" t="n">
        <v>205</v>
      </c>
      <c r="AX358" t="n">
        <v>1624</v>
      </c>
      <c r="AY358" s="88">
        <f>IF(OR(AT358&lt;=0,AU358&lt;=0),"",LN(AT358)-LN(AU358))</f>
        <v/>
      </c>
      <c r="AZ358" s="46" t="n">
        <v>9</v>
      </c>
      <c r="BA358" s="46" t="n">
        <v>11.47</v>
      </c>
      <c r="BB358" s="47" t="n">
        <v>0</v>
      </c>
    </row>
    <row r="359">
      <c r="A359" s="48" t="n">
        <v>45649</v>
      </c>
      <c r="B359" s="49" t="n">
        <v>76138</v>
      </c>
      <c r="C359" s="50" t="n">
        <v>16.76</v>
      </c>
      <c r="D359" s="51" t="inlineStr">
        <is>
          <t>Moderate</t>
        </is>
      </c>
      <c r="E359" s="52" t="n">
        <v>0.3</v>
      </c>
      <c r="F359" s="52" t="n"/>
      <c r="G359" s="51" t="inlineStr">
        <is>
          <t>Mon</t>
        </is>
      </c>
      <c r="H359" s="51" t="inlineStr">
        <is>
          <t>Weekday</t>
        </is>
      </c>
      <c r="I359" s="51" t="inlineStr">
        <is>
          <t>Winter</t>
        </is>
      </c>
      <c r="J359" s="51" t="n">
        <v>25</v>
      </c>
      <c r="K359" s="51" t="inlineStr">
        <is>
          <t>강수량 공란</t>
        </is>
      </c>
      <c r="L359" s="46" t="n">
        <v>27.8</v>
      </c>
      <c r="M359" t="inlineStr">
        <is>
          <t>Good</t>
        </is>
      </c>
      <c r="N359" s="87" t="n">
        <v>25</v>
      </c>
      <c r="O359" s="87" t="n">
        <v>0</v>
      </c>
      <c r="P359" s="87" t="n">
        <v>0</v>
      </c>
      <c r="Q359" s="87" t="n">
        <v>0</v>
      </c>
      <c r="R359" s="87" t="n">
        <v>0</v>
      </c>
      <c r="S359" s="47" t="n">
        <v>2.2</v>
      </c>
      <c r="T359" s="47" t="n">
        <v>58.5</v>
      </c>
      <c r="U359" s="47" t="n"/>
      <c r="V359" s="87" t="n">
        <v>0</v>
      </c>
      <c r="W359" s="87" t="n">
        <v>0</v>
      </c>
      <c r="Y359" t="inlineStr">
        <is>
          <t>Dec</t>
        </is>
      </c>
      <c r="Z359" s="87" t="n">
        <v>2024</v>
      </c>
      <c r="AA359" s="47">
        <f>IF(F359="",0,F359)</f>
        <v/>
      </c>
      <c r="AB359" s="87">
        <f>IF(AA359&gt;=0.1,1,0)</f>
        <v/>
      </c>
      <c r="AC359" s="87" t="n">
        <v>0</v>
      </c>
      <c r="AD359" s="47">
        <f>IF(U359="",0,U359)</f>
        <v/>
      </c>
      <c r="AE359" s="87">
        <f>IF(OR(V359=1,W359=1),1,0)</f>
        <v/>
      </c>
      <c r="AF359" s="87" t="n">
        <v>0</v>
      </c>
      <c r="AG359" t="n">
        <v>3244</v>
      </c>
      <c r="AH359" t="n">
        <v>72894</v>
      </c>
      <c r="AI359" t="n">
        <v>0</v>
      </c>
      <c r="AJ359" s="88">
        <f>IF(OR(AG359&lt;=0,AH359&lt;=0),"",LN(AG359)-LN(AH359))</f>
        <v/>
      </c>
      <c r="AK359" t="n">
        <v>10102</v>
      </c>
      <c r="AL359" t="n">
        <v>66036</v>
      </c>
      <c r="AM359" s="88">
        <f>IF(OR(AK359&lt;=0,AL359&lt;=0),"",LN(AK359)-LN(AL359))</f>
        <v/>
      </c>
      <c r="AN359" t="n">
        <v>3176</v>
      </c>
      <c r="AO359" t="n">
        <v>70358</v>
      </c>
      <c r="AP359" s="88">
        <f>IF(OR(AN359&lt;=0,AO359&lt;=0),"",LN(AN359)-LN(AO359))</f>
        <v/>
      </c>
      <c r="AQ359" t="n">
        <v>3162</v>
      </c>
      <c r="AR359" t="n">
        <v>72894</v>
      </c>
      <c r="AS359" s="88">
        <f>IF(OR(AQ359&lt;=0,AR359&lt;=0),"",LN(AQ359)-LN(AR359))</f>
        <v/>
      </c>
      <c r="AT359" t="n">
        <v>4403</v>
      </c>
      <c r="AU359" t="n">
        <v>71346</v>
      </c>
      <c r="AV359" t="n">
        <v>392</v>
      </c>
      <c r="AW359" t="n">
        <v>215</v>
      </c>
      <c r="AX359" t="n">
        <v>3011</v>
      </c>
      <c r="AY359" s="88">
        <f>IF(OR(AT359&lt;=0,AU359&lt;=0),"",LN(AT359)-LN(AU359))</f>
        <v/>
      </c>
      <c r="AZ359" s="46" t="n">
        <v>7.3</v>
      </c>
      <c r="BA359" s="46" t="n">
        <v>10.29</v>
      </c>
      <c r="BB359" s="47" t="n">
        <v>0.9</v>
      </c>
    </row>
    <row r="360">
      <c r="A360" s="48" t="n">
        <v>45650</v>
      </c>
      <c r="B360" s="49" t="n">
        <v>77776</v>
      </c>
      <c r="C360" s="50" t="n">
        <v>19.08</v>
      </c>
      <c r="D360" s="51" t="inlineStr">
        <is>
          <t>Moderate</t>
        </is>
      </c>
      <c r="E360" s="52" t="n">
        <v>-0.4</v>
      </c>
      <c r="F360" s="52" t="n"/>
      <c r="G360" s="51" t="inlineStr">
        <is>
          <t>Tue</t>
        </is>
      </c>
      <c r="H360" s="51" t="inlineStr">
        <is>
          <t>Weekday</t>
        </is>
      </c>
      <c r="I360" s="51" t="inlineStr">
        <is>
          <t>Winter</t>
        </is>
      </c>
      <c r="J360" s="51" t="n">
        <v>25</v>
      </c>
      <c r="K360" s="51" t="inlineStr">
        <is>
          <t>강수량 공란</t>
        </is>
      </c>
      <c r="L360" s="46" t="n">
        <v>32.84</v>
      </c>
      <c r="M360" t="inlineStr">
        <is>
          <t>Moderate</t>
        </is>
      </c>
      <c r="N360" s="87" t="n">
        <v>25</v>
      </c>
      <c r="O360" s="87" t="n">
        <v>0</v>
      </c>
      <c r="P360" s="87" t="n">
        <v>0</v>
      </c>
      <c r="Q360" s="87" t="n">
        <v>0</v>
      </c>
      <c r="R360" s="87" t="n">
        <v>0</v>
      </c>
      <c r="S360" s="47" t="n">
        <v>1.4</v>
      </c>
      <c r="T360" s="47" t="n">
        <v>50.3</v>
      </c>
      <c r="U360" s="47" t="n"/>
      <c r="V360" s="87" t="n">
        <v>0</v>
      </c>
      <c r="W360" s="87" t="n">
        <v>0</v>
      </c>
      <c r="Y360" t="inlineStr">
        <is>
          <t>Dec</t>
        </is>
      </c>
      <c r="Z360" s="87" t="n">
        <v>2024</v>
      </c>
      <c r="AA360" s="47">
        <f>IF(F360="",0,F360)</f>
        <v/>
      </c>
      <c r="AB360" s="87">
        <f>IF(AA360&gt;=0.1,1,0)</f>
        <v/>
      </c>
      <c r="AC360" s="87" t="n">
        <v>0</v>
      </c>
      <c r="AD360" s="47">
        <f>IF(U360="",0,U360)</f>
        <v/>
      </c>
      <c r="AE360" s="87">
        <f>IF(OR(V360=1,W360=1),1,0)</f>
        <v/>
      </c>
      <c r="AF360" s="87" t="n">
        <v>0</v>
      </c>
      <c r="AG360" t="n">
        <v>3435</v>
      </c>
      <c r="AH360" t="n">
        <v>74341</v>
      </c>
      <c r="AI360" t="n">
        <v>0</v>
      </c>
      <c r="AJ360" s="88">
        <f>IF(OR(AG360&lt;=0,AH360&lt;=0),"",LN(AG360)-LN(AH360))</f>
        <v/>
      </c>
      <c r="AK360" t="n">
        <v>10416</v>
      </c>
      <c r="AL360" t="n">
        <v>67360</v>
      </c>
      <c r="AM360" s="88">
        <f>IF(OR(AK360&lt;=0,AL360&lt;=0),"",LN(AK360)-LN(AL360))</f>
        <v/>
      </c>
      <c r="AN360" t="n">
        <v>3360</v>
      </c>
      <c r="AO360" t="n">
        <v>71837</v>
      </c>
      <c r="AP360" s="88">
        <f>IF(OR(AN360&lt;=0,AO360&lt;=0),"",LN(AN360)-LN(AO360))</f>
        <v/>
      </c>
      <c r="AQ360" t="n">
        <v>3351</v>
      </c>
      <c r="AR360" t="n">
        <v>74341</v>
      </c>
      <c r="AS360" s="88">
        <f>IF(OR(AQ360&lt;=0,AR360&lt;=0),"",LN(AQ360)-LN(AR360))</f>
        <v/>
      </c>
      <c r="AT360" t="n">
        <v>4684</v>
      </c>
      <c r="AU360" t="n">
        <v>72654</v>
      </c>
      <c r="AV360" t="n">
        <v>444</v>
      </c>
      <c r="AW360" t="n">
        <v>267</v>
      </c>
      <c r="AX360" t="n">
        <v>3152</v>
      </c>
      <c r="AY360" s="88">
        <f>IF(OR(AT360&lt;=0,AU360&lt;=0),"",LN(AT360)-LN(AU360))</f>
        <v/>
      </c>
      <c r="AZ360" s="46" t="n">
        <v>9</v>
      </c>
      <c r="BA360" s="46" t="n">
        <v>11.06</v>
      </c>
      <c r="BB360" s="47" t="n">
        <v>2.1</v>
      </c>
    </row>
    <row r="361">
      <c r="A361" s="48" t="n">
        <v>45651</v>
      </c>
      <c r="B361" s="49" t="n">
        <v>45243</v>
      </c>
      <c r="C361" s="50" t="n">
        <v>21.24</v>
      </c>
      <c r="D361" s="51" t="inlineStr">
        <is>
          <t>Moderate</t>
        </is>
      </c>
      <c r="E361" s="52" t="n">
        <v>2.7</v>
      </c>
      <c r="F361" s="52" t="n">
        <v>0.1</v>
      </c>
      <c r="G361" s="51" t="inlineStr">
        <is>
          <t>Wed</t>
        </is>
      </c>
      <c r="H361" s="51" t="inlineStr">
        <is>
          <t>Weekday</t>
        </is>
      </c>
      <c r="I361" s="51" t="inlineStr">
        <is>
          <t>Winter</t>
        </is>
      </c>
      <c r="J361" s="51" t="n">
        <v>25</v>
      </c>
      <c r="K361" s="51" t="inlineStr">
        <is>
          <t>OK</t>
        </is>
      </c>
      <c r="L361" s="46" t="n">
        <v>31.92</v>
      </c>
      <c r="M361" t="inlineStr">
        <is>
          <t>Moderate</t>
        </is>
      </c>
      <c r="N361" s="87" t="n">
        <v>25</v>
      </c>
      <c r="O361" s="87" t="n">
        <v>0</v>
      </c>
      <c r="P361" s="87" t="n">
        <v>0</v>
      </c>
      <c r="Q361" s="87" t="n">
        <v>0</v>
      </c>
      <c r="R361" s="87" t="n">
        <v>0</v>
      </c>
      <c r="S361" s="47" t="n">
        <v>2</v>
      </c>
      <c r="T361" s="47" t="n">
        <v>63.1</v>
      </c>
      <c r="U361" s="47" t="n"/>
      <c r="V361" s="87" t="n">
        <v>0</v>
      </c>
      <c r="W361" s="87" t="n">
        <v>1</v>
      </c>
      <c r="X361" t="inlineStr">
        <is>
          <t>성탄절</t>
        </is>
      </c>
      <c r="Y361" t="inlineStr">
        <is>
          <t>Dec</t>
        </is>
      </c>
      <c r="Z361" s="87" t="n">
        <v>2024</v>
      </c>
      <c r="AA361" s="47">
        <f>IF(F361="",0,F361)</f>
        <v/>
      </c>
      <c r="AB361" s="87">
        <f>IF(AA361&gt;=0.1,1,0)</f>
        <v/>
      </c>
      <c r="AC361" s="87" t="n">
        <v>0</v>
      </c>
      <c r="AD361" s="47">
        <f>IF(U361="",0,U361)</f>
        <v/>
      </c>
      <c r="AE361" s="87">
        <f>IF(OR(V361=1,W361=1),1,0)</f>
        <v/>
      </c>
      <c r="AF361" s="87" t="n">
        <v>0</v>
      </c>
      <c r="AG361" t="n">
        <v>2590</v>
      </c>
      <c r="AH361" t="n">
        <v>42653</v>
      </c>
      <c r="AI361" t="n">
        <v>0</v>
      </c>
      <c r="AJ361" s="88">
        <f>IF(OR(AG361&lt;=0,AH361&lt;=0),"",LN(AG361)-LN(AH361))</f>
        <v/>
      </c>
      <c r="AK361" t="n">
        <v>6710</v>
      </c>
      <c r="AL361" t="n">
        <v>38533</v>
      </c>
      <c r="AM361" s="88">
        <f>IF(OR(AK361&lt;=0,AL361&lt;=0),"",LN(AK361)-LN(AL361))</f>
        <v/>
      </c>
      <c r="AN361" t="n">
        <v>2515</v>
      </c>
      <c r="AO361" t="n">
        <v>41243</v>
      </c>
      <c r="AP361" s="88">
        <f>IF(OR(AN361&lt;=0,AO361&lt;=0),"",LN(AN361)-LN(AO361))</f>
        <v/>
      </c>
      <c r="AQ361" t="n">
        <v>2534</v>
      </c>
      <c r="AR361" t="n">
        <v>42653</v>
      </c>
      <c r="AS361" s="88">
        <f>IF(OR(AQ361&lt;=0,AR361&lt;=0),"",LN(AQ361)-LN(AR361))</f>
        <v/>
      </c>
      <c r="AT361" t="n">
        <v>3862</v>
      </c>
      <c r="AU361" t="n">
        <v>41125</v>
      </c>
      <c r="AV361" t="n">
        <v>258</v>
      </c>
      <c r="AW361" t="n">
        <v>314</v>
      </c>
      <c r="AX361" t="n">
        <v>2260</v>
      </c>
      <c r="AY361" s="88">
        <f>IF(OR(AT361&lt;=0,AU361&lt;=0),"",LN(AT361)-LN(AU361))</f>
        <v/>
      </c>
      <c r="AZ361" s="46" t="n">
        <v>3</v>
      </c>
      <c r="BA361" s="46" t="n">
        <v>6.46</v>
      </c>
      <c r="BB361" s="47" t="n">
        <v>8.300000000000001</v>
      </c>
    </row>
    <row r="362">
      <c r="A362" s="48" t="n">
        <v>45652</v>
      </c>
      <c r="B362" s="49" t="n">
        <v>69106</v>
      </c>
      <c r="C362" s="50" t="n">
        <v>33.08</v>
      </c>
      <c r="D362" s="51" t="inlineStr">
        <is>
          <t>Moderate</t>
        </is>
      </c>
      <c r="E362" s="52" t="n">
        <v>0.1</v>
      </c>
      <c r="F362" s="52" t="n">
        <v>0</v>
      </c>
      <c r="G362" s="51" t="inlineStr">
        <is>
          <t>Thu</t>
        </is>
      </c>
      <c r="H362" s="51" t="inlineStr">
        <is>
          <t>Weekday</t>
        </is>
      </c>
      <c r="I362" s="51" t="inlineStr">
        <is>
          <t>Winter</t>
        </is>
      </c>
      <c r="J362" s="51" t="n">
        <v>25</v>
      </c>
      <c r="K362" s="51" t="inlineStr">
        <is>
          <t>OK</t>
        </is>
      </c>
      <c r="L362" s="46" t="n">
        <v>64.40000000000001</v>
      </c>
      <c r="M362" t="inlineStr">
        <is>
          <t>Moderate</t>
        </is>
      </c>
      <c r="N362" s="87" t="n">
        <v>25</v>
      </c>
      <c r="O362" s="87" t="n">
        <v>0</v>
      </c>
      <c r="P362" s="87" t="n">
        <v>0</v>
      </c>
      <c r="Q362" s="87" t="n">
        <v>0</v>
      </c>
      <c r="R362" s="87" t="n">
        <v>0</v>
      </c>
      <c r="S362" s="47" t="n">
        <v>3.4</v>
      </c>
      <c r="T362" s="47" t="n">
        <v>57.9</v>
      </c>
      <c r="U362" s="47" t="n"/>
      <c r="V362" s="87" t="n">
        <v>0</v>
      </c>
      <c r="W362" s="87" t="n">
        <v>0</v>
      </c>
      <c r="Y362" t="inlineStr">
        <is>
          <t>Dec</t>
        </is>
      </c>
      <c r="Z362" s="87" t="n">
        <v>2024</v>
      </c>
      <c r="AA362" s="47">
        <f>IF(F362="",0,F362)</f>
        <v/>
      </c>
      <c r="AB362" s="87">
        <f>IF(AA362&gt;=0.1,1,0)</f>
        <v/>
      </c>
      <c r="AC362" s="87" t="n">
        <v>1</v>
      </c>
      <c r="AD362" s="47">
        <f>IF(U362="",0,U362)</f>
        <v/>
      </c>
      <c r="AE362" s="87">
        <f>IF(OR(V362=1,W362=1),1,0)</f>
        <v/>
      </c>
      <c r="AF362" s="87" t="n">
        <v>0</v>
      </c>
      <c r="AG362" t="n">
        <v>3062</v>
      </c>
      <c r="AH362" t="n">
        <v>66044</v>
      </c>
      <c r="AI362" t="n">
        <v>0</v>
      </c>
      <c r="AJ362" s="88">
        <f>IF(OR(AG362&lt;=0,AH362&lt;=0),"",LN(AG362)-LN(AH362))</f>
        <v/>
      </c>
      <c r="AK362" t="n">
        <v>9319</v>
      </c>
      <c r="AL362" t="n">
        <v>59787</v>
      </c>
      <c r="AM362" s="88">
        <f>IF(OR(AK362&lt;=0,AL362&lt;=0),"",LN(AK362)-LN(AL362))</f>
        <v/>
      </c>
      <c r="AN362" t="n">
        <v>3006</v>
      </c>
      <c r="AO362" t="n">
        <v>63849</v>
      </c>
      <c r="AP362" s="88">
        <f>IF(OR(AN362&lt;=0,AO362&lt;=0),"",LN(AN362)-LN(AO362))</f>
        <v/>
      </c>
      <c r="AQ362" t="n">
        <v>2992</v>
      </c>
      <c r="AR362" t="n">
        <v>66044</v>
      </c>
      <c r="AS362" s="88">
        <f>IF(OR(AQ362&lt;=0,AR362&lt;=0),"",LN(AQ362)-LN(AR362))</f>
        <v/>
      </c>
      <c r="AT362" t="n">
        <v>3869</v>
      </c>
      <c r="AU362" t="n">
        <v>64870</v>
      </c>
      <c r="AV362" t="n">
        <v>369</v>
      </c>
      <c r="AW362" t="n">
        <v>233</v>
      </c>
      <c r="AX362" t="n">
        <v>2815</v>
      </c>
      <c r="AY362" s="88">
        <f>IF(OR(AT362&lt;=0,AU362&lt;=0),"",LN(AT362)-LN(AU362))</f>
        <v/>
      </c>
      <c r="AZ362" s="46" t="n">
        <v>8.6</v>
      </c>
      <c r="BA362" s="46" t="n">
        <v>11.1</v>
      </c>
      <c r="BB362" s="47" t="n">
        <v>0.8</v>
      </c>
    </row>
    <row r="363">
      <c r="A363" s="48" t="n">
        <v>45653</v>
      </c>
      <c r="B363" s="49" t="n">
        <v>68320</v>
      </c>
      <c r="C363" s="50" t="n">
        <v>13.12</v>
      </c>
      <c r="D363" s="51" t="inlineStr">
        <is>
          <t>Good</t>
        </is>
      </c>
      <c r="E363" s="52" t="n">
        <v>-2.6</v>
      </c>
      <c r="F363" s="52" t="n">
        <v>0</v>
      </c>
      <c r="G363" s="51" t="inlineStr">
        <is>
          <t>Fri</t>
        </is>
      </c>
      <c r="H363" s="51" t="inlineStr">
        <is>
          <t>Weekday</t>
        </is>
      </c>
      <c r="I363" s="51" t="inlineStr">
        <is>
          <t>Winter</t>
        </is>
      </c>
      <c r="J363" s="51" t="n">
        <v>25</v>
      </c>
      <c r="K363" s="51" t="inlineStr">
        <is>
          <t>OK</t>
        </is>
      </c>
      <c r="L363" s="46" t="n">
        <v>29.68</v>
      </c>
      <c r="M363" t="inlineStr">
        <is>
          <t>Good</t>
        </is>
      </c>
      <c r="N363" s="87" t="n">
        <v>25</v>
      </c>
      <c r="O363" s="87" t="n">
        <v>0</v>
      </c>
      <c r="P363" s="87" t="n">
        <v>0</v>
      </c>
      <c r="Q363" s="87" t="n">
        <v>0</v>
      </c>
      <c r="R363" s="87" t="n">
        <v>0</v>
      </c>
      <c r="S363" s="47" t="n">
        <v>2.7</v>
      </c>
      <c r="T363" s="47" t="n">
        <v>51.4</v>
      </c>
      <c r="U363" s="47" t="n"/>
      <c r="V363" s="87" t="n">
        <v>0</v>
      </c>
      <c r="W363" s="87" t="n">
        <v>0</v>
      </c>
      <c r="Y363" t="inlineStr">
        <is>
          <t>Dec</t>
        </is>
      </c>
      <c r="Z363" s="87" t="n">
        <v>2024</v>
      </c>
      <c r="AA363" s="47">
        <f>IF(F363="",0,F363)</f>
        <v/>
      </c>
      <c r="AB363" s="87">
        <f>IF(AA363&gt;=0.1,1,0)</f>
        <v/>
      </c>
      <c r="AC363" s="87" t="n">
        <v>1</v>
      </c>
      <c r="AD363" s="47">
        <f>IF(U363="",0,U363)</f>
        <v/>
      </c>
      <c r="AE363" s="87">
        <f>IF(OR(V363=1,W363=1),1,0)</f>
        <v/>
      </c>
      <c r="AF363" s="87" t="n">
        <v>0</v>
      </c>
      <c r="AG363" t="n">
        <v>3017</v>
      </c>
      <c r="AH363" t="n">
        <v>65303</v>
      </c>
      <c r="AI363" t="n">
        <v>0</v>
      </c>
      <c r="AJ363" s="88">
        <f>IF(OR(AG363&lt;=0,AH363&lt;=0),"",LN(AG363)-LN(AH363))</f>
        <v/>
      </c>
      <c r="AK363" t="n">
        <v>9127</v>
      </c>
      <c r="AL363" t="n">
        <v>59193</v>
      </c>
      <c r="AM363" s="88">
        <f>IF(OR(AK363&lt;=0,AL363&lt;=0),"",LN(AK363)-LN(AL363))</f>
        <v/>
      </c>
      <c r="AN363" t="n">
        <v>2953</v>
      </c>
      <c r="AO363" t="n">
        <v>63115</v>
      </c>
      <c r="AP363" s="88">
        <f>IF(OR(AN363&lt;=0,AO363&lt;=0),"",LN(AN363)-LN(AO363))</f>
        <v/>
      </c>
      <c r="AQ363" t="n">
        <v>2951</v>
      </c>
      <c r="AR363" t="n">
        <v>65303</v>
      </c>
      <c r="AS363" s="88">
        <f>IF(OR(AQ363&lt;=0,AR363&lt;=0),"",LN(AQ363)-LN(AR363))</f>
        <v/>
      </c>
      <c r="AT363" t="n">
        <v>3902</v>
      </c>
      <c r="AU363" t="n">
        <v>64073</v>
      </c>
      <c r="AV363" t="n">
        <v>357</v>
      </c>
      <c r="AW363" t="n">
        <v>243</v>
      </c>
      <c r="AX363" t="n">
        <v>2763</v>
      </c>
      <c r="AY363" s="88">
        <f>IF(OR(AT363&lt;=0,AU363&lt;=0),"",LN(AT363)-LN(AU363))</f>
        <v/>
      </c>
      <c r="AZ363" s="46" t="n">
        <v>7.3</v>
      </c>
      <c r="BA363" s="46" t="n">
        <v>9.289999999999999</v>
      </c>
      <c r="BB363" s="47" t="n">
        <v>2.3</v>
      </c>
    </row>
    <row r="364">
      <c r="A364" s="48" t="n">
        <v>45654</v>
      </c>
      <c r="B364" s="49" t="n">
        <v>45723</v>
      </c>
      <c r="C364" s="50" t="n">
        <v>13.44</v>
      </c>
      <c r="D364" s="51" t="inlineStr">
        <is>
          <t>Good</t>
        </is>
      </c>
      <c r="E364" s="52" t="n">
        <v>-3</v>
      </c>
      <c r="F364" s="52" t="n"/>
      <c r="G364" s="51" t="inlineStr">
        <is>
          <t>Sat</t>
        </is>
      </c>
      <c r="H364" s="51" t="inlineStr">
        <is>
          <t>Weekend</t>
        </is>
      </c>
      <c r="I364" s="51" t="inlineStr">
        <is>
          <t>Winter</t>
        </is>
      </c>
      <c r="J364" s="51" t="n">
        <v>25</v>
      </c>
      <c r="K364" s="51" t="inlineStr">
        <is>
          <t>강수량 공란</t>
        </is>
      </c>
      <c r="L364" s="46" t="n">
        <v>29.16</v>
      </c>
      <c r="M364" t="inlineStr">
        <is>
          <t>Good</t>
        </is>
      </c>
      <c r="N364" s="87" t="n">
        <v>25</v>
      </c>
      <c r="O364" s="87" t="n">
        <v>0</v>
      </c>
      <c r="P364" s="87" t="n">
        <v>0</v>
      </c>
      <c r="Q364" s="87" t="n">
        <v>0</v>
      </c>
      <c r="R364" s="87" t="n">
        <v>0</v>
      </c>
      <c r="S364" s="47" t="n">
        <v>2.5</v>
      </c>
      <c r="T364" s="47" t="n">
        <v>48.3</v>
      </c>
      <c r="U364" s="47" t="n"/>
      <c r="V364" s="87" t="n">
        <v>1</v>
      </c>
      <c r="W364" s="87" t="n">
        <v>0</v>
      </c>
      <c r="Y364" t="inlineStr">
        <is>
          <t>Dec</t>
        </is>
      </c>
      <c r="Z364" s="87" t="n">
        <v>2024</v>
      </c>
      <c r="AA364" s="47">
        <f>IF(F364="",0,F364)</f>
        <v/>
      </c>
      <c r="AB364" s="87">
        <f>IF(AA364&gt;=0.1,1,0)</f>
        <v/>
      </c>
      <c r="AC364" s="87" t="n">
        <v>0</v>
      </c>
      <c r="AD364" s="47">
        <f>IF(U364="",0,U364)</f>
        <v/>
      </c>
      <c r="AE364" s="87">
        <f>IF(OR(V364=1,W364=1),1,0)</f>
        <v/>
      </c>
      <c r="AF364" s="87" t="n">
        <v>0</v>
      </c>
      <c r="AG364" t="n">
        <v>2141</v>
      </c>
      <c r="AH364" t="n">
        <v>43582</v>
      </c>
      <c r="AI364" t="n">
        <v>0</v>
      </c>
      <c r="AJ364" s="88">
        <f>IF(OR(AG364&lt;=0,AH364&lt;=0),"",LN(AG364)-LN(AH364))</f>
        <v/>
      </c>
      <c r="AK364" t="n">
        <v>6116</v>
      </c>
      <c r="AL364" t="n">
        <v>39607</v>
      </c>
      <c r="AM364" s="88">
        <f>IF(OR(AK364&lt;=0,AL364&lt;=0),"",LN(AK364)-LN(AL364))</f>
        <v/>
      </c>
      <c r="AN364" t="n">
        <v>2088</v>
      </c>
      <c r="AO364" t="n">
        <v>42032</v>
      </c>
      <c r="AP364" s="88">
        <f>IF(OR(AN364&lt;=0,AO364&lt;=0),"",LN(AN364)-LN(AO364))</f>
        <v/>
      </c>
      <c r="AQ364" t="n">
        <v>2086</v>
      </c>
      <c r="AR364" t="n">
        <v>43582</v>
      </c>
      <c r="AS364" s="88">
        <f>IF(OR(AQ364&lt;=0,AR364&lt;=0),"",LN(AQ364)-LN(AR364))</f>
        <v/>
      </c>
      <c r="AT364" t="n">
        <v>3261</v>
      </c>
      <c r="AU364" t="n">
        <v>42217</v>
      </c>
      <c r="AV364" t="n">
        <v>251</v>
      </c>
      <c r="AW364" t="n">
        <v>184</v>
      </c>
      <c r="AX364" t="n">
        <v>1942</v>
      </c>
      <c r="AY364" s="88">
        <f>IF(OR(AT364&lt;=0,AU364&lt;=0),"",LN(AT364)-LN(AU364))</f>
        <v/>
      </c>
      <c r="AZ364" s="46" t="n">
        <v>8.300000000000001</v>
      </c>
      <c r="BA364" s="46" t="n">
        <v>11.01</v>
      </c>
      <c r="BB364" s="47" t="n">
        <v>1.1</v>
      </c>
    </row>
    <row r="365">
      <c r="A365" s="48" t="n">
        <v>45655</v>
      </c>
      <c r="B365" s="49" t="n">
        <v>43608</v>
      </c>
      <c r="C365" s="50" t="n">
        <v>14.48</v>
      </c>
      <c r="D365" s="51" t="inlineStr">
        <is>
          <t>Good</t>
        </is>
      </c>
      <c r="E365" s="52" t="n">
        <v>1.1</v>
      </c>
      <c r="F365" s="52" t="n"/>
      <c r="G365" s="51" t="inlineStr">
        <is>
          <t>Sun</t>
        </is>
      </c>
      <c r="H365" s="51" t="inlineStr">
        <is>
          <t>Weekend</t>
        </is>
      </c>
      <c r="I365" s="51" t="inlineStr">
        <is>
          <t>Winter</t>
        </is>
      </c>
      <c r="J365" s="51" t="n">
        <v>25</v>
      </c>
      <c r="K365" s="51" t="inlineStr">
        <is>
          <t>강수량 공란</t>
        </is>
      </c>
      <c r="L365" s="46" t="n">
        <v>24.8</v>
      </c>
      <c r="M365" t="inlineStr">
        <is>
          <t>Good</t>
        </is>
      </c>
      <c r="N365" s="87" t="n">
        <v>25</v>
      </c>
      <c r="O365" s="87" t="n">
        <v>0</v>
      </c>
      <c r="P365" s="87" t="n">
        <v>0</v>
      </c>
      <c r="Q365" s="87" t="n">
        <v>0</v>
      </c>
      <c r="R365" s="87" t="n">
        <v>0</v>
      </c>
      <c r="S365" s="47" t="n">
        <v>1.5</v>
      </c>
      <c r="T365" s="47" t="n">
        <v>56.1</v>
      </c>
      <c r="U365" s="47" t="n"/>
      <c r="V365" s="87" t="n">
        <v>1</v>
      </c>
      <c r="W365" s="87" t="n">
        <v>0</v>
      </c>
      <c r="Y365" t="inlineStr">
        <is>
          <t>Dec</t>
        </is>
      </c>
      <c r="Z365" s="87" t="n">
        <v>2024</v>
      </c>
      <c r="AA365" s="47">
        <f>IF(F365="",0,F365)</f>
        <v/>
      </c>
      <c r="AB365" s="87">
        <f>IF(AA365&gt;=0.1,1,0)</f>
        <v/>
      </c>
      <c r="AC365" s="87" t="n">
        <v>0</v>
      </c>
      <c r="AD365" s="47">
        <f>IF(U365="",0,U365)</f>
        <v/>
      </c>
      <c r="AE365" s="87">
        <f>IF(OR(V365=1,W365=1),1,0)</f>
        <v/>
      </c>
      <c r="AF365" s="87" t="n">
        <v>0</v>
      </c>
      <c r="AG365" t="n">
        <v>2327</v>
      </c>
      <c r="AH365" t="n">
        <v>41281</v>
      </c>
      <c r="AI365" t="n">
        <v>0</v>
      </c>
      <c r="AJ365" s="88">
        <f>IF(OR(AG365&lt;=0,AH365&lt;=0),"",LN(AG365)-LN(AH365))</f>
        <v/>
      </c>
      <c r="AK365" t="n">
        <v>6176</v>
      </c>
      <c r="AL365" t="n">
        <v>37432</v>
      </c>
      <c r="AM365" s="88">
        <f>IF(OR(AK365&lt;=0,AL365&lt;=0),"",LN(AK365)-LN(AL365))</f>
        <v/>
      </c>
      <c r="AN365" t="n">
        <v>2261</v>
      </c>
      <c r="AO365" t="n">
        <v>39929</v>
      </c>
      <c r="AP365" s="88">
        <f>IF(OR(AN365&lt;=0,AO365&lt;=0),"",LN(AN365)-LN(AO365))</f>
        <v/>
      </c>
      <c r="AQ365" t="n">
        <v>2271</v>
      </c>
      <c r="AR365" t="n">
        <v>41281</v>
      </c>
      <c r="AS365" s="88">
        <f>IF(OR(AQ365&lt;=0,AR365&lt;=0),"",LN(AQ365)-LN(AR365))</f>
        <v/>
      </c>
      <c r="AT365" t="n">
        <v>3434</v>
      </c>
      <c r="AU365" t="n">
        <v>39986</v>
      </c>
      <c r="AV365" t="n">
        <v>192</v>
      </c>
      <c r="AW365" t="n">
        <v>287</v>
      </c>
      <c r="AX365" t="n">
        <v>2033</v>
      </c>
      <c r="AY365" s="88">
        <f>IF(OR(AT365&lt;=0,AU365&lt;=0),"",LN(AT365)-LN(AU365))</f>
        <v/>
      </c>
      <c r="AZ365" s="46" t="n">
        <v>6.5</v>
      </c>
      <c r="BA365" s="46" t="n">
        <v>9.49</v>
      </c>
      <c r="BB365" s="47" t="n">
        <v>5.1</v>
      </c>
    </row>
    <row r="366">
      <c r="A366" s="48" t="n">
        <v>45656</v>
      </c>
      <c r="B366" s="49" t="n">
        <v>79477</v>
      </c>
      <c r="C366" s="50" t="n">
        <v>32.36</v>
      </c>
      <c r="D366" s="51" t="inlineStr">
        <is>
          <t>Moderate</t>
        </is>
      </c>
      <c r="E366" s="52" t="n">
        <v>5.5</v>
      </c>
      <c r="F366" s="52" t="n">
        <v>0</v>
      </c>
      <c r="G366" s="51" t="inlineStr">
        <is>
          <t>Mon</t>
        </is>
      </c>
      <c r="H366" s="51" t="inlineStr">
        <is>
          <t>Weekday</t>
        </is>
      </c>
      <c r="I366" s="51" t="inlineStr">
        <is>
          <t>Winter</t>
        </is>
      </c>
      <c r="J366" s="51" t="n">
        <v>25</v>
      </c>
      <c r="K366" s="51" t="inlineStr">
        <is>
          <t>OK</t>
        </is>
      </c>
      <c r="L366" s="46" t="n">
        <v>54.52</v>
      </c>
      <c r="M366" t="inlineStr">
        <is>
          <t>Moderate</t>
        </is>
      </c>
      <c r="N366" s="87" t="n">
        <v>25</v>
      </c>
      <c r="O366" s="87" t="n">
        <v>0</v>
      </c>
      <c r="P366" s="87" t="n">
        <v>0</v>
      </c>
      <c r="Q366" s="87" t="n">
        <v>0</v>
      </c>
      <c r="R366" s="87" t="n">
        <v>0</v>
      </c>
      <c r="S366" s="47" t="n">
        <v>2.3</v>
      </c>
      <c r="T366" s="47" t="n">
        <v>68.5</v>
      </c>
      <c r="U366" s="47" t="n"/>
      <c r="V366" s="87" t="n">
        <v>0</v>
      </c>
      <c r="W366" s="87" t="n">
        <v>0</v>
      </c>
      <c r="Y366" t="inlineStr">
        <is>
          <t>Dec</t>
        </is>
      </c>
      <c r="Z366" s="87" t="n">
        <v>2024</v>
      </c>
      <c r="AA366" s="47">
        <f>IF(F366="",0,F366)</f>
        <v/>
      </c>
      <c r="AB366" s="87">
        <f>IF(AA366&gt;=0.1,1,0)</f>
        <v/>
      </c>
      <c r="AC366" s="87" t="n">
        <v>1</v>
      </c>
      <c r="AD366" s="47">
        <f>IF(U366="",0,U366)</f>
        <v/>
      </c>
      <c r="AE366" s="87">
        <f>IF(OR(V366=1,W366=1),1,0)</f>
        <v/>
      </c>
      <c r="AF366" s="87" t="n">
        <v>0</v>
      </c>
      <c r="AG366" t="n">
        <v>3774</v>
      </c>
      <c r="AH366" t="n">
        <v>75703</v>
      </c>
      <c r="AI366" t="n">
        <v>0</v>
      </c>
      <c r="AJ366" s="88">
        <f>IF(OR(AG366&lt;=0,AH366&lt;=0),"",LN(AG366)-LN(AH366))</f>
        <v/>
      </c>
      <c r="AK366" t="n">
        <v>11038</v>
      </c>
      <c r="AL366" t="n">
        <v>68439</v>
      </c>
      <c r="AM366" s="88">
        <f>IF(OR(AK366&lt;=0,AL366&lt;=0),"",LN(AK366)-LN(AL366))</f>
        <v/>
      </c>
      <c r="AN366" t="n">
        <v>3687</v>
      </c>
      <c r="AO366" t="n">
        <v>73111</v>
      </c>
      <c r="AP366" s="88">
        <f>IF(OR(AN366&lt;=0,AO366&lt;=0),"",LN(AN366)-LN(AO366))</f>
        <v/>
      </c>
      <c r="AQ366" t="n">
        <v>3710</v>
      </c>
      <c r="AR366" t="n">
        <v>75703</v>
      </c>
      <c r="AS366" s="88">
        <f>IF(OR(AQ366&lt;=0,AR366&lt;=0),"",LN(AQ366)-LN(AR366))</f>
        <v/>
      </c>
      <c r="AT366" t="n">
        <v>4712</v>
      </c>
      <c r="AU366" t="n">
        <v>74387</v>
      </c>
      <c r="AV366" t="n">
        <v>380</v>
      </c>
      <c r="AW366" t="n">
        <v>329</v>
      </c>
      <c r="AX366" t="n">
        <v>3428</v>
      </c>
      <c r="AY366" s="88">
        <f>IF(OR(AT366&lt;=0,AU366&lt;=0),"",LN(AT366)-LN(AU366))</f>
        <v/>
      </c>
      <c r="AZ366" s="46" t="n">
        <v>2.6</v>
      </c>
      <c r="BA366" s="46" t="n">
        <v>6.29</v>
      </c>
      <c r="BB366" s="47" t="n">
        <v>7.4</v>
      </c>
    </row>
    <row r="367">
      <c r="A367" s="48" t="n">
        <v>45657</v>
      </c>
      <c r="B367" s="49" t="n">
        <v>72939</v>
      </c>
      <c r="C367" s="50" t="n">
        <v>18.36</v>
      </c>
      <c r="D367" s="51" t="inlineStr">
        <is>
          <t>Moderate</t>
        </is>
      </c>
      <c r="E367" s="52" t="n">
        <v>0.6</v>
      </c>
      <c r="F367" s="52" t="n">
        <v>0</v>
      </c>
      <c r="G367" s="51" t="inlineStr">
        <is>
          <t>Tue</t>
        </is>
      </c>
      <c r="H367" s="51" t="inlineStr">
        <is>
          <t>Weekday</t>
        </is>
      </c>
      <c r="I367" s="51" t="inlineStr">
        <is>
          <t>Winter</t>
        </is>
      </c>
      <c r="J367" s="51" t="n">
        <v>25</v>
      </c>
      <c r="K367" s="51" t="inlineStr">
        <is>
          <t>OK</t>
        </is>
      </c>
      <c r="L367" s="46" t="n">
        <v>51.36</v>
      </c>
      <c r="M367" t="inlineStr">
        <is>
          <t>Moderate</t>
        </is>
      </c>
      <c r="N367" s="87" t="n">
        <v>25</v>
      </c>
      <c r="O367" s="87" t="n">
        <v>0</v>
      </c>
      <c r="P367" s="87" t="n">
        <v>0</v>
      </c>
      <c r="Q367" s="87" t="n">
        <v>0</v>
      </c>
      <c r="R367" s="87" t="n">
        <v>0</v>
      </c>
      <c r="S367" s="47" t="n">
        <v>2.6</v>
      </c>
      <c r="T367" s="47" t="n">
        <v>45.8</v>
      </c>
      <c r="U367" s="47" t="n"/>
      <c r="V367" s="87" t="n">
        <v>0</v>
      </c>
      <c r="W367" s="87" t="n">
        <v>0</v>
      </c>
      <c r="Y367" t="inlineStr">
        <is>
          <t>Dec</t>
        </is>
      </c>
      <c r="Z367" s="87" t="n">
        <v>2024</v>
      </c>
      <c r="AA367" s="47">
        <f>IF(F367="",0,F367)</f>
        <v/>
      </c>
      <c r="AB367" s="87">
        <f>IF(AA367&gt;=0.1,1,0)</f>
        <v/>
      </c>
      <c r="AC367" s="87" t="n">
        <v>1</v>
      </c>
      <c r="AD367" s="47">
        <f>IF(U367="",0,U367)</f>
        <v/>
      </c>
      <c r="AE367" s="87">
        <f>IF(OR(V367=1,W367=1),1,0)</f>
        <v/>
      </c>
      <c r="AF367" s="87" t="n">
        <v>0</v>
      </c>
      <c r="AG367" t="n">
        <v>3398</v>
      </c>
      <c r="AH367" t="n">
        <v>69541</v>
      </c>
      <c r="AI367" t="n">
        <v>0</v>
      </c>
      <c r="AJ367" s="88">
        <f>IF(OR(AG367&lt;=0,AH367&lt;=0),"",LN(AG367)-LN(AH367))</f>
        <v/>
      </c>
      <c r="AK367" t="n">
        <v>9991</v>
      </c>
      <c r="AL367" t="n">
        <v>62948</v>
      </c>
      <c r="AM367" s="88">
        <f>IF(OR(AK367&lt;=0,AL367&lt;=0),"",LN(AK367)-LN(AL367))</f>
        <v/>
      </c>
      <c r="AN367" t="n">
        <v>3330</v>
      </c>
      <c r="AO367" t="n">
        <v>67183</v>
      </c>
      <c r="AP367" s="88">
        <f>IF(OR(AN367&lt;=0,AO367&lt;=0),"",LN(AN367)-LN(AO367))</f>
        <v/>
      </c>
      <c r="AQ367" t="n">
        <v>3323</v>
      </c>
      <c r="AR367" t="n">
        <v>69541</v>
      </c>
      <c r="AS367" s="88">
        <f>IF(OR(AQ367&lt;=0,AR367&lt;=0),"",LN(AQ367)-LN(AR367))</f>
        <v/>
      </c>
      <c r="AT367" t="n">
        <v>4595</v>
      </c>
      <c r="AU367" t="n">
        <v>67941</v>
      </c>
      <c r="AV367" t="n">
        <v>406</v>
      </c>
      <c r="AW367" t="n">
        <v>306</v>
      </c>
      <c r="AX367" t="n">
        <v>3069</v>
      </c>
      <c r="AY367" s="88">
        <f>IF(OR(AT367&lt;=0,AU367&lt;=0),"",LN(AT367)-LN(AU367))</f>
        <v/>
      </c>
      <c r="AZ367" s="46" t="n">
        <v>9</v>
      </c>
      <c r="BA367" s="46" t="n">
        <v>11.57</v>
      </c>
      <c r="BB367" s="47" t="n">
        <v>0</v>
      </c>
    </row>
    <row r="368">
      <c r="A368" s="48" t="n">
        <v>45658</v>
      </c>
      <c r="B368" s="49" t="n">
        <v>48639</v>
      </c>
      <c r="C368" s="50" t="n">
        <v>20.92</v>
      </c>
      <c r="D368" s="51" t="inlineStr">
        <is>
          <t>Moderate</t>
        </is>
      </c>
      <c r="E368" s="52" t="n">
        <v>2.6</v>
      </c>
      <c r="F368" s="52" t="n"/>
      <c r="G368" s="51" t="inlineStr">
        <is>
          <t>Wed</t>
        </is>
      </c>
      <c r="H368" s="51" t="inlineStr">
        <is>
          <t>Weekday</t>
        </is>
      </c>
      <c r="I368" s="51" t="inlineStr">
        <is>
          <t>Winter</t>
        </is>
      </c>
      <c r="J368" s="51" t="n">
        <v>25</v>
      </c>
      <c r="K368" s="51" t="inlineStr">
        <is>
          <t>강수량 공란</t>
        </is>
      </c>
      <c r="L368" s="46" t="n">
        <v>40.76</v>
      </c>
      <c r="M368" t="inlineStr">
        <is>
          <t>Moderate</t>
        </is>
      </c>
      <c r="N368" s="87" t="n">
        <v>25</v>
      </c>
      <c r="O368" s="87" t="n">
        <v>0</v>
      </c>
      <c r="P368" s="87" t="n">
        <v>0</v>
      </c>
      <c r="Q368" s="87" t="n">
        <v>0</v>
      </c>
      <c r="R368" s="87" t="n">
        <v>0</v>
      </c>
      <c r="S368" s="47" t="n">
        <v>2.2</v>
      </c>
      <c r="T368" s="47" t="n">
        <v>64.3</v>
      </c>
      <c r="U368" s="47" t="n"/>
      <c r="V368" s="87" t="n">
        <v>0</v>
      </c>
      <c r="W368" s="87" t="n">
        <v>1</v>
      </c>
      <c r="X368" t="inlineStr">
        <is>
          <t>신정</t>
        </is>
      </c>
      <c r="Y368" t="inlineStr">
        <is>
          <t>Jan</t>
        </is>
      </c>
      <c r="Z368" s="87" t="n">
        <v>2025</v>
      </c>
      <c r="AA368" s="47">
        <f>IF(F368="",0,F368)</f>
        <v/>
      </c>
      <c r="AB368" s="87">
        <f>IF(AA368&gt;=0.1,1,0)</f>
        <v/>
      </c>
      <c r="AC368" s="87" t="n">
        <v>0</v>
      </c>
      <c r="AD368" s="47">
        <f>IF(U368="",0,U368)</f>
        <v/>
      </c>
      <c r="AE368" s="87">
        <f>IF(OR(V368=1,W368=1),1,0)</f>
        <v/>
      </c>
      <c r="AF368" s="87" t="n">
        <v>0</v>
      </c>
      <c r="AG368" t="n">
        <v>3026</v>
      </c>
      <c r="AH368" t="n">
        <v>45613</v>
      </c>
      <c r="AI368" t="n">
        <v>0</v>
      </c>
      <c r="AJ368" s="88">
        <f>IF(OR(AG368&lt;=0,AH368&lt;=0),"",LN(AG368)-LN(AH368))</f>
        <v/>
      </c>
      <c r="AK368" t="n">
        <v>7507</v>
      </c>
      <c r="AL368" t="n">
        <v>41132</v>
      </c>
      <c r="AM368" s="88">
        <f>IF(OR(AK368&lt;=0,AL368&lt;=0),"",LN(AK368)-LN(AL368))</f>
        <v/>
      </c>
      <c r="AN368" t="n">
        <v>2951</v>
      </c>
      <c r="AO368" t="n">
        <v>44056</v>
      </c>
      <c r="AP368" s="88">
        <f>IF(OR(AN368&lt;=0,AO368&lt;=0),"",LN(AN368)-LN(AO368))</f>
        <v/>
      </c>
      <c r="AQ368" t="n">
        <v>2931</v>
      </c>
      <c r="AR368" t="n">
        <v>45613</v>
      </c>
      <c r="AS368" s="88">
        <f>IF(OR(AQ368&lt;=0,AR368&lt;=0),"",LN(AQ368)-LN(AR368))</f>
        <v/>
      </c>
      <c r="AT368" t="n">
        <v>4194</v>
      </c>
      <c r="AU368" t="n">
        <v>44209</v>
      </c>
      <c r="AV368" t="n">
        <v>238</v>
      </c>
      <c r="AW368" t="n">
        <v>401</v>
      </c>
      <c r="AX368" t="n">
        <v>2606</v>
      </c>
      <c r="AY368" s="88">
        <f>IF(OR(AT368&lt;=0,AU368&lt;=0),"",LN(AT368)-LN(AU368))</f>
        <v/>
      </c>
      <c r="AZ368" s="46" t="n">
        <v>5.6</v>
      </c>
      <c r="BA368" s="46" t="n">
        <v>8.550000000000001</v>
      </c>
      <c r="BB368" s="47" t="n">
        <v>2.6</v>
      </c>
    </row>
    <row r="369">
      <c r="A369" s="48" t="n">
        <v>45659</v>
      </c>
      <c r="B369" s="49" t="n">
        <v>77709</v>
      </c>
      <c r="C369" s="50" t="n">
        <v>18.6</v>
      </c>
      <c r="D369" s="51" t="inlineStr">
        <is>
          <t>Moderate</t>
        </is>
      </c>
      <c r="E369" s="52" t="n">
        <v>0.5</v>
      </c>
      <c r="F369" s="52" t="n"/>
      <c r="G369" s="51" t="inlineStr">
        <is>
          <t>Thu</t>
        </is>
      </c>
      <c r="H369" s="51" t="inlineStr">
        <is>
          <t>Weekday</t>
        </is>
      </c>
      <c r="I369" s="51" t="inlineStr">
        <is>
          <t>Winter</t>
        </is>
      </c>
      <c r="J369" s="51" t="n">
        <v>25</v>
      </c>
      <c r="K369" s="51" t="inlineStr">
        <is>
          <t>강수량 공란</t>
        </is>
      </c>
      <c r="L369" s="46" t="n">
        <v>34.24</v>
      </c>
      <c r="M369" t="inlineStr">
        <is>
          <t>Moderate</t>
        </is>
      </c>
      <c r="N369" s="87" t="n">
        <v>25</v>
      </c>
      <c r="O369" s="87" t="n">
        <v>0</v>
      </c>
      <c r="P369" s="87" t="n">
        <v>0</v>
      </c>
      <c r="Q369" s="87" t="n">
        <v>0</v>
      </c>
      <c r="R369" s="87" t="n">
        <v>0</v>
      </c>
      <c r="S369" s="47" t="n">
        <v>2.1</v>
      </c>
      <c r="T369" s="47" t="n">
        <v>48.8</v>
      </c>
      <c r="U369" s="47" t="n"/>
      <c r="V369" s="87" t="n">
        <v>0</v>
      </c>
      <c r="W369" s="87" t="n">
        <v>0</v>
      </c>
      <c r="Y369" t="inlineStr">
        <is>
          <t>Jan</t>
        </is>
      </c>
      <c r="Z369" s="87" t="n">
        <v>2025</v>
      </c>
      <c r="AA369" s="47">
        <f>IF(F369="",0,F369)</f>
        <v/>
      </c>
      <c r="AB369" s="87">
        <f>IF(AA369&gt;=0.1,1,0)</f>
        <v/>
      </c>
      <c r="AC369" s="87" t="n">
        <v>0</v>
      </c>
      <c r="AD369" s="47">
        <f>IF(U369="",0,U369)</f>
        <v/>
      </c>
      <c r="AE369" s="87">
        <f>IF(OR(V369=1,W369=1),1,0)</f>
        <v/>
      </c>
      <c r="AF369" s="87" t="n">
        <v>0</v>
      </c>
      <c r="AG369" t="n">
        <v>3714</v>
      </c>
      <c r="AH369" t="n">
        <v>73995</v>
      </c>
      <c r="AI369" t="n">
        <v>0</v>
      </c>
      <c r="AJ369" s="88">
        <f>IF(OR(AG369&lt;=0,AH369&lt;=0),"",LN(AG369)-LN(AH369))</f>
        <v/>
      </c>
      <c r="AK369" t="n">
        <v>10981</v>
      </c>
      <c r="AL369" t="n">
        <v>66728</v>
      </c>
      <c r="AM369" s="88">
        <f>IF(OR(AK369&lt;=0,AL369&lt;=0),"",LN(AK369)-LN(AL369))</f>
        <v/>
      </c>
      <c r="AN369" t="n">
        <v>3632</v>
      </c>
      <c r="AO369" t="n">
        <v>71559</v>
      </c>
      <c r="AP369" s="88">
        <f>IF(OR(AN369&lt;=0,AO369&lt;=0),"",LN(AN369)-LN(AO369))</f>
        <v/>
      </c>
      <c r="AQ369" t="n">
        <v>3627</v>
      </c>
      <c r="AR369" t="n">
        <v>73995</v>
      </c>
      <c r="AS369" s="88">
        <f>IF(OR(AQ369&lt;=0,AR369&lt;=0),"",LN(AQ369)-LN(AR369))</f>
        <v/>
      </c>
      <c r="AT369" t="n">
        <v>4471</v>
      </c>
      <c r="AU369" t="n">
        <v>72874</v>
      </c>
      <c r="AV369" t="n">
        <v>363</v>
      </c>
      <c r="AW369" t="n">
        <v>269</v>
      </c>
      <c r="AX369" t="n">
        <v>3422</v>
      </c>
      <c r="AY369" s="88">
        <f>IF(OR(AT369&lt;=0,AU369&lt;=0),"",LN(AT369)-LN(AU369))</f>
        <v/>
      </c>
      <c r="AZ369" s="46" t="n">
        <v>9</v>
      </c>
      <c r="BA369" s="46" t="n">
        <v>11.03</v>
      </c>
      <c r="BB369" s="47" t="n">
        <v>0.8</v>
      </c>
    </row>
    <row r="370">
      <c r="A370" s="48" t="n">
        <v>45660</v>
      </c>
      <c r="B370" s="49" t="n">
        <v>77046</v>
      </c>
      <c r="C370" s="50" t="n">
        <v>13.4</v>
      </c>
      <c r="D370" s="51" t="inlineStr">
        <is>
          <t>Good</t>
        </is>
      </c>
      <c r="E370" s="52" t="n">
        <v>-1.1</v>
      </c>
      <c r="F370" s="52" t="n">
        <v>0</v>
      </c>
      <c r="G370" s="51" t="inlineStr">
        <is>
          <t>Fri</t>
        </is>
      </c>
      <c r="H370" s="51" t="inlineStr">
        <is>
          <t>Weekday</t>
        </is>
      </c>
      <c r="I370" s="51" t="inlineStr">
        <is>
          <t>Winter</t>
        </is>
      </c>
      <c r="J370" s="51" t="n">
        <v>25</v>
      </c>
      <c r="K370" s="51" t="inlineStr">
        <is>
          <t>OK</t>
        </is>
      </c>
      <c r="L370" s="46" t="n">
        <v>23.2</v>
      </c>
      <c r="M370" t="inlineStr">
        <is>
          <t>Good</t>
        </is>
      </c>
      <c r="N370" s="87" t="n">
        <v>25</v>
      </c>
      <c r="O370" s="87" t="n">
        <v>0</v>
      </c>
      <c r="P370" s="87" t="n">
        <v>0</v>
      </c>
      <c r="Q370" s="87" t="n">
        <v>0</v>
      </c>
      <c r="R370" s="87" t="n">
        <v>0</v>
      </c>
      <c r="S370" s="47" t="n">
        <v>2.2</v>
      </c>
      <c r="T370" s="47" t="n">
        <v>52</v>
      </c>
      <c r="U370" s="47" t="n"/>
      <c r="V370" s="87" t="n">
        <v>0</v>
      </c>
      <c r="W370" s="87" t="n">
        <v>0</v>
      </c>
      <c r="Y370" t="inlineStr">
        <is>
          <t>Jan</t>
        </is>
      </c>
      <c r="Z370" s="87" t="n">
        <v>2025</v>
      </c>
      <c r="AA370" s="47">
        <f>IF(F370="",0,F370)</f>
        <v/>
      </c>
      <c r="AB370" s="87">
        <f>IF(AA370&gt;=0.1,1,0)</f>
        <v/>
      </c>
      <c r="AC370" s="87" t="n">
        <v>1</v>
      </c>
      <c r="AD370" s="47">
        <f>IF(U370="",0,U370)</f>
        <v/>
      </c>
      <c r="AE370" s="87">
        <f>IF(OR(V370=1,W370=1),1,0)</f>
        <v/>
      </c>
      <c r="AF370" s="87" t="n">
        <v>0</v>
      </c>
      <c r="AG370" t="n">
        <v>3492</v>
      </c>
      <c r="AH370" t="n">
        <v>73554</v>
      </c>
      <c r="AI370" t="n">
        <v>0</v>
      </c>
      <c r="AJ370" s="88">
        <f>IF(OR(AG370&lt;=0,AH370&lt;=0),"",LN(AG370)-LN(AH370))</f>
        <v/>
      </c>
      <c r="AK370" t="n">
        <v>10455</v>
      </c>
      <c r="AL370" t="n">
        <v>66591</v>
      </c>
      <c r="AM370" s="88">
        <f>IF(OR(AK370&lt;=0,AL370&lt;=0),"",LN(AK370)-LN(AL370))</f>
        <v/>
      </c>
      <c r="AN370" t="n">
        <v>3424</v>
      </c>
      <c r="AO370" t="n">
        <v>71094</v>
      </c>
      <c r="AP370" s="88">
        <f>IF(OR(AN370&lt;=0,AO370&lt;=0),"",LN(AN370)-LN(AO370))</f>
        <v/>
      </c>
      <c r="AQ370" t="n">
        <v>3422</v>
      </c>
      <c r="AR370" t="n">
        <v>73554</v>
      </c>
      <c r="AS370" s="88">
        <f>IF(OR(AQ370&lt;=0,AR370&lt;=0),"",LN(AQ370)-LN(AR370))</f>
        <v/>
      </c>
      <c r="AT370" t="n">
        <v>4381</v>
      </c>
      <c r="AU370" t="n">
        <v>72266</v>
      </c>
      <c r="AV370" t="n">
        <v>395</v>
      </c>
      <c r="AW370" t="n">
        <v>270</v>
      </c>
      <c r="AX370" t="n">
        <v>3207</v>
      </c>
      <c r="AY370" s="88">
        <f>IF(OR(AT370&lt;=0,AU370&lt;=0),"",LN(AT370)-LN(AU370))</f>
        <v/>
      </c>
      <c r="AZ370" s="46" t="n">
        <v>7.7</v>
      </c>
      <c r="BA370" s="46" t="n">
        <v>9.9</v>
      </c>
      <c r="BB370" s="47" t="n">
        <v>3.1</v>
      </c>
    </row>
    <row r="371">
      <c r="A371" s="48" t="n">
        <v>45661</v>
      </c>
      <c r="B371" s="49" t="n">
        <v>56590</v>
      </c>
      <c r="C371" s="50" t="n">
        <v>19.24</v>
      </c>
      <c r="D371" s="51" t="inlineStr">
        <is>
          <t>Moderate</t>
        </is>
      </c>
      <c r="E371" s="52" t="n">
        <v>-0.1</v>
      </c>
      <c r="F371" s="52" t="n"/>
      <c r="G371" s="51" t="inlineStr">
        <is>
          <t>Sat</t>
        </is>
      </c>
      <c r="H371" s="51" t="inlineStr">
        <is>
          <t>Weekend</t>
        </is>
      </c>
      <c r="I371" s="51" t="inlineStr">
        <is>
          <t>Winter</t>
        </is>
      </c>
      <c r="J371" s="51" t="n">
        <v>25</v>
      </c>
      <c r="K371" s="51" t="inlineStr">
        <is>
          <t>강수량 공란</t>
        </is>
      </c>
      <c r="L371" s="46" t="n">
        <v>30.64</v>
      </c>
      <c r="M371" t="inlineStr">
        <is>
          <t>Moderate</t>
        </is>
      </c>
      <c r="N371" s="87" t="n">
        <v>25</v>
      </c>
      <c r="O371" s="87" t="n">
        <v>0</v>
      </c>
      <c r="P371" s="87" t="n">
        <v>0</v>
      </c>
      <c r="Q371" s="87" t="n">
        <v>0</v>
      </c>
      <c r="R371" s="87" t="n">
        <v>0</v>
      </c>
      <c r="S371" s="47" t="n">
        <v>1.7</v>
      </c>
      <c r="T371" s="47" t="n">
        <v>49.6</v>
      </c>
      <c r="U371" s="47" t="n"/>
      <c r="V371" s="87" t="n">
        <v>1</v>
      </c>
      <c r="W371" s="87" t="n">
        <v>0</v>
      </c>
      <c r="Y371" t="inlineStr">
        <is>
          <t>Jan</t>
        </is>
      </c>
      <c r="Z371" s="87" t="n">
        <v>2025</v>
      </c>
      <c r="AA371" s="47">
        <f>IF(F371="",0,F371)</f>
        <v/>
      </c>
      <c r="AB371" s="87">
        <f>IF(AA371&gt;=0.1,1,0)</f>
        <v/>
      </c>
      <c r="AC371" s="87" t="n">
        <v>0</v>
      </c>
      <c r="AD371" s="47">
        <f>IF(U371="",0,U371)</f>
        <v/>
      </c>
      <c r="AE371" s="87">
        <f>IF(OR(V371=1,W371=1),1,0)</f>
        <v/>
      </c>
      <c r="AF371" s="87" t="n">
        <v>0</v>
      </c>
      <c r="AG371" t="n">
        <v>2837</v>
      </c>
      <c r="AH371" t="n">
        <v>53753</v>
      </c>
      <c r="AI371" t="n">
        <v>0</v>
      </c>
      <c r="AJ371" s="88">
        <f>IF(OR(AG371&lt;=0,AH371&lt;=0),"",LN(AG371)-LN(AH371))</f>
        <v/>
      </c>
      <c r="AK371" t="n">
        <v>7927</v>
      </c>
      <c r="AL371" t="n">
        <v>48663</v>
      </c>
      <c r="AM371" s="88">
        <f>IF(OR(AK371&lt;=0,AL371&lt;=0),"",LN(AK371)-LN(AL371))</f>
        <v/>
      </c>
      <c r="AN371" t="n">
        <v>2765</v>
      </c>
      <c r="AO371" t="n">
        <v>51939</v>
      </c>
      <c r="AP371" s="88">
        <f>IF(OR(AN371&lt;=0,AO371&lt;=0),"",LN(AN371)-LN(AO371))</f>
        <v/>
      </c>
      <c r="AQ371" t="n">
        <v>2783</v>
      </c>
      <c r="AR371" t="n">
        <v>53753</v>
      </c>
      <c r="AS371" s="88">
        <f>IF(OR(AQ371&lt;=0,AR371&lt;=0),"",LN(AQ371)-LN(AR371))</f>
        <v/>
      </c>
      <c r="AT371" t="n">
        <v>4172</v>
      </c>
      <c r="AU371" t="n">
        <v>52163</v>
      </c>
      <c r="AV371" t="n">
        <v>256</v>
      </c>
      <c r="AW371" t="n">
        <v>302</v>
      </c>
      <c r="AX371" t="n">
        <v>2526</v>
      </c>
      <c r="AY371" s="88">
        <f>IF(OR(AT371&lt;=0,AU371&lt;=0),"",LN(AT371)-LN(AU371))</f>
        <v/>
      </c>
      <c r="AZ371" s="46" t="n">
        <v>7.9</v>
      </c>
      <c r="BA371" s="46" t="n">
        <v>11.03</v>
      </c>
      <c r="BB371" s="47" t="n">
        <v>1.4</v>
      </c>
    </row>
    <row r="372">
      <c r="A372" s="48" t="n">
        <v>45662</v>
      </c>
      <c r="B372" s="49" t="n">
        <v>19711</v>
      </c>
      <c r="C372" s="50" t="n">
        <v>25.16</v>
      </c>
      <c r="D372" s="51" t="inlineStr">
        <is>
          <t>Moderate</t>
        </is>
      </c>
      <c r="E372" s="52" t="n">
        <v>1.2</v>
      </c>
      <c r="F372" s="52" t="n">
        <v>6.7</v>
      </c>
      <c r="G372" s="51" t="inlineStr">
        <is>
          <t>Sun</t>
        </is>
      </c>
      <c r="H372" s="51" t="inlineStr">
        <is>
          <t>Weekend</t>
        </is>
      </c>
      <c r="I372" s="51" t="inlineStr">
        <is>
          <t>Winter</t>
        </is>
      </c>
      <c r="J372" s="51" t="n">
        <v>25</v>
      </c>
      <c r="K372" s="51" t="inlineStr">
        <is>
          <t>OK</t>
        </is>
      </c>
      <c r="L372" s="46" t="n">
        <v>33.56</v>
      </c>
      <c r="M372" t="inlineStr">
        <is>
          <t>Moderate</t>
        </is>
      </c>
      <c r="N372" s="87" t="n">
        <v>25</v>
      </c>
      <c r="O372" s="87" t="n">
        <v>0</v>
      </c>
      <c r="P372" s="87" t="n">
        <v>0</v>
      </c>
      <c r="Q372" s="87" t="n">
        <v>0</v>
      </c>
      <c r="R372" s="87" t="n">
        <v>0</v>
      </c>
      <c r="S372" s="47" t="n">
        <v>2.5</v>
      </c>
      <c r="T372" s="47" t="n">
        <v>85</v>
      </c>
      <c r="U372" s="47" t="n">
        <v>6.4</v>
      </c>
      <c r="V372" s="87" t="n">
        <v>1</v>
      </c>
      <c r="W372" s="87" t="n">
        <v>0</v>
      </c>
      <c r="Y372" t="inlineStr">
        <is>
          <t>Jan</t>
        </is>
      </c>
      <c r="Z372" s="87" t="n">
        <v>2025</v>
      </c>
      <c r="AA372" s="47">
        <f>IF(F372="",0,F372)</f>
        <v/>
      </c>
      <c r="AB372" s="87">
        <f>IF(AA372&gt;=0.1,1,0)</f>
        <v/>
      </c>
      <c r="AC372" s="87" t="n">
        <v>0</v>
      </c>
      <c r="AD372" s="47">
        <f>IF(U372="",0,U372)</f>
        <v/>
      </c>
      <c r="AE372" s="87">
        <f>IF(OR(V372=1,W372=1),1,0)</f>
        <v/>
      </c>
      <c r="AF372" s="87" t="n">
        <v>0</v>
      </c>
      <c r="AG372" t="n">
        <v>835</v>
      </c>
      <c r="AH372" t="n">
        <v>18876</v>
      </c>
      <c r="AI372" t="n">
        <v>0</v>
      </c>
      <c r="AJ372" s="88">
        <f>IF(OR(AG372&lt;=0,AH372&lt;=0),"",LN(AG372)-LN(AH372))</f>
        <v/>
      </c>
      <c r="AK372" t="n">
        <v>2519</v>
      </c>
      <c r="AL372" t="n">
        <v>17192</v>
      </c>
      <c r="AM372" s="88">
        <f>IF(OR(AK372&lt;=0,AL372&lt;=0),"",LN(AK372)-LN(AL372))</f>
        <v/>
      </c>
      <c r="AN372" t="n">
        <v>824</v>
      </c>
      <c r="AO372" t="n">
        <v>18241</v>
      </c>
      <c r="AP372" s="88">
        <f>IF(OR(AN372&lt;=0,AO372&lt;=0),"",LN(AN372)-LN(AO372))</f>
        <v/>
      </c>
      <c r="AQ372" t="n">
        <v>817</v>
      </c>
      <c r="AR372" t="n">
        <v>18876</v>
      </c>
      <c r="AS372" s="88">
        <f>IF(OR(AQ372&lt;=0,AR372&lt;=0),"",LN(AQ372)-LN(AR372))</f>
        <v/>
      </c>
      <c r="AT372" t="n">
        <v>1603</v>
      </c>
      <c r="AU372" t="n">
        <v>18002</v>
      </c>
      <c r="AV372" t="n">
        <v>102</v>
      </c>
      <c r="AW372" t="n">
        <v>86</v>
      </c>
      <c r="AX372" t="n">
        <v>746</v>
      </c>
      <c r="AY372" s="88">
        <f>IF(OR(AT372&lt;=0,AU372&lt;=0),"",LN(AT372)-LN(AU372))</f>
        <v/>
      </c>
      <c r="AZ372" s="46" t="n">
        <v>0</v>
      </c>
      <c r="BA372" s="46" t="n">
        <v>1.03</v>
      </c>
      <c r="BB372" s="47" t="n">
        <v>9.4</v>
      </c>
    </row>
    <row r="373">
      <c r="A373" s="48" t="n">
        <v>45663</v>
      </c>
      <c r="B373" s="49" t="n">
        <v>62519</v>
      </c>
      <c r="C373" s="50" t="n">
        <v>42.32</v>
      </c>
      <c r="D373" s="51" t="inlineStr">
        <is>
          <t>Bad</t>
        </is>
      </c>
      <c r="E373" s="52" t="n">
        <v>1</v>
      </c>
      <c r="F373" s="52" t="n">
        <v>3</v>
      </c>
      <c r="G373" s="51" t="inlineStr">
        <is>
          <t>Mon</t>
        </is>
      </c>
      <c r="H373" s="51" t="inlineStr">
        <is>
          <t>Weekday</t>
        </is>
      </c>
      <c r="I373" s="51" t="inlineStr">
        <is>
          <t>Winter</t>
        </is>
      </c>
      <c r="J373" s="51" t="n">
        <v>25</v>
      </c>
      <c r="K373" s="51" t="inlineStr">
        <is>
          <t>OK</t>
        </is>
      </c>
      <c r="L373" s="46" t="n">
        <v>54.48</v>
      </c>
      <c r="M373" t="inlineStr">
        <is>
          <t>Moderate</t>
        </is>
      </c>
      <c r="N373" s="87" t="n">
        <v>25</v>
      </c>
      <c r="O373" s="87" t="n">
        <v>0</v>
      </c>
      <c r="P373" s="87" t="n">
        <v>0</v>
      </c>
      <c r="Q373" s="87" t="n">
        <v>0</v>
      </c>
      <c r="R373" s="87" t="n">
        <v>0</v>
      </c>
      <c r="S373" s="47" t="n">
        <v>2.8</v>
      </c>
      <c r="T373" s="47" t="n">
        <v>75.59999999999999</v>
      </c>
      <c r="U373" s="47" t="n"/>
      <c r="V373" s="87" t="n">
        <v>0</v>
      </c>
      <c r="W373" s="87" t="n">
        <v>0</v>
      </c>
      <c r="Y373" t="inlineStr">
        <is>
          <t>Jan</t>
        </is>
      </c>
      <c r="Z373" s="87" t="n">
        <v>2025</v>
      </c>
      <c r="AA373" s="47">
        <f>IF(F373="",0,F373)</f>
        <v/>
      </c>
      <c r="AB373" s="87">
        <f>IF(AA373&gt;=0.1,1,0)</f>
        <v/>
      </c>
      <c r="AC373" s="87" t="n">
        <v>0</v>
      </c>
      <c r="AD373" s="47">
        <f>IF(U373="",0,U373)</f>
        <v/>
      </c>
      <c r="AE373" s="87">
        <f>IF(OR(V373=1,W373=1),1,0)</f>
        <v/>
      </c>
      <c r="AF373" s="87" t="n">
        <v>0</v>
      </c>
      <c r="AG373" t="n">
        <v>2782</v>
      </c>
      <c r="AH373" t="n">
        <v>59737</v>
      </c>
      <c r="AI373" t="n">
        <v>0</v>
      </c>
      <c r="AJ373" s="88">
        <f>IF(OR(AG373&lt;=0,AH373&lt;=0),"",LN(AG373)-LN(AH373))</f>
        <v/>
      </c>
      <c r="AK373" t="n">
        <v>8427</v>
      </c>
      <c r="AL373" t="n">
        <v>54092</v>
      </c>
      <c r="AM373" s="88">
        <f>IF(OR(AK373&lt;=0,AL373&lt;=0),"",LN(AK373)-LN(AL373))</f>
        <v/>
      </c>
      <c r="AN373" t="n">
        <v>2728</v>
      </c>
      <c r="AO373" t="n">
        <v>57685</v>
      </c>
      <c r="AP373" s="88">
        <f>IF(OR(AN373&lt;=0,AO373&lt;=0),"",LN(AN373)-LN(AO373))</f>
        <v/>
      </c>
      <c r="AQ373" t="n">
        <v>2721</v>
      </c>
      <c r="AR373" t="n">
        <v>59737</v>
      </c>
      <c r="AS373" s="88">
        <f>IF(OR(AQ373&lt;=0,AR373&lt;=0),"",LN(AQ373)-LN(AR373))</f>
        <v/>
      </c>
      <c r="AT373" t="n">
        <v>3645</v>
      </c>
      <c r="AU373" t="n">
        <v>58535</v>
      </c>
      <c r="AV373" t="n">
        <v>340</v>
      </c>
      <c r="AW373" t="n">
        <v>202</v>
      </c>
      <c r="AX373" t="n">
        <v>2564</v>
      </c>
      <c r="AY373" s="88">
        <f>IF(OR(AT373&lt;=0,AU373&lt;=0),"",LN(AT373)-LN(AU373))</f>
        <v/>
      </c>
      <c r="AZ373" s="46" t="n">
        <v>2.3</v>
      </c>
      <c r="BA373" s="46" t="n">
        <v>6.09</v>
      </c>
      <c r="BB373" s="47" t="n">
        <v>6.3</v>
      </c>
    </row>
    <row r="374">
      <c r="A374" s="48" t="n">
        <v>45664</v>
      </c>
      <c r="B374" s="49" t="n">
        <v>68396</v>
      </c>
      <c r="C374" s="50" t="n">
        <v>13.6</v>
      </c>
      <c r="D374" s="51" t="inlineStr">
        <is>
          <t>Good</t>
        </is>
      </c>
      <c r="E374" s="52" t="n">
        <v>-2.6</v>
      </c>
      <c r="F374" s="52" t="n">
        <v>0.1</v>
      </c>
      <c r="G374" s="51" t="inlineStr">
        <is>
          <t>Tue</t>
        </is>
      </c>
      <c r="H374" s="51" t="inlineStr">
        <is>
          <t>Weekday</t>
        </is>
      </c>
      <c r="I374" s="51" t="inlineStr">
        <is>
          <t>Winter</t>
        </is>
      </c>
      <c r="J374" s="51" t="n">
        <v>25</v>
      </c>
      <c r="K374" s="51" t="inlineStr">
        <is>
          <t>OK</t>
        </is>
      </c>
      <c r="L374" s="46" t="n">
        <v>26.28</v>
      </c>
      <c r="M374" t="inlineStr">
        <is>
          <t>Good</t>
        </is>
      </c>
      <c r="N374" s="87" t="n">
        <v>25</v>
      </c>
      <c r="O374" s="87" t="n">
        <v>0</v>
      </c>
      <c r="P374" s="87" t="n">
        <v>0</v>
      </c>
      <c r="Q374" s="87" t="n">
        <v>0</v>
      </c>
      <c r="R374" s="87" t="n">
        <v>0</v>
      </c>
      <c r="S374" s="47" t="n">
        <v>2.7</v>
      </c>
      <c r="T374" s="47" t="n">
        <v>53.5</v>
      </c>
      <c r="U374" s="47" t="n">
        <v>0.4</v>
      </c>
      <c r="V374" s="87" t="n">
        <v>0</v>
      </c>
      <c r="W374" s="87" t="n">
        <v>0</v>
      </c>
      <c r="Y374" t="inlineStr">
        <is>
          <t>Jan</t>
        </is>
      </c>
      <c r="Z374" s="87" t="n">
        <v>2025</v>
      </c>
      <c r="AA374" s="47">
        <f>IF(F374="",0,F374)</f>
        <v/>
      </c>
      <c r="AB374" s="87">
        <f>IF(AA374&gt;=0.1,1,0)</f>
        <v/>
      </c>
      <c r="AC374" s="87" t="n">
        <v>0</v>
      </c>
      <c r="AD374" s="47">
        <f>IF(U374="",0,U374)</f>
        <v/>
      </c>
      <c r="AE374" s="87">
        <f>IF(OR(V374=1,W374=1),1,0)</f>
        <v/>
      </c>
      <c r="AF374" s="87" t="n">
        <v>0</v>
      </c>
      <c r="AG374" t="n">
        <v>2947</v>
      </c>
      <c r="AH374" t="n">
        <v>65449</v>
      </c>
      <c r="AI374" t="n">
        <v>0</v>
      </c>
      <c r="AJ374" s="88">
        <f>IF(OR(AG374&lt;=0,AH374&lt;=0),"",LN(AG374)-LN(AH374))</f>
        <v/>
      </c>
      <c r="AK374" t="n">
        <v>9120</v>
      </c>
      <c r="AL374" t="n">
        <v>59276</v>
      </c>
      <c r="AM374" s="88">
        <f>IF(OR(AK374&lt;=0,AL374&lt;=0),"",LN(AK374)-LN(AL374))</f>
        <v/>
      </c>
      <c r="AN374" t="n">
        <v>2889</v>
      </c>
      <c r="AO374" t="n">
        <v>63285</v>
      </c>
      <c r="AP374" s="88">
        <f>IF(OR(AN374&lt;=0,AO374&lt;=0),"",LN(AN374)-LN(AO374))</f>
        <v/>
      </c>
      <c r="AQ374" t="n">
        <v>2876</v>
      </c>
      <c r="AR374" t="n">
        <v>65449</v>
      </c>
      <c r="AS374" s="88">
        <f>IF(OR(AQ374&lt;=0,AR374&lt;=0),"",LN(AQ374)-LN(AR374))</f>
        <v/>
      </c>
      <c r="AT374" t="n">
        <v>3618</v>
      </c>
      <c r="AU374" t="n">
        <v>64426</v>
      </c>
      <c r="AV374" t="n">
        <v>359</v>
      </c>
      <c r="AW374" t="n">
        <v>180</v>
      </c>
      <c r="AX374" t="n">
        <v>2750</v>
      </c>
      <c r="AY374" s="88">
        <f>IF(OR(AT374&lt;=0,AU374&lt;=0),"",LN(AT374)-LN(AU374))</f>
        <v/>
      </c>
      <c r="AZ374" s="46" t="n">
        <v>7</v>
      </c>
      <c r="BA374" s="46" t="n">
        <v>10.13</v>
      </c>
      <c r="BB374" s="47" t="n">
        <v>2</v>
      </c>
    </row>
    <row r="375">
      <c r="A375" s="48" t="n">
        <v>45665</v>
      </c>
      <c r="B375" s="49" t="n">
        <v>66707</v>
      </c>
      <c r="C375" s="50" t="n">
        <v>16.24</v>
      </c>
      <c r="D375" s="51" t="inlineStr">
        <is>
          <t>Moderate</t>
        </is>
      </c>
      <c r="E375" s="52" t="n">
        <v>-3.4</v>
      </c>
      <c r="F375" s="52" t="n">
        <v>0</v>
      </c>
      <c r="G375" s="51" t="inlineStr">
        <is>
          <t>Wed</t>
        </is>
      </c>
      <c r="H375" s="51" t="inlineStr">
        <is>
          <t>Weekday</t>
        </is>
      </c>
      <c r="I375" s="51" t="inlineStr">
        <is>
          <t>Winter</t>
        </is>
      </c>
      <c r="J375" s="51" t="n">
        <v>25</v>
      </c>
      <c r="K375" s="51" t="inlineStr">
        <is>
          <t>OK</t>
        </is>
      </c>
      <c r="L375" s="46" t="n">
        <v>27.24</v>
      </c>
      <c r="M375" t="inlineStr">
        <is>
          <t>Good</t>
        </is>
      </c>
      <c r="N375" s="87" t="n">
        <v>25</v>
      </c>
      <c r="O375" s="87" t="n">
        <v>0</v>
      </c>
      <c r="P375" s="87" t="n">
        <v>0</v>
      </c>
      <c r="Q375" s="87" t="n">
        <v>0</v>
      </c>
      <c r="R375" s="87" t="n">
        <v>0</v>
      </c>
      <c r="S375" s="47" t="n">
        <v>2.7</v>
      </c>
      <c r="T375" s="47" t="n">
        <v>55.1</v>
      </c>
      <c r="U375" s="47" t="n"/>
      <c r="V375" s="87" t="n">
        <v>0</v>
      </c>
      <c r="W375" s="87" t="n">
        <v>0</v>
      </c>
      <c r="Y375" t="inlineStr">
        <is>
          <t>Jan</t>
        </is>
      </c>
      <c r="Z375" s="87" t="n">
        <v>2025</v>
      </c>
      <c r="AA375" s="47">
        <f>IF(F375="",0,F375)</f>
        <v/>
      </c>
      <c r="AB375" s="87">
        <f>IF(AA375&gt;=0.1,1,0)</f>
        <v/>
      </c>
      <c r="AC375" s="87" t="n">
        <v>1</v>
      </c>
      <c r="AD375" s="47">
        <f>IF(U375="",0,U375)</f>
        <v/>
      </c>
      <c r="AE375" s="87">
        <f>IF(OR(V375=1,W375=1),1,0)</f>
        <v/>
      </c>
      <c r="AF375" s="87" t="n">
        <v>0</v>
      </c>
      <c r="AG375" t="n">
        <v>2949</v>
      </c>
      <c r="AH375" t="n">
        <v>63758</v>
      </c>
      <c r="AI375" t="n">
        <v>0</v>
      </c>
      <c r="AJ375" s="88">
        <f>IF(OR(AG375&lt;=0,AH375&lt;=0),"",LN(AG375)-LN(AH375))</f>
        <v/>
      </c>
      <c r="AK375" t="n">
        <v>8962</v>
      </c>
      <c r="AL375" t="n">
        <v>57745</v>
      </c>
      <c r="AM375" s="88">
        <f>IF(OR(AK375&lt;=0,AL375&lt;=0),"",LN(AK375)-LN(AL375))</f>
        <v/>
      </c>
      <c r="AN375" t="n">
        <v>2911</v>
      </c>
      <c r="AO375" t="n">
        <v>61683</v>
      </c>
      <c r="AP375" s="88">
        <f>IF(OR(AN375&lt;=0,AO375&lt;=0),"",LN(AN375)-LN(AO375))</f>
        <v/>
      </c>
      <c r="AQ375" t="n">
        <v>2884</v>
      </c>
      <c r="AR375" t="n">
        <v>63758</v>
      </c>
      <c r="AS375" s="88">
        <f>IF(OR(AQ375&lt;=0,AR375&lt;=0),"",LN(AQ375)-LN(AR375))</f>
        <v/>
      </c>
      <c r="AT375" t="n">
        <v>3521</v>
      </c>
      <c r="AU375" t="n">
        <v>62855</v>
      </c>
      <c r="AV375" t="n">
        <v>336</v>
      </c>
      <c r="AW375" t="n">
        <v>192</v>
      </c>
      <c r="AX375" t="n">
        <v>2744</v>
      </c>
      <c r="AY375" s="88">
        <f>IF(OR(AT375&lt;=0,AU375&lt;=0),"",LN(AT375)-LN(AU375))</f>
        <v/>
      </c>
      <c r="AZ375" s="46" t="n">
        <v>4.9</v>
      </c>
      <c r="BA375" s="46" t="n">
        <v>8.02</v>
      </c>
      <c r="BB375" s="47" t="n">
        <v>3.6</v>
      </c>
    </row>
    <row r="376">
      <c r="A376" s="48" t="n">
        <v>45666</v>
      </c>
      <c r="B376" s="49" t="n">
        <v>47963</v>
      </c>
      <c r="C376" s="50" t="n">
        <v>9</v>
      </c>
      <c r="D376" s="51" t="inlineStr">
        <is>
          <t>Good</t>
        </is>
      </c>
      <c r="E376" s="52" t="n">
        <v>-9.699999999999999</v>
      </c>
      <c r="F376" s="52" t="n">
        <v>0</v>
      </c>
      <c r="G376" s="51" t="inlineStr">
        <is>
          <t>Thu</t>
        </is>
      </c>
      <c r="H376" s="51" t="inlineStr">
        <is>
          <t>Weekday</t>
        </is>
      </c>
      <c r="I376" s="51" t="inlineStr">
        <is>
          <t>Winter</t>
        </is>
      </c>
      <c r="J376" s="51" t="n">
        <v>25</v>
      </c>
      <c r="K376" s="51" t="inlineStr">
        <is>
          <t>OK</t>
        </is>
      </c>
      <c r="L376" s="46" t="n">
        <v>26.68</v>
      </c>
      <c r="M376" t="inlineStr">
        <is>
          <t>Good</t>
        </is>
      </c>
      <c r="N376" s="87" t="n">
        <v>25</v>
      </c>
      <c r="O376" s="87" t="n">
        <v>0</v>
      </c>
      <c r="P376" s="87" t="n">
        <v>0</v>
      </c>
      <c r="Q376" s="87" t="n">
        <v>0</v>
      </c>
      <c r="R376" s="87" t="n">
        <v>0</v>
      </c>
      <c r="S376" s="47" t="n">
        <v>4.2</v>
      </c>
      <c r="T376" s="47" t="n">
        <v>38.4</v>
      </c>
      <c r="U376" s="47" t="n"/>
      <c r="V376" s="87" t="n">
        <v>0</v>
      </c>
      <c r="W376" s="87" t="n">
        <v>0</v>
      </c>
      <c r="Y376" t="inlineStr">
        <is>
          <t>Jan</t>
        </is>
      </c>
      <c r="Z376" s="87" t="n">
        <v>2025</v>
      </c>
      <c r="AA376" s="47">
        <f>IF(F376="",0,F376)</f>
        <v/>
      </c>
      <c r="AB376" s="87">
        <f>IF(AA376&gt;=0.1,1,0)</f>
        <v/>
      </c>
      <c r="AC376" s="87" t="n">
        <v>1</v>
      </c>
      <c r="AD376" s="47">
        <f>IF(U376="",0,U376)</f>
        <v/>
      </c>
      <c r="AE376" s="87">
        <f>IF(OR(V376=1,W376=1),1,0)</f>
        <v/>
      </c>
      <c r="AF376" s="87" t="n">
        <v>0</v>
      </c>
      <c r="AG376" t="n">
        <v>1976</v>
      </c>
      <c r="AH376" t="n">
        <v>45987</v>
      </c>
      <c r="AI376" t="n">
        <v>0</v>
      </c>
      <c r="AJ376" s="88">
        <f>IF(OR(AG376&lt;=0,AH376&lt;=0),"",LN(AG376)-LN(AH376))</f>
        <v/>
      </c>
      <c r="AK376" t="n">
        <v>6247</v>
      </c>
      <c r="AL376" t="n">
        <v>41716</v>
      </c>
      <c r="AM376" s="88">
        <f>IF(OR(AK376&lt;=0,AL376&lt;=0),"",LN(AK376)-LN(AL376))</f>
        <v/>
      </c>
      <c r="AN376" t="n">
        <v>1947</v>
      </c>
      <c r="AO376" t="n">
        <v>44393</v>
      </c>
      <c r="AP376" s="88">
        <f>IF(OR(AN376&lt;=0,AO376&lt;=0),"",LN(AN376)-LN(AO376))</f>
        <v/>
      </c>
      <c r="AQ376" t="n">
        <v>1932</v>
      </c>
      <c r="AR376" t="n">
        <v>45987</v>
      </c>
      <c r="AS376" s="88">
        <f>IF(OR(AQ376&lt;=0,AR376&lt;=0),"",LN(AQ376)-LN(AR376))</f>
        <v/>
      </c>
      <c r="AT376" t="n">
        <v>2408</v>
      </c>
      <c r="AU376" t="n">
        <v>45195</v>
      </c>
      <c r="AV376" t="n">
        <v>358</v>
      </c>
      <c r="AW376" t="n">
        <v>120</v>
      </c>
      <c r="AX376" t="n">
        <v>1838</v>
      </c>
      <c r="AY376" s="88">
        <f>IF(OR(AT376&lt;=0,AU376&lt;=0),"",LN(AT376)-LN(AU376))</f>
        <v/>
      </c>
      <c r="AZ376" s="46" t="n">
        <v>8.5</v>
      </c>
      <c r="BA376" s="46" t="n">
        <v>12.36</v>
      </c>
      <c r="BB376" s="47" t="n">
        <v>0.1</v>
      </c>
    </row>
    <row r="377">
      <c r="A377" s="48" t="n">
        <v>45667</v>
      </c>
      <c r="B377" s="49" t="n">
        <v>54563</v>
      </c>
      <c r="C377" s="50" t="n">
        <v>13.36</v>
      </c>
      <c r="D377" s="51" t="inlineStr">
        <is>
          <t>Good</t>
        </is>
      </c>
      <c r="E377" s="52" t="n">
        <v>-7.3</v>
      </c>
      <c r="F377" s="52" t="n"/>
      <c r="G377" s="51" t="inlineStr">
        <is>
          <t>Fri</t>
        </is>
      </c>
      <c r="H377" s="51" t="inlineStr">
        <is>
          <t>Weekday</t>
        </is>
      </c>
      <c r="I377" s="51" t="inlineStr">
        <is>
          <t>Winter</t>
        </is>
      </c>
      <c r="J377" s="51" t="n">
        <v>25</v>
      </c>
      <c r="K377" s="51" t="inlineStr">
        <is>
          <t>강수량 공란</t>
        </is>
      </c>
      <c r="L377" s="46" t="n">
        <v>23.44</v>
      </c>
      <c r="M377" t="inlineStr">
        <is>
          <t>Good</t>
        </is>
      </c>
      <c r="N377" s="87" t="n">
        <v>25</v>
      </c>
      <c r="O377" s="87" t="n">
        <v>0</v>
      </c>
      <c r="P377" s="87" t="n">
        <v>0</v>
      </c>
      <c r="Q377" s="87" t="n">
        <v>0</v>
      </c>
      <c r="R377" s="87" t="n">
        <v>0</v>
      </c>
      <c r="S377" s="47" t="n">
        <v>1.6</v>
      </c>
      <c r="T377" s="47" t="n">
        <v>48</v>
      </c>
      <c r="U377" s="47" t="n"/>
      <c r="V377" s="87" t="n">
        <v>0</v>
      </c>
      <c r="W377" s="87" t="n">
        <v>0</v>
      </c>
      <c r="Y377" t="inlineStr">
        <is>
          <t>Jan</t>
        </is>
      </c>
      <c r="Z377" s="87" t="n">
        <v>2025</v>
      </c>
      <c r="AA377" s="47">
        <f>IF(F377="",0,F377)</f>
        <v/>
      </c>
      <c r="AB377" s="87">
        <f>IF(AA377&gt;=0.1,1,0)</f>
        <v/>
      </c>
      <c r="AC377" s="87" t="n">
        <v>0</v>
      </c>
      <c r="AD377" s="47">
        <f>IF(U377="",0,U377)</f>
        <v/>
      </c>
      <c r="AE377" s="87">
        <f>IF(OR(V377=1,W377=1),1,0)</f>
        <v/>
      </c>
      <c r="AF377" s="87" t="n">
        <v>0</v>
      </c>
      <c r="AG377" t="n">
        <v>2216</v>
      </c>
      <c r="AH377" t="n">
        <v>52346</v>
      </c>
      <c r="AI377" t="n">
        <v>1</v>
      </c>
      <c r="AJ377" s="88">
        <f>IF(OR(AG377&lt;=0,AH377&lt;=0),"",LN(AG377)-LN(AH377))</f>
        <v/>
      </c>
      <c r="AK377" t="n">
        <v>7131</v>
      </c>
      <c r="AL377" t="n">
        <v>47431</v>
      </c>
      <c r="AM377" s="88">
        <f>IF(OR(AK377&lt;=0,AL377&lt;=0),"",LN(AK377)-LN(AL377))</f>
        <v/>
      </c>
      <c r="AN377" t="n">
        <v>2177</v>
      </c>
      <c r="AO377" t="n">
        <v>50460</v>
      </c>
      <c r="AP377" s="88">
        <f>IF(OR(AN377&lt;=0,AO377&lt;=0),"",LN(AN377)-LN(AO377))</f>
        <v/>
      </c>
      <c r="AQ377" t="n">
        <v>2167</v>
      </c>
      <c r="AR377" t="n">
        <v>52346</v>
      </c>
      <c r="AS377" s="88">
        <f>IF(OR(AQ377&lt;=0,AR377&lt;=0),"",LN(AQ377)-LN(AR377))</f>
        <v/>
      </c>
      <c r="AT377" t="n">
        <v>2970</v>
      </c>
      <c r="AU377" t="n">
        <v>51247</v>
      </c>
      <c r="AV377" t="n">
        <v>346</v>
      </c>
      <c r="AW377" t="n">
        <v>123</v>
      </c>
      <c r="AX377" t="n">
        <v>2083</v>
      </c>
      <c r="AY377" s="88">
        <f>IF(OR(AT377&lt;=0,AU377&lt;=0),"",LN(AT377)-LN(AU377))</f>
        <v/>
      </c>
      <c r="AZ377" s="46" t="n">
        <v>9.199999999999999</v>
      </c>
      <c r="BA377" s="46" t="n">
        <v>12.17</v>
      </c>
      <c r="BB377" s="47" t="n">
        <v>1.5</v>
      </c>
    </row>
    <row r="378">
      <c r="A378" s="48" t="n">
        <v>45668</v>
      </c>
      <c r="B378" s="49" t="n">
        <v>42547</v>
      </c>
      <c r="C378" s="50" t="n">
        <v>21.44</v>
      </c>
      <c r="D378" s="51" t="inlineStr">
        <is>
          <t>Moderate</t>
        </is>
      </c>
      <c r="E378" s="52" t="n">
        <v>-5.1</v>
      </c>
      <c r="F378" s="52" t="n"/>
      <c r="G378" s="51" t="inlineStr">
        <is>
          <t>Sat</t>
        </is>
      </c>
      <c r="H378" s="51" t="inlineStr">
        <is>
          <t>Weekend</t>
        </is>
      </c>
      <c r="I378" s="51" t="inlineStr">
        <is>
          <t>Winter</t>
        </is>
      </c>
      <c r="J378" s="51" t="n">
        <v>25</v>
      </c>
      <c r="K378" s="51" t="inlineStr">
        <is>
          <t>강수량 공란</t>
        </is>
      </c>
      <c r="L378" s="46" t="n">
        <v>30.76</v>
      </c>
      <c r="M378" t="inlineStr">
        <is>
          <t>Moderate</t>
        </is>
      </c>
      <c r="N378" s="87" t="n">
        <v>25</v>
      </c>
      <c r="O378" s="87" t="n">
        <v>0</v>
      </c>
      <c r="P378" s="87" t="n">
        <v>0</v>
      </c>
      <c r="Q378" s="87" t="n">
        <v>0</v>
      </c>
      <c r="R378" s="87" t="n">
        <v>0</v>
      </c>
      <c r="S378" s="47" t="n">
        <v>1.7</v>
      </c>
      <c r="T378" s="47" t="n">
        <v>57.4</v>
      </c>
      <c r="U378" s="47" t="n"/>
      <c r="V378" s="87" t="n">
        <v>1</v>
      </c>
      <c r="W378" s="87" t="n">
        <v>0</v>
      </c>
      <c r="Y378" t="inlineStr">
        <is>
          <t>Jan</t>
        </is>
      </c>
      <c r="Z378" s="87" t="n">
        <v>2025</v>
      </c>
      <c r="AA378" s="47">
        <f>IF(F378="",0,F378)</f>
        <v/>
      </c>
      <c r="AB378" s="87">
        <f>IF(AA378&gt;=0.1,1,0)</f>
        <v/>
      </c>
      <c r="AC378" s="87" t="n">
        <v>0</v>
      </c>
      <c r="AD378" s="47">
        <f>IF(U378="",0,U378)</f>
        <v/>
      </c>
      <c r="AE378" s="87">
        <f>IF(OR(V378=1,W378=1),1,0)</f>
        <v/>
      </c>
      <c r="AF378" s="87" t="n">
        <v>0</v>
      </c>
      <c r="AG378" t="n">
        <v>1916</v>
      </c>
      <c r="AH378" t="n">
        <v>40631</v>
      </c>
      <c r="AI378" t="n">
        <v>0</v>
      </c>
      <c r="AJ378" s="88">
        <f>IF(OR(AG378&lt;=0,AH378&lt;=0),"",LN(AG378)-LN(AH378))</f>
        <v/>
      </c>
      <c r="AK378" t="n">
        <v>5716</v>
      </c>
      <c r="AL378" t="n">
        <v>36831</v>
      </c>
      <c r="AM378" s="88">
        <f>IF(OR(AK378&lt;=0,AL378&lt;=0),"",LN(AK378)-LN(AL378))</f>
        <v/>
      </c>
      <c r="AN378" t="n">
        <v>1879</v>
      </c>
      <c r="AO378" t="n">
        <v>39291</v>
      </c>
      <c r="AP378" s="88">
        <f>IF(OR(AN378&lt;=0,AO378&lt;=0),"",LN(AN378)-LN(AO378))</f>
        <v/>
      </c>
      <c r="AQ378" t="n">
        <v>1874</v>
      </c>
      <c r="AR378" t="n">
        <v>40631</v>
      </c>
      <c r="AS378" s="88">
        <f>IF(OR(AQ378&lt;=0,AR378&lt;=0),"",LN(AQ378)-LN(AR378))</f>
        <v/>
      </c>
      <c r="AT378" t="n">
        <v>3105</v>
      </c>
      <c r="AU378" t="n">
        <v>39215</v>
      </c>
      <c r="AV378" t="n">
        <v>229</v>
      </c>
      <c r="AW378" t="n">
        <v>190</v>
      </c>
      <c r="AX378" t="n">
        <v>1715</v>
      </c>
      <c r="AY378" s="88">
        <f>IF(OR(AT378&lt;=0,AU378&lt;=0),"",LN(AT378)-LN(AU378))</f>
        <v/>
      </c>
      <c r="AZ378" s="46" t="n">
        <v>9.1</v>
      </c>
      <c r="BA378" s="46" t="n">
        <v>11.74</v>
      </c>
      <c r="BB378" s="47" t="n">
        <v>0</v>
      </c>
    </row>
    <row r="379">
      <c r="A379" s="48" t="n">
        <v>45669</v>
      </c>
      <c r="B379" s="49" t="n">
        <v>38305</v>
      </c>
      <c r="C379" s="50" t="n">
        <v>29.56</v>
      </c>
      <c r="D379" s="51" t="inlineStr">
        <is>
          <t>Moderate</t>
        </is>
      </c>
      <c r="E379" s="52" t="n">
        <v>-3.4</v>
      </c>
      <c r="F379" s="52" t="n"/>
      <c r="G379" s="51" t="inlineStr">
        <is>
          <t>Sun</t>
        </is>
      </c>
      <c r="H379" s="51" t="inlineStr">
        <is>
          <t>Weekend</t>
        </is>
      </c>
      <c r="I379" s="51" t="inlineStr">
        <is>
          <t>Winter</t>
        </is>
      </c>
      <c r="J379" s="51" t="n">
        <v>25</v>
      </c>
      <c r="K379" s="51" t="inlineStr">
        <is>
          <t>강수량 공란</t>
        </is>
      </c>
      <c r="L379" s="46" t="n">
        <v>37.88</v>
      </c>
      <c r="M379" t="inlineStr">
        <is>
          <t>Moderate</t>
        </is>
      </c>
      <c r="N379" s="87" t="n">
        <v>25</v>
      </c>
      <c r="O379" s="87" t="n">
        <v>0</v>
      </c>
      <c r="P379" s="87" t="n">
        <v>0</v>
      </c>
      <c r="Q379" s="87" t="n">
        <v>0</v>
      </c>
      <c r="R379" s="87" t="n">
        <v>0</v>
      </c>
      <c r="S379" s="47" t="n">
        <v>1.8</v>
      </c>
      <c r="T379" s="47" t="n">
        <v>59.9</v>
      </c>
      <c r="U379" s="47" t="n"/>
      <c r="V379" s="87" t="n">
        <v>1</v>
      </c>
      <c r="W379" s="87" t="n">
        <v>0</v>
      </c>
      <c r="Y379" t="inlineStr">
        <is>
          <t>Jan</t>
        </is>
      </c>
      <c r="Z379" s="87" t="n">
        <v>2025</v>
      </c>
      <c r="AA379" s="47">
        <f>IF(F379="",0,F379)</f>
        <v/>
      </c>
      <c r="AB379" s="87">
        <f>IF(AA379&gt;=0.1,1,0)</f>
        <v/>
      </c>
      <c r="AC379" s="87" t="n">
        <v>0</v>
      </c>
      <c r="AD379" s="47">
        <f>IF(U379="",0,U379)</f>
        <v/>
      </c>
      <c r="AE379" s="87">
        <f>IF(OR(V379=1,W379=1),1,0)</f>
        <v/>
      </c>
      <c r="AF379" s="87" t="n">
        <v>0</v>
      </c>
      <c r="AG379" t="n">
        <v>1989</v>
      </c>
      <c r="AH379" t="n">
        <v>36316</v>
      </c>
      <c r="AI379" t="n">
        <v>0</v>
      </c>
      <c r="AJ379" s="88">
        <f>IF(OR(AG379&lt;=0,AH379&lt;=0),"",LN(AG379)-LN(AH379))</f>
        <v/>
      </c>
      <c r="AK379" t="n">
        <v>5374</v>
      </c>
      <c r="AL379" t="n">
        <v>32931</v>
      </c>
      <c r="AM379" s="88">
        <f>IF(OR(AK379&lt;=0,AL379&lt;=0),"",LN(AK379)-LN(AL379))</f>
        <v/>
      </c>
      <c r="AN379" t="n">
        <v>1938</v>
      </c>
      <c r="AO379" t="n">
        <v>35132</v>
      </c>
      <c r="AP379" s="88">
        <f>IF(OR(AN379&lt;=0,AO379&lt;=0),"",LN(AN379)-LN(AO379))</f>
        <v/>
      </c>
      <c r="AQ379" t="n">
        <v>1949</v>
      </c>
      <c r="AR379" t="n">
        <v>36316</v>
      </c>
      <c r="AS379" s="88">
        <f>IF(OR(AQ379&lt;=0,AR379&lt;=0),"",LN(AQ379)-LN(AR379))</f>
        <v/>
      </c>
      <c r="AT379" t="n">
        <v>3020</v>
      </c>
      <c r="AU379" t="n">
        <v>35103</v>
      </c>
      <c r="AV379" t="n">
        <v>178</v>
      </c>
      <c r="AW379" t="n">
        <v>223</v>
      </c>
      <c r="AX379" t="n">
        <v>1758</v>
      </c>
      <c r="AY379" s="88">
        <f>IF(OR(AT379&lt;=0,AU379&lt;=0),"",LN(AT379)-LN(AU379))</f>
        <v/>
      </c>
      <c r="AZ379" s="46" t="n">
        <v>7.7</v>
      </c>
      <c r="BA379" s="46" t="n">
        <v>9.9</v>
      </c>
      <c r="BB379" s="47" t="n">
        <v>0.8</v>
      </c>
    </row>
    <row r="380">
      <c r="A380" s="48" t="n">
        <v>45670</v>
      </c>
      <c r="B380" s="49" t="n">
        <v>50939</v>
      </c>
      <c r="C380" s="50" t="n">
        <v>40.64</v>
      </c>
      <c r="D380" s="51" t="inlineStr">
        <is>
          <t>Bad</t>
        </is>
      </c>
      <c r="E380" s="52" t="n">
        <v>-0.4</v>
      </c>
      <c r="F380" s="52" t="n">
        <v>1.3</v>
      </c>
      <c r="G380" s="51" t="inlineStr">
        <is>
          <t>Mon</t>
        </is>
      </c>
      <c r="H380" s="51" t="inlineStr">
        <is>
          <t>Weekday</t>
        </is>
      </c>
      <c r="I380" s="51" t="inlineStr">
        <is>
          <t>Winter</t>
        </is>
      </c>
      <c r="J380" s="51" t="n">
        <v>25</v>
      </c>
      <c r="K380" s="51" t="inlineStr">
        <is>
          <t>OK</t>
        </is>
      </c>
      <c r="L380" s="46" t="n">
        <v>53.4</v>
      </c>
      <c r="M380" t="inlineStr">
        <is>
          <t>Moderate</t>
        </is>
      </c>
      <c r="N380" s="87" t="n">
        <v>25</v>
      </c>
      <c r="O380" s="87" t="n">
        <v>0</v>
      </c>
      <c r="P380" s="87" t="n">
        <v>0</v>
      </c>
      <c r="Q380" s="87" t="n">
        <v>0</v>
      </c>
      <c r="R380" s="87" t="n">
        <v>0</v>
      </c>
      <c r="S380" s="47" t="n">
        <v>1.7</v>
      </c>
      <c r="T380" s="47" t="n">
        <v>76.90000000000001</v>
      </c>
      <c r="U380" s="47" t="n">
        <v>0.1</v>
      </c>
      <c r="V380" s="87" t="n">
        <v>0</v>
      </c>
      <c r="W380" s="87" t="n">
        <v>0</v>
      </c>
      <c r="Y380" t="inlineStr">
        <is>
          <t>Jan</t>
        </is>
      </c>
      <c r="Z380" s="87" t="n">
        <v>2025</v>
      </c>
      <c r="AA380" s="47">
        <f>IF(F380="",0,F380)</f>
        <v/>
      </c>
      <c r="AB380" s="87">
        <f>IF(AA380&gt;=0.1,1,0)</f>
        <v/>
      </c>
      <c r="AC380" s="87" t="n">
        <v>0</v>
      </c>
      <c r="AD380" s="47">
        <f>IF(U380="",0,U380)</f>
        <v/>
      </c>
      <c r="AE380" s="87">
        <f>IF(OR(V380=1,W380=1),1,0)</f>
        <v/>
      </c>
      <c r="AF380" s="87" t="n">
        <v>0</v>
      </c>
      <c r="AG380" t="n">
        <v>2356</v>
      </c>
      <c r="AH380" t="n">
        <v>48583</v>
      </c>
      <c r="AI380" t="n">
        <v>0</v>
      </c>
      <c r="AJ380" s="88">
        <f>IF(OR(AG380&lt;=0,AH380&lt;=0),"",LN(AG380)-LN(AH380))</f>
        <v/>
      </c>
      <c r="AK380" t="n">
        <v>6872</v>
      </c>
      <c r="AL380" t="n">
        <v>44067</v>
      </c>
      <c r="AM380" s="88">
        <f>IF(OR(AK380&lt;=0,AL380&lt;=0),"",LN(AK380)-LN(AL380))</f>
        <v/>
      </c>
      <c r="AN380" t="n">
        <v>2328</v>
      </c>
      <c r="AO380" t="n">
        <v>46916</v>
      </c>
      <c r="AP380" s="88">
        <f>IF(OR(AN380&lt;=0,AO380&lt;=0),"",LN(AN380)-LN(AO380))</f>
        <v/>
      </c>
      <c r="AQ380" t="n">
        <v>2295</v>
      </c>
      <c r="AR380" t="n">
        <v>48583</v>
      </c>
      <c r="AS380" s="88">
        <f>IF(OR(AQ380&lt;=0,AR380&lt;=0),"",LN(AQ380)-LN(AR380))</f>
        <v/>
      </c>
      <c r="AT380" t="n">
        <v>3094</v>
      </c>
      <c r="AU380" t="n">
        <v>47577</v>
      </c>
      <c r="AV380" t="n">
        <v>266</v>
      </c>
      <c r="AW380" t="n">
        <v>170</v>
      </c>
      <c r="AX380" t="n">
        <v>2175</v>
      </c>
      <c r="AY380" s="88">
        <f>IF(OR(AT380&lt;=0,AU380&lt;=0),"",LN(AT380)-LN(AU380))</f>
        <v/>
      </c>
      <c r="AZ380" s="46" t="n">
        <v>2.2</v>
      </c>
      <c r="BA380" s="46" t="n">
        <v>6.1</v>
      </c>
      <c r="BB380" s="47" t="n">
        <v>6.1</v>
      </c>
    </row>
    <row r="381">
      <c r="A381" s="48" t="n">
        <v>45671</v>
      </c>
      <c r="B381" s="49" t="n">
        <v>61048</v>
      </c>
      <c r="C381" s="50" t="n">
        <v>43.08</v>
      </c>
      <c r="D381" s="51" t="inlineStr">
        <is>
          <t>Bad</t>
        </is>
      </c>
      <c r="E381" s="52" t="n">
        <v>2.3</v>
      </c>
      <c r="F381" s="52" t="n">
        <v>0.1</v>
      </c>
      <c r="G381" s="51" t="inlineStr">
        <is>
          <t>Tue</t>
        </is>
      </c>
      <c r="H381" s="51" t="inlineStr">
        <is>
          <t>Weekday</t>
        </is>
      </c>
      <c r="I381" s="51" t="inlineStr">
        <is>
          <t>Winter</t>
        </is>
      </c>
      <c r="J381" s="51" t="n">
        <v>25</v>
      </c>
      <c r="K381" s="51" t="inlineStr">
        <is>
          <t>OK</t>
        </is>
      </c>
      <c r="L381" s="46" t="n">
        <v>58.4</v>
      </c>
      <c r="M381" t="inlineStr">
        <is>
          <t>Moderate</t>
        </is>
      </c>
      <c r="N381" s="87" t="n">
        <v>25</v>
      </c>
      <c r="O381" s="87" t="n">
        <v>0</v>
      </c>
      <c r="P381" s="87" t="n">
        <v>0</v>
      </c>
      <c r="Q381" s="87" t="n">
        <v>0</v>
      </c>
      <c r="R381" s="87" t="n">
        <v>0</v>
      </c>
      <c r="S381" s="47" t="n">
        <v>2.3</v>
      </c>
      <c r="T381" s="47" t="n">
        <v>72</v>
      </c>
      <c r="U381" s="47" t="n"/>
      <c r="V381" s="87" t="n">
        <v>0</v>
      </c>
      <c r="W381" s="87" t="n">
        <v>0</v>
      </c>
      <c r="Y381" t="inlineStr">
        <is>
          <t>Jan</t>
        </is>
      </c>
      <c r="Z381" s="87" t="n">
        <v>2025</v>
      </c>
      <c r="AA381" s="47">
        <f>IF(F381="",0,F381)</f>
        <v/>
      </c>
      <c r="AB381" s="87">
        <f>IF(AA381&gt;=0.1,1,0)</f>
        <v/>
      </c>
      <c r="AC381" s="87" t="n">
        <v>0</v>
      </c>
      <c r="AD381" s="47">
        <f>IF(U381="",0,U381)</f>
        <v/>
      </c>
      <c r="AE381" s="87">
        <f>IF(OR(V381=1,W381=1),1,0)</f>
        <v/>
      </c>
      <c r="AF381" s="87" t="n">
        <v>0</v>
      </c>
      <c r="AG381" t="n">
        <v>2610</v>
      </c>
      <c r="AH381" t="n">
        <v>58438</v>
      </c>
      <c r="AI381" t="n">
        <v>0</v>
      </c>
      <c r="AJ381" s="88">
        <f>IF(OR(AG381&lt;=0,AH381&lt;=0),"",LN(AG381)-LN(AH381))</f>
        <v/>
      </c>
      <c r="AK381" t="n">
        <v>8264</v>
      </c>
      <c r="AL381" t="n">
        <v>52784</v>
      </c>
      <c r="AM381" s="88">
        <f>IF(OR(AK381&lt;=0,AL381&lt;=0),"",LN(AK381)-LN(AL381))</f>
        <v/>
      </c>
      <c r="AN381" t="n">
        <v>2552</v>
      </c>
      <c r="AO381" t="n">
        <v>56458</v>
      </c>
      <c r="AP381" s="88">
        <f>IF(OR(AN381&lt;=0,AO381&lt;=0),"",LN(AN381)-LN(AO381))</f>
        <v/>
      </c>
      <c r="AQ381" t="n">
        <v>2546</v>
      </c>
      <c r="AR381" t="n">
        <v>58438</v>
      </c>
      <c r="AS381" s="88">
        <f>IF(OR(AQ381&lt;=0,AR381&lt;=0),"",LN(AQ381)-LN(AR381))</f>
        <v/>
      </c>
      <c r="AT381" t="n">
        <v>3572</v>
      </c>
      <c r="AU381" t="n">
        <v>57151</v>
      </c>
      <c r="AV381" t="n">
        <v>328</v>
      </c>
      <c r="AW381" t="n">
        <v>201</v>
      </c>
      <c r="AX381" t="n">
        <v>2395</v>
      </c>
      <c r="AY381" s="88">
        <f>IF(OR(AT381&lt;=0,AU381&lt;=0),"",LN(AT381)-LN(AU381))</f>
        <v/>
      </c>
      <c r="AZ381" s="46" t="n">
        <v>2.3</v>
      </c>
      <c r="BA381" s="46" t="n">
        <v>6.69</v>
      </c>
      <c r="BB381" s="47" t="n">
        <v>5</v>
      </c>
    </row>
    <row r="382">
      <c r="A382" s="48" t="n">
        <v>45672</v>
      </c>
      <c r="B382" s="49" t="n">
        <v>64297</v>
      </c>
      <c r="C382" s="50" t="n">
        <v>11.52</v>
      </c>
      <c r="D382" s="51" t="inlineStr">
        <is>
          <t>Good</t>
        </is>
      </c>
      <c r="E382" s="52" t="n">
        <v>-3.5</v>
      </c>
      <c r="F382" s="52" t="n"/>
      <c r="G382" s="51" t="inlineStr">
        <is>
          <t>Wed</t>
        </is>
      </c>
      <c r="H382" s="51" t="inlineStr">
        <is>
          <t>Weekday</t>
        </is>
      </c>
      <c r="I382" s="51" t="inlineStr">
        <is>
          <t>Winter</t>
        </is>
      </c>
      <c r="J382" s="51" t="n">
        <v>25</v>
      </c>
      <c r="K382" s="51" t="inlineStr">
        <is>
          <t>강수량 공란</t>
        </is>
      </c>
      <c r="L382" s="46" t="n">
        <v>32.96</v>
      </c>
      <c r="M382" t="inlineStr">
        <is>
          <t>Moderate</t>
        </is>
      </c>
      <c r="N382" s="87" t="n">
        <v>25</v>
      </c>
      <c r="O382" s="87" t="n">
        <v>0</v>
      </c>
      <c r="P382" s="87" t="n">
        <v>0</v>
      </c>
      <c r="Q382" s="87" t="n">
        <v>0</v>
      </c>
      <c r="R382" s="87" t="n">
        <v>0</v>
      </c>
      <c r="S382" s="47" t="n">
        <v>2.9</v>
      </c>
      <c r="T382" s="47" t="n">
        <v>40.8</v>
      </c>
      <c r="U382" s="47" t="n"/>
      <c r="V382" s="87" t="n">
        <v>0</v>
      </c>
      <c r="W382" s="87" t="n">
        <v>0</v>
      </c>
      <c r="Y382" t="inlineStr">
        <is>
          <t>Jan</t>
        </is>
      </c>
      <c r="Z382" s="87" t="n">
        <v>2025</v>
      </c>
      <c r="AA382" s="47">
        <f>IF(F382="",0,F382)</f>
        <v/>
      </c>
      <c r="AB382" s="87">
        <f>IF(AA382&gt;=0.1,1,0)</f>
        <v/>
      </c>
      <c r="AC382" s="87" t="n">
        <v>0</v>
      </c>
      <c r="AD382" s="47">
        <f>IF(U382="",0,U382)</f>
        <v/>
      </c>
      <c r="AE382" s="87">
        <f>IF(OR(V382=1,W382=1),1,0)</f>
        <v/>
      </c>
      <c r="AF382" s="87" t="n">
        <v>0</v>
      </c>
      <c r="AG382" t="n">
        <v>2754</v>
      </c>
      <c r="AH382" t="n">
        <v>61543</v>
      </c>
      <c r="AI382" t="n">
        <v>0</v>
      </c>
      <c r="AJ382" s="88">
        <f>IF(OR(AG382&lt;=0,AH382&lt;=0),"",LN(AG382)-LN(AH382))</f>
        <v/>
      </c>
      <c r="AK382" t="n">
        <v>8506</v>
      </c>
      <c r="AL382" t="n">
        <v>55791</v>
      </c>
      <c r="AM382" s="88">
        <f>IF(OR(AK382&lt;=0,AL382&lt;=0),"",LN(AK382)-LN(AL382))</f>
        <v/>
      </c>
      <c r="AN382" t="n">
        <v>2692</v>
      </c>
      <c r="AO382" t="n">
        <v>59467</v>
      </c>
      <c r="AP382" s="88">
        <f>IF(OR(AN382&lt;=0,AO382&lt;=0),"",LN(AN382)-LN(AO382))</f>
        <v/>
      </c>
      <c r="AQ382" t="n">
        <v>2680</v>
      </c>
      <c r="AR382" t="n">
        <v>61543</v>
      </c>
      <c r="AS382" s="88">
        <f>IF(OR(AQ382&lt;=0,AR382&lt;=0),"",LN(AQ382)-LN(AR382))</f>
        <v/>
      </c>
      <c r="AT382" t="n">
        <v>3434</v>
      </c>
      <c r="AU382" t="n">
        <v>60514</v>
      </c>
      <c r="AV382" t="n">
        <v>355</v>
      </c>
      <c r="AW382" t="n">
        <v>186</v>
      </c>
      <c r="AX382" t="n">
        <v>2556</v>
      </c>
      <c r="AY382" s="88">
        <f>IF(OR(AT382&lt;=0,AU382&lt;=0),"",LN(AT382)-LN(AU382))</f>
        <v/>
      </c>
      <c r="AZ382" s="46" t="n">
        <v>9.199999999999999</v>
      </c>
      <c r="BA382" s="46" t="n">
        <v>12.74</v>
      </c>
      <c r="BB382" s="47" t="n">
        <v>1</v>
      </c>
    </row>
    <row r="383">
      <c r="A383" s="48" t="n">
        <v>45673</v>
      </c>
      <c r="B383" s="49" t="n">
        <v>68289</v>
      </c>
      <c r="C383" s="50" t="n">
        <v>19.6</v>
      </c>
      <c r="D383" s="51" t="inlineStr">
        <is>
          <t>Moderate</t>
        </is>
      </c>
      <c r="E383" s="52" t="n">
        <v>-0.5</v>
      </c>
      <c r="F383" s="52" t="n">
        <v>0</v>
      </c>
      <c r="G383" s="51" t="inlineStr">
        <is>
          <t>Thu</t>
        </is>
      </c>
      <c r="H383" s="51" t="inlineStr">
        <is>
          <t>Weekday</t>
        </is>
      </c>
      <c r="I383" s="51" t="inlineStr">
        <is>
          <t>Winter</t>
        </is>
      </c>
      <c r="J383" s="51" t="n">
        <v>25</v>
      </c>
      <c r="K383" s="51" t="inlineStr">
        <is>
          <t>OK</t>
        </is>
      </c>
      <c r="L383" s="46" t="n">
        <v>35.08</v>
      </c>
      <c r="M383" t="inlineStr">
        <is>
          <t>Moderate</t>
        </is>
      </c>
      <c r="N383" s="87" t="n">
        <v>25</v>
      </c>
      <c r="O383" s="87" t="n">
        <v>0</v>
      </c>
      <c r="P383" s="87" t="n">
        <v>0</v>
      </c>
      <c r="Q383" s="87" t="n">
        <v>0</v>
      </c>
      <c r="R383" s="87" t="n">
        <v>0</v>
      </c>
      <c r="S383" s="47" t="n">
        <v>2</v>
      </c>
      <c r="T383" s="47" t="n">
        <v>65.09999999999999</v>
      </c>
      <c r="U383" s="47" t="n"/>
      <c r="V383" s="87" t="n">
        <v>0</v>
      </c>
      <c r="W383" s="87" t="n">
        <v>0</v>
      </c>
      <c r="Y383" t="inlineStr">
        <is>
          <t>Jan</t>
        </is>
      </c>
      <c r="Z383" s="87" t="n">
        <v>2025</v>
      </c>
      <c r="AA383" s="47">
        <f>IF(F383="",0,F383)</f>
        <v/>
      </c>
      <c r="AB383" s="87">
        <f>IF(AA383&gt;=0.1,1,0)</f>
        <v/>
      </c>
      <c r="AC383" s="87" t="n">
        <v>1</v>
      </c>
      <c r="AD383" s="47">
        <f>IF(U383="",0,U383)</f>
        <v/>
      </c>
      <c r="AE383" s="87">
        <f>IF(OR(V383=1,W383=1),1,0)</f>
        <v/>
      </c>
      <c r="AF383" s="87" t="n">
        <v>0</v>
      </c>
      <c r="AG383" t="n">
        <v>2970</v>
      </c>
      <c r="AH383" t="n">
        <v>65319</v>
      </c>
      <c r="AI383" t="n">
        <v>0</v>
      </c>
      <c r="AJ383" s="88">
        <f>IF(OR(AG383&lt;=0,AH383&lt;=0),"",LN(AG383)-LN(AH383))</f>
        <v/>
      </c>
      <c r="AK383" t="n">
        <v>9131</v>
      </c>
      <c r="AL383" t="n">
        <v>59158</v>
      </c>
      <c r="AM383" s="88">
        <f>IF(OR(AK383&lt;=0,AL383&lt;=0),"",LN(AK383)-LN(AL383))</f>
        <v/>
      </c>
      <c r="AN383" t="n">
        <v>2907</v>
      </c>
      <c r="AO383" t="n">
        <v>63074</v>
      </c>
      <c r="AP383" s="88">
        <f>IF(OR(AN383&lt;=0,AO383&lt;=0),"",LN(AN383)-LN(AO383))</f>
        <v/>
      </c>
      <c r="AQ383" t="n">
        <v>2905</v>
      </c>
      <c r="AR383" t="n">
        <v>65319</v>
      </c>
      <c r="AS383" s="88">
        <f>IF(OR(AQ383&lt;=0,AR383&lt;=0),"",LN(AQ383)-LN(AR383))</f>
        <v/>
      </c>
      <c r="AT383" t="n">
        <v>3728</v>
      </c>
      <c r="AU383" t="n">
        <v>64217</v>
      </c>
      <c r="AV383" t="n">
        <v>344</v>
      </c>
      <c r="AW383" t="n">
        <v>199</v>
      </c>
      <c r="AX383" t="n">
        <v>2752</v>
      </c>
      <c r="AY383" s="88">
        <f>IF(OR(AT383&lt;=0,AU383&lt;=0),"",LN(AT383)-LN(AU383))</f>
        <v/>
      </c>
      <c r="AZ383" s="46" t="n">
        <v>0.2</v>
      </c>
      <c r="BA383" s="46" t="n">
        <v>2.91</v>
      </c>
      <c r="BB383" s="47" t="n">
        <v>6.8</v>
      </c>
    </row>
    <row r="384">
      <c r="A384" s="48" t="n">
        <v>45674</v>
      </c>
      <c r="B384" s="49" t="n">
        <v>73506</v>
      </c>
      <c r="C384" s="50" t="n">
        <v>33.16</v>
      </c>
      <c r="D384" s="51" t="inlineStr">
        <is>
          <t>Moderate</t>
        </is>
      </c>
      <c r="E384" s="52" t="n">
        <v>-0.5</v>
      </c>
      <c r="F384" s="52" t="n"/>
      <c r="G384" s="51" t="inlineStr">
        <is>
          <t>Fri</t>
        </is>
      </c>
      <c r="H384" s="51" t="inlineStr">
        <is>
          <t>Weekday</t>
        </is>
      </c>
      <c r="I384" s="51" t="inlineStr">
        <is>
          <t>Winter</t>
        </is>
      </c>
      <c r="J384" s="51" t="n">
        <v>25</v>
      </c>
      <c r="K384" s="51" t="inlineStr">
        <is>
          <t>강수량 공란</t>
        </is>
      </c>
      <c r="L384" s="46" t="n">
        <v>52.68</v>
      </c>
      <c r="M384" t="inlineStr">
        <is>
          <t>Moderate</t>
        </is>
      </c>
      <c r="N384" s="87" t="n">
        <v>25</v>
      </c>
      <c r="O384" s="87" t="n">
        <v>0</v>
      </c>
      <c r="P384" s="87" t="n">
        <v>0</v>
      </c>
      <c r="Q384" s="87" t="n">
        <v>0</v>
      </c>
      <c r="R384" s="87" t="n">
        <v>0</v>
      </c>
      <c r="S384" s="47" t="n">
        <v>1.8</v>
      </c>
      <c r="T384" s="47" t="n">
        <v>62.4</v>
      </c>
      <c r="U384" s="47" t="n"/>
      <c r="V384" s="87" t="n">
        <v>0</v>
      </c>
      <c r="W384" s="87" t="n">
        <v>0</v>
      </c>
      <c r="Y384" t="inlineStr">
        <is>
          <t>Jan</t>
        </is>
      </c>
      <c r="Z384" s="87" t="n">
        <v>2025</v>
      </c>
      <c r="AA384" s="47">
        <f>IF(F384="",0,F384)</f>
        <v/>
      </c>
      <c r="AB384" s="87">
        <f>IF(AA384&gt;=0.1,1,0)</f>
        <v/>
      </c>
      <c r="AC384" s="87" t="n">
        <v>0</v>
      </c>
      <c r="AD384" s="47">
        <f>IF(U384="",0,U384)</f>
        <v/>
      </c>
      <c r="AE384" s="87">
        <f>IF(OR(V384=1,W384=1),1,0)</f>
        <v/>
      </c>
      <c r="AF384" s="87" t="n">
        <v>0</v>
      </c>
      <c r="AG384" t="n">
        <v>3315</v>
      </c>
      <c r="AH384" t="n">
        <v>70191</v>
      </c>
      <c r="AI384" t="n">
        <v>0</v>
      </c>
      <c r="AJ384" s="88">
        <f>IF(OR(AG384&lt;=0,AH384&lt;=0),"",LN(AG384)-LN(AH384))</f>
        <v/>
      </c>
      <c r="AK384" t="n">
        <v>9941</v>
      </c>
      <c r="AL384" t="n">
        <v>63565</v>
      </c>
      <c r="AM384" s="88">
        <f>IF(OR(AK384&lt;=0,AL384&lt;=0),"",LN(AK384)-LN(AL384))</f>
        <v/>
      </c>
      <c r="AN384" t="n">
        <v>3228</v>
      </c>
      <c r="AO384" t="n">
        <v>67891</v>
      </c>
      <c r="AP384" s="88">
        <f>IF(OR(AN384&lt;=0,AO384&lt;=0),"",LN(AN384)-LN(AO384))</f>
        <v/>
      </c>
      <c r="AQ384" t="n">
        <v>3235</v>
      </c>
      <c r="AR384" t="n">
        <v>70191</v>
      </c>
      <c r="AS384" s="88">
        <f>IF(OR(AQ384&lt;=0,AR384&lt;=0),"",LN(AQ384)-LN(AR384))</f>
        <v/>
      </c>
      <c r="AT384" t="n">
        <v>4267</v>
      </c>
      <c r="AU384" t="n">
        <v>68817</v>
      </c>
      <c r="AV384" t="n">
        <v>429</v>
      </c>
      <c r="AW384" t="n">
        <v>221</v>
      </c>
      <c r="AX384" t="n">
        <v>3073</v>
      </c>
      <c r="AY384" s="88">
        <f>IF(OR(AT384&lt;=0,AU384&lt;=0),"",LN(AT384)-LN(AU384))</f>
        <v/>
      </c>
      <c r="AZ384" s="46" t="n">
        <v>9</v>
      </c>
      <c r="BA384" s="46" t="n">
        <v>11.84</v>
      </c>
      <c r="BB384" s="47" t="n">
        <v>0</v>
      </c>
    </row>
    <row r="385">
      <c r="A385" s="48" t="n">
        <v>45675</v>
      </c>
      <c r="B385" s="49" t="n">
        <v>56924</v>
      </c>
      <c r="C385" s="50" t="n">
        <v>28.6</v>
      </c>
      <c r="D385" s="51" t="inlineStr">
        <is>
          <t>Moderate</t>
        </is>
      </c>
      <c r="E385" s="52" t="n">
        <v>1</v>
      </c>
      <c r="F385" s="52" t="n"/>
      <c r="G385" s="51" t="inlineStr">
        <is>
          <t>Sat</t>
        </is>
      </c>
      <c r="H385" s="51" t="inlineStr">
        <is>
          <t>Weekend</t>
        </is>
      </c>
      <c r="I385" s="51" t="inlineStr">
        <is>
          <t>Winter</t>
        </is>
      </c>
      <c r="J385" s="51" t="n">
        <v>25</v>
      </c>
      <c r="K385" s="51" t="inlineStr">
        <is>
          <t>강수량 공란</t>
        </is>
      </c>
      <c r="L385" s="46" t="n">
        <v>45.56</v>
      </c>
      <c r="M385" t="inlineStr">
        <is>
          <t>Moderate</t>
        </is>
      </c>
      <c r="N385" s="87" t="n">
        <v>25</v>
      </c>
      <c r="O385" s="87" t="n">
        <v>0</v>
      </c>
      <c r="P385" s="87" t="n">
        <v>0</v>
      </c>
      <c r="Q385" s="87" t="n">
        <v>0</v>
      </c>
      <c r="R385" s="87" t="n">
        <v>0</v>
      </c>
      <c r="S385" s="47" t="n">
        <v>1.6</v>
      </c>
      <c r="T385" s="47" t="n">
        <v>54.1</v>
      </c>
      <c r="U385" s="47" t="n"/>
      <c r="V385" s="87" t="n">
        <v>1</v>
      </c>
      <c r="W385" s="87" t="n">
        <v>0</v>
      </c>
      <c r="Y385" t="inlineStr">
        <is>
          <t>Jan</t>
        </is>
      </c>
      <c r="Z385" s="87" t="n">
        <v>2025</v>
      </c>
      <c r="AA385" s="47">
        <f>IF(F385="",0,F385)</f>
        <v/>
      </c>
      <c r="AB385" s="87">
        <f>IF(AA385&gt;=0.1,1,0)</f>
        <v/>
      </c>
      <c r="AC385" s="87" t="n">
        <v>0</v>
      </c>
      <c r="AD385" s="47">
        <f>IF(U385="",0,U385)</f>
        <v/>
      </c>
      <c r="AE385" s="87">
        <f>IF(OR(V385=1,W385=1),1,0)</f>
        <v/>
      </c>
      <c r="AF385" s="87" t="n">
        <v>0</v>
      </c>
      <c r="AG385" t="n">
        <v>2968</v>
      </c>
      <c r="AH385" t="n">
        <v>53956</v>
      </c>
      <c r="AI385" t="n">
        <v>0</v>
      </c>
      <c r="AJ385" s="88">
        <f>IF(OR(AG385&lt;=0,AH385&lt;=0),"",LN(AG385)-LN(AH385))</f>
        <v/>
      </c>
      <c r="AK385" t="n">
        <v>7994</v>
      </c>
      <c r="AL385" t="n">
        <v>48930</v>
      </c>
      <c r="AM385" s="88">
        <f>IF(OR(AK385&lt;=0,AL385&lt;=0),"",LN(AK385)-LN(AL385))</f>
        <v/>
      </c>
      <c r="AN385" t="n">
        <v>2881</v>
      </c>
      <c r="AO385" t="n">
        <v>52132</v>
      </c>
      <c r="AP385" s="88">
        <f>IF(OR(AN385&lt;=0,AO385&lt;=0),"",LN(AN385)-LN(AO385))</f>
        <v/>
      </c>
      <c r="AQ385" t="n">
        <v>2901</v>
      </c>
      <c r="AR385" t="n">
        <v>53956</v>
      </c>
      <c r="AS385" s="88">
        <f>IF(OR(AQ385&lt;=0,AR385&lt;=0),"",LN(AQ385)-LN(AR385))</f>
        <v/>
      </c>
      <c r="AT385" t="n">
        <v>4130</v>
      </c>
      <c r="AU385" t="n">
        <v>52503</v>
      </c>
      <c r="AV385" t="n">
        <v>296</v>
      </c>
      <c r="AW385" t="n">
        <v>279</v>
      </c>
      <c r="AX385" t="n">
        <v>2677</v>
      </c>
      <c r="AY385" s="88">
        <f>IF(OR(AT385&lt;=0,AU385&lt;=0),"",LN(AT385)-LN(AU385))</f>
        <v/>
      </c>
      <c r="AZ385" s="46" t="n">
        <v>7.9</v>
      </c>
      <c r="BA385" s="46" t="n">
        <v>10.75</v>
      </c>
      <c r="BB385" s="47" t="n">
        <v>2.3</v>
      </c>
    </row>
    <row r="386">
      <c r="A386" s="48" t="n">
        <v>45676</v>
      </c>
      <c r="B386" s="49" t="n">
        <v>51394</v>
      </c>
      <c r="C386" s="50" t="n">
        <v>32.2</v>
      </c>
      <c r="D386" s="51" t="inlineStr">
        <is>
          <t>Moderate</t>
        </is>
      </c>
      <c r="E386" s="52" t="n">
        <v>3.8</v>
      </c>
      <c r="F386" s="52" t="n"/>
      <c r="G386" s="51" t="inlineStr">
        <is>
          <t>Sun</t>
        </is>
      </c>
      <c r="H386" s="51" t="inlineStr">
        <is>
          <t>Weekend</t>
        </is>
      </c>
      <c r="I386" s="51" t="inlineStr">
        <is>
          <t>Winter</t>
        </is>
      </c>
      <c r="J386" s="51" t="n">
        <v>25</v>
      </c>
      <c r="K386" s="51" t="inlineStr">
        <is>
          <t>강수량 공란</t>
        </is>
      </c>
      <c r="L386" s="46" t="n">
        <v>45.28</v>
      </c>
      <c r="M386" t="inlineStr">
        <is>
          <t>Moderate</t>
        </is>
      </c>
      <c r="N386" s="87" t="n">
        <v>25</v>
      </c>
      <c r="O386" s="87" t="n">
        <v>0</v>
      </c>
      <c r="P386" s="87" t="n">
        <v>0</v>
      </c>
      <c r="Q386" s="87" t="n">
        <v>0</v>
      </c>
      <c r="R386" s="87" t="n">
        <v>0</v>
      </c>
      <c r="S386" s="47" t="n">
        <v>1.8</v>
      </c>
      <c r="T386" s="47" t="n">
        <v>65</v>
      </c>
      <c r="U386" s="47" t="n"/>
      <c r="V386" s="87" t="n">
        <v>1</v>
      </c>
      <c r="W386" s="87" t="n">
        <v>0</v>
      </c>
      <c r="Y386" t="inlineStr">
        <is>
          <t>Jan</t>
        </is>
      </c>
      <c r="Z386" s="87" t="n">
        <v>2025</v>
      </c>
      <c r="AA386" s="47">
        <f>IF(F386="",0,F386)</f>
        <v/>
      </c>
      <c r="AB386" s="87">
        <f>IF(AA386&gt;=0.1,1,0)</f>
        <v/>
      </c>
      <c r="AC386" s="87" t="n">
        <v>0</v>
      </c>
      <c r="AD386" s="47">
        <f>IF(U386="",0,U386)</f>
        <v/>
      </c>
      <c r="AE386" s="87">
        <f>IF(OR(V386=1,W386=1),1,0)</f>
        <v/>
      </c>
      <c r="AF386" s="87" t="n">
        <v>0</v>
      </c>
      <c r="AG386" t="n">
        <v>3048</v>
      </c>
      <c r="AH386" t="n">
        <v>48346</v>
      </c>
      <c r="AI386" t="n">
        <v>0</v>
      </c>
      <c r="AJ386" s="88">
        <f>IF(OR(AG386&lt;=0,AH386&lt;=0),"",LN(AG386)-LN(AH386))</f>
        <v/>
      </c>
      <c r="AK386" t="n">
        <v>7728</v>
      </c>
      <c r="AL386" t="n">
        <v>43666</v>
      </c>
      <c r="AM386" s="88">
        <f>IF(OR(AK386&lt;=0,AL386&lt;=0),"",LN(AK386)-LN(AL386))</f>
        <v/>
      </c>
      <c r="AN386" t="n">
        <v>2973</v>
      </c>
      <c r="AO386" t="n">
        <v>46717</v>
      </c>
      <c r="AP386" s="88">
        <f>IF(OR(AN386&lt;=0,AO386&lt;=0),"",LN(AN386)-LN(AO386))</f>
        <v/>
      </c>
      <c r="AQ386" t="n">
        <v>2960</v>
      </c>
      <c r="AR386" t="n">
        <v>48346</v>
      </c>
      <c r="AS386" s="88">
        <f>IF(OR(AQ386&lt;=0,AR386&lt;=0),"",LN(AQ386)-LN(AR386))</f>
        <v/>
      </c>
      <c r="AT386" t="n">
        <v>4190</v>
      </c>
      <c r="AU386" t="n">
        <v>46944</v>
      </c>
      <c r="AV386" t="n">
        <v>261</v>
      </c>
      <c r="AW386" t="n">
        <v>390</v>
      </c>
      <c r="AX386" t="n">
        <v>2641</v>
      </c>
      <c r="AY386" s="88">
        <f>IF(OR(AT386&lt;=0,AU386&lt;=0),"",LN(AT386)-LN(AU386))</f>
        <v/>
      </c>
      <c r="AZ386" s="46" t="n">
        <v>3.7</v>
      </c>
      <c r="BA386" s="46" t="n">
        <v>7.93</v>
      </c>
      <c r="BB386" s="47" t="n">
        <v>7.4</v>
      </c>
    </row>
    <row r="387">
      <c r="A387" s="48" t="n">
        <v>45677</v>
      </c>
      <c r="B387" s="49" t="n">
        <v>76898</v>
      </c>
      <c r="C387" s="50" t="n">
        <v>72.68000000000001</v>
      </c>
      <c r="D387" s="51" t="inlineStr">
        <is>
          <t>Bad</t>
        </is>
      </c>
      <c r="E387" s="52" t="n">
        <v>3.9</v>
      </c>
      <c r="F387" s="52" t="n">
        <v>0</v>
      </c>
      <c r="G387" s="51" t="inlineStr">
        <is>
          <t>Mon</t>
        </is>
      </c>
      <c r="H387" s="51" t="inlineStr">
        <is>
          <t>Weekday</t>
        </is>
      </c>
      <c r="I387" s="51" t="inlineStr">
        <is>
          <t>Winter</t>
        </is>
      </c>
      <c r="J387" s="51" t="n">
        <v>25</v>
      </c>
      <c r="K387" s="51" t="inlineStr">
        <is>
          <t>OK</t>
        </is>
      </c>
      <c r="L387" s="46" t="n">
        <v>91.36</v>
      </c>
      <c r="M387" t="inlineStr">
        <is>
          <t>Bad</t>
        </is>
      </c>
      <c r="N387" s="87" t="n">
        <v>25</v>
      </c>
      <c r="O387" s="87" t="n">
        <v>0</v>
      </c>
      <c r="P387" s="87" t="n">
        <v>0</v>
      </c>
      <c r="Q387" s="87" t="n">
        <v>0</v>
      </c>
      <c r="R387" s="87" t="n">
        <v>0</v>
      </c>
      <c r="S387" s="47" t="n">
        <v>1.7</v>
      </c>
      <c r="T387" s="47" t="n">
        <v>73.09999999999999</v>
      </c>
      <c r="U387" s="47" t="n"/>
      <c r="V387" s="87" t="n">
        <v>0</v>
      </c>
      <c r="W387" s="87" t="n">
        <v>0</v>
      </c>
      <c r="Y387" t="inlineStr">
        <is>
          <t>Jan</t>
        </is>
      </c>
      <c r="Z387" s="87" t="n">
        <v>2025</v>
      </c>
      <c r="AA387" s="47">
        <f>IF(F387="",0,F387)</f>
        <v/>
      </c>
      <c r="AB387" s="87">
        <f>IF(AA387&gt;=0.1,1,0)</f>
        <v/>
      </c>
      <c r="AC387" s="87" t="n">
        <v>1</v>
      </c>
      <c r="AD387" s="47">
        <f>IF(U387="",0,U387)</f>
        <v/>
      </c>
      <c r="AE387" s="87">
        <f>IF(OR(V387=1,W387=1),1,0)</f>
        <v/>
      </c>
      <c r="AF387" s="87" t="n">
        <v>0</v>
      </c>
      <c r="AG387" t="n">
        <v>3491</v>
      </c>
      <c r="AH387" t="n">
        <v>73407</v>
      </c>
      <c r="AI387" t="n">
        <v>0</v>
      </c>
      <c r="AJ387" s="88">
        <f>IF(OR(AG387&lt;=0,AH387&lt;=0),"",LN(AG387)-LN(AH387))</f>
        <v/>
      </c>
      <c r="AK387" t="n">
        <v>10536</v>
      </c>
      <c r="AL387" t="n">
        <v>66362</v>
      </c>
      <c r="AM387" s="88">
        <f>IF(OR(AK387&lt;=0,AL387&lt;=0),"",LN(AK387)-LN(AL387))</f>
        <v/>
      </c>
      <c r="AN387" t="n">
        <v>3426</v>
      </c>
      <c r="AO387" t="n">
        <v>70965</v>
      </c>
      <c r="AP387" s="88">
        <f>IF(OR(AN387&lt;=0,AO387&lt;=0),"",LN(AN387)-LN(AO387))</f>
        <v/>
      </c>
      <c r="AQ387" t="n">
        <v>3400</v>
      </c>
      <c r="AR387" t="n">
        <v>73407</v>
      </c>
      <c r="AS387" s="88">
        <f>IF(OR(AQ387&lt;=0,AR387&lt;=0),"",LN(AQ387)-LN(AR387))</f>
        <v/>
      </c>
      <c r="AT387" t="n">
        <v>4516</v>
      </c>
      <c r="AU387" t="n">
        <v>71980</v>
      </c>
      <c r="AV387" t="n">
        <v>412</v>
      </c>
      <c r="AW387" t="n">
        <v>278</v>
      </c>
      <c r="AX387" t="n">
        <v>3192</v>
      </c>
      <c r="AY387" s="88">
        <f>IF(OR(AT387&lt;=0,AU387&lt;=0),"",LN(AT387)-LN(AU387))</f>
        <v/>
      </c>
      <c r="AZ387" s="46" t="n">
        <v>3.8</v>
      </c>
      <c r="BA387" s="46" t="n">
        <v>7.55</v>
      </c>
      <c r="BB387" s="47" t="n">
        <v>4.8</v>
      </c>
    </row>
    <row r="388">
      <c r="A388" s="48" t="n">
        <v>45678</v>
      </c>
      <c r="B388" s="49" t="n">
        <v>76557</v>
      </c>
      <c r="C388" s="50" t="n">
        <v>91.76000000000001</v>
      </c>
      <c r="D388" s="51" t="inlineStr">
        <is>
          <t>Very Bad</t>
        </is>
      </c>
      <c r="E388" s="52" t="n">
        <v>2.4</v>
      </c>
      <c r="F388" s="52" t="n"/>
      <c r="G388" s="51" t="inlineStr">
        <is>
          <t>Tue</t>
        </is>
      </c>
      <c r="H388" s="51" t="inlineStr">
        <is>
          <t>Weekday</t>
        </is>
      </c>
      <c r="I388" s="51" t="inlineStr">
        <is>
          <t>Winter</t>
        </is>
      </c>
      <c r="J388" s="51" t="n">
        <v>25</v>
      </c>
      <c r="K388" s="51" t="inlineStr">
        <is>
          <t>강수량 공란</t>
        </is>
      </c>
      <c r="L388" s="46" t="n">
        <v>112.04</v>
      </c>
      <c r="M388" t="inlineStr">
        <is>
          <t>Bad</t>
        </is>
      </c>
      <c r="N388" s="87" t="n">
        <v>25</v>
      </c>
      <c r="O388" s="87" t="n">
        <v>0</v>
      </c>
      <c r="P388" s="87" t="n">
        <v>0</v>
      </c>
      <c r="Q388" s="87" t="n">
        <v>0</v>
      </c>
      <c r="R388" s="87" t="n">
        <v>0</v>
      </c>
      <c r="S388" s="47" t="n">
        <v>1.6</v>
      </c>
      <c r="T388" s="47" t="n">
        <v>79.8</v>
      </c>
      <c r="U388" s="47" t="n"/>
      <c r="V388" s="87" t="n">
        <v>0</v>
      </c>
      <c r="W388" s="87" t="n">
        <v>0</v>
      </c>
      <c r="Y388" t="inlineStr">
        <is>
          <t>Jan</t>
        </is>
      </c>
      <c r="Z388" s="87" t="n">
        <v>2025</v>
      </c>
      <c r="AA388" s="47">
        <f>IF(F388="",0,F388)</f>
        <v/>
      </c>
      <c r="AB388" s="87">
        <f>IF(AA388&gt;=0.1,1,0)</f>
        <v/>
      </c>
      <c r="AC388" s="87" t="n">
        <v>0</v>
      </c>
      <c r="AD388" s="47">
        <f>IF(U388="",0,U388)</f>
        <v/>
      </c>
      <c r="AE388" s="87">
        <f>IF(OR(V388=1,W388=1),1,0)</f>
        <v/>
      </c>
      <c r="AF388" s="87" t="n">
        <v>0</v>
      </c>
      <c r="AG388" t="n">
        <v>3340</v>
      </c>
      <c r="AH388" t="n">
        <v>73217</v>
      </c>
      <c r="AI388" t="n">
        <v>0</v>
      </c>
      <c r="AJ388" s="88">
        <f>IF(OR(AG388&lt;=0,AH388&lt;=0),"",LN(AG388)-LN(AH388))</f>
        <v/>
      </c>
      <c r="AK388" t="n">
        <v>10252</v>
      </c>
      <c r="AL388" t="n">
        <v>66305</v>
      </c>
      <c r="AM388" s="88">
        <f>IF(OR(AK388&lt;=0,AL388&lt;=0),"",LN(AK388)-LN(AL388))</f>
        <v/>
      </c>
      <c r="AN388" t="n">
        <v>3264</v>
      </c>
      <c r="AO388" t="n">
        <v>70638</v>
      </c>
      <c r="AP388" s="88">
        <f>IF(OR(AN388&lt;=0,AO388&lt;=0),"",LN(AN388)-LN(AO388))</f>
        <v/>
      </c>
      <c r="AQ388" t="n">
        <v>3265</v>
      </c>
      <c r="AR388" t="n">
        <v>73217</v>
      </c>
      <c r="AS388" s="88">
        <f>IF(OR(AQ388&lt;=0,AR388&lt;=0),"",LN(AQ388)-LN(AR388))</f>
        <v/>
      </c>
      <c r="AT388" t="n">
        <v>4330</v>
      </c>
      <c r="AU388" t="n">
        <v>71859</v>
      </c>
      <c r="AV388" t="n">
        <v>373</v>
      </c>
      <c r="AW388" t="n">
        <v>231</v>
      </c>
      <c r="AX388" t="n">
        <v>3093</v>
      </c>
      <c r="AY388" s="88">
        <f>IF(OR(AT388&lt;=0,AU388&lt;=0),"",LN(AT388)-LN(AU388))</f>
        <v/>
      </c>
      <c r="AZ388" s="46" t="n">
        <v>6.4</v>
      </c>
      <c r="BA388" s="46" t="n">
        <v>8.9</v>
      </c>
      <c r="BB388" s="47" t="n">
        <v>2.3</v>
      </c>
    </row>
    <row r="389">
      <c r="A389" s="48" t="n">
        <v>45679</v>
      </c>
      <c r="B389" s="49" t="n">
        <v>80515</v>
      </c>
      <c r="C389" s="50" t="n">
        <v>64.84</v>
      </c>
      <c r="D389" s="51" t="inlineStr">
        <is>
          <t>Bad</t>
        </is>
      </c>
      <c r="E389" s="52" t="n">
        <v>3.6</v>
      </c>
      <c r="F389" s="52" t="n"/>
      <c r="G389" s="51" t="inlineStr">
        <is>
          <t>Wed</t>
        </is>
      </c>
      <c r="H389" s="51" t="inlineStr">
        <is>
          <t>Weekday</t>
        </is>
      </c>
      <c r="I389" s="51" t="inlineStr">
        <is>
          <t>Winter</t>
        </is>
      </c>
      <c r="J389" s="51" t="n">
        <v>25</v>
      </c>
      <c r="K389" s="51" t="inlineStr">
        <is>
          <t>강수량 공란</t>
        </is>
      </c>
      <c r="L389" s="46" t="n">
        <v>82.8</v>
      </c>
      <c r="M389" t="inlineStr">
        <is>
          <t>Bad</t>
        </is>
      </c>
      <c r="N389" s="87" t="n">
        <v>25</v>
      </c>
      <c r="O389" s="87" t="n">
        <v>0</v>
      </c>
      <c r="P389" s="87" t="n">
        <v>0</v>
      </c>
      <c r="Q389" s="87" t="n">
        <v>0</v>
      </c>
      <c r="R389" s="87" t="n">
        <v>0</v>
      </c>
      <c r="S389" s="47" t="n">
        <v>1.9</v>
      </c>
      <c r="T389" s="47" t="n">
        <v>70.3</v>
      </c>
      <c r="U389" s="47" t="n"/>
      <c r="V389" s="87" t="n">
        <v>0</v>
      </c>
      <c r="W389" s="87" t="n">
        <v>0</v>
      </c>
      <c r="Y389" t="inlineStr">
        <is>
          <t>Jan</t>
        </is>
      </c>
      <c r="Z389" s="87" t="n">
        <v>2025</v>
      </c>
      <c r="AA389" s="47">
        <f>IF(F389="",0,F389)</f>
        <v/>
      </c>
      <c r="AB389" s="87">
        <f>IF(AA389&gt;=0.1,1,0)</f>
        <v/>
      </c>
      <c r="AC389" s="87" t="n">
        <v>0</v>
      </c>
      <c r="AD389" s="47">
        <f>IF(U389="",0,U389)</f>
        <v/>
      </c>
      <c r="AE389" s="87">
        <f>IF(OR(V389=1,W389=1),1,0)</f>
        <v/>
      </c>
      <c r="AF389" s="87" t="n">
        <v>0</v>
      </c>
      <c r="AG389" t="n">
        <v>3606</v>
      </c>
      <c r="AH389" t="n">
        <v>76909</v>
      </c>
      <c r="AI389" t="n">
        <v>0</v>
      </c>
      <c r="AJ389" s="88">
        <f>IF(OR(AG389&lt;=0,AH389&lt;=0),"",LN(AG389)-LN(AH389))</f>
        <v/>
      </c>
      <c r="AK389" t="n">
        <v>10724</v>
      </c>
      <c r="AL389" t="n">
        <v>69791</v>
      </c>
      <c r="AM389" s="88">
        <f>IF(OR(AK389&lt;=0,AL389&lt;=0),"",LN(AK389)-LN(AL389))</f>
        <v/>
      </c>
      <c r="AN389" t="n">
        <v>3514</v>
      </c>
      <c r="AO389" t="n">
        <v>74204</v>
      </c>
      <c r="AP389" s="88">
        <f>IF(OR(AN389&lt;=0,AO389&lt;=0),"",LN(AN389)-LN(AO389))</f>
        <v/>
      </c>
      <c r="AQ389" t="n">
        <v>3509</v>
      </c>
      <c r="AR389" t="n">
        <v>76909</v>
      </c>
      <c r="AS389" s="88">
        <f>IF(OR(AQ389&lt;=0,AR389&lt;=0),"",LN(AQ389)-LN(AR389))</f>
        <v/>
      </c>
      <c r="AT389" t="n">
        <v>4716</v>
      </c>
      <c r="AU389" t="n">
        <v>75406</v>
      </c>
      <c r="AV389" t="n">
        <v>402</v>
      </c>
      <c r="AW389" t="n">
        <v>260</v>
      </c>
      <c r="AX389" t="n">
        <v>3336</v>
      </c>
      <c r="AY389" s="88">
        <f>IF(OR(AT389&lt;=0,AU389&lt;=0),"",LN(AT389)-LN(AU389))</f>
        <v/>
      </c>
      <c r="AZ389" s="46" t="n">
        <v>5.5</v>
      </c>
      <c r="BA389" s="46" t="n">
        <v>9.42</v>
      </c>
      <c r="BB389" s="47" t="n">
        <v>3.4</v>
      </c>
    </row>
    <row r="390">
      <c r="A390" s="48" t="n">
        <v>45680</v>
      </c>
      <c r="B390" s="49" t="n">
        <v>81294</v>
      </c>
      <c r="C390" s="50" t="n">
        <v>36.04</v>
      </c>
      <c r="D390" s="51" t="inlineStr">
        <is>
          <t>Bad</t>
        </is>
      </c>
      <c r="E390" s="52" t="n">
        <v>2</v>
      </c>
      <c r="F390" s="52" t="n"/>
      <c r="G390" s="51" t="inlineStr">
        <is>
          <t>Thu</t>
        </is>
      </c>
      <c r="H390" s="51" t="inlineStr">
        <is>
          <t>Weekday</t>
        </is>
      </c>
      <c r="I390" s="51" t="inlineStr">
        <is>
          <t>Winter</t>
        </is>
      </c>
      <c r="J390" s="51" t="n">
        <v>25</v>
      </c>
      <c r="K390" s="51" t="inlineStr">
        <is>
          <t>강수량 공란</t>
        </is>
      </c>
      <c r="L390" s="46" t="n">
        <v>50.36</v>
      </c>
      <c r="M390" t="inlineStr">
        <is>
          <t>Moderate</t>
        </is>
      </c>
      <c r="N390" s="87" t="n">
        <v>25</v>
      </c>
      <c r="O390" s="87" t="n">
        <v>0</v>
      </c>
      <c r="P390" s="87" t="n">
        <v>0</v>
      </c>
      <c r="Q390" s="87" t="n">
        <v>0</v>
      </c>
      <c r="R390" s="87" t="n">
        <v>0</v>
      </c>
      <c r="S390" s="47" t="n">
        <v>1.6</v>
      </c>
      <c r="T390" s="47" t="n">
        <v>54.3</v>
      </c>
      <c r="U390" s="47" t="n"/>
      <c r="V390" s="87" t="n">
        <v>0</v>
      </c>
      <c r="W390" s="87" t="n">
        <v>0</v>
      </c>
      <c r="Y390" t="inlineStr">
        <is>
          <t>Jan</t>
        </is>
      </c>
      <c r="Z390" s="87" t="n">
        <v>2025</v>
      </c>
      <c r="AA390" s="47">
        <f>IF(F390="",0,F390)</f>
        <v/>
      </c>
      <c r="AB390" s="87">
        <f>IF(AA390&gt;=0.1,1,0)</f>
        <v/>
      </c>
      <c r="AC390" s="87" t="n">
        <v>0</v>
      </c>
      <c r="AD390" s="47">
        <f>IF(U390="",0,U390)</f>
        <v/>
      </c>
      <c r="AE390" s="87">
        <f>IF(OR(V390=1,W390=1),1,0)</f>
        <v/>
      </c>
      <c r="AF390" s="87" t="n">
        <v>0</v>
      </c>
      <c r="AG390" t="n">
        <v>3721</v>
      </c>
      <c r="AH390" t="n">
        <v>77573</v>
      </c>
      <c r="AI390" t="n">
        <v>0</v>
      </c>
      <c r="AJ390" s="88">
        <f>IF(OR(AG390&lt;=0,AH390&lt;=0),"",LN(AG390)-LN(AH390))</f>
        <v/>
      </c>
      <c r="AK390" t="n">
        <v>11018</v>
      </c>
      <c r="AL390" t="n">
        <v>70276</v>
      </c>
      <c r="AM390" s="88">
        <f>IF(OR(AK390&lt;=0,AL390&lt;=0),"",LN(AK390)-LN(AL390))</f>
        <v/>
      </c>
      <c r="AN390" t="n">
        <v>3642</v>
      </c>
      <c r="AO390" t="n">
        <v>74890</v>
      </c>
      <c r="AP390" s="88">
        <f>IF(OR(AN390&lt;=0,AO390&lt;=0),"",LN(AN390)-LN(AO390))</f>
        <v/>
      </c>
      <c r="AQ390" t="n">
        <v>3632</v>
      </c>
      <c r="AR390" t="n">
        <v>77573</v>
      </c>
      <c r="AS390" s="88">
        <f>IF(OR(AQ390&lt;=0,AR390&lt;=0),"",LN(AQ390)-LN(AR390))</f>
        <v/>
      </c>
      <c r="AT390" t="n">
        <v>4680</v>
      </c>
      <c r="AU390" t="n">
        <v>76221</v>
      </c>
      <c r="AV390" t="n">
        <v>405</v>
      </c>
      <c r="AW390" t="n">
        <v>286</v>
      </c>
      <c r="AX390" t="n">
        <v>3414</v>
      </c>
      <c r="AY390" s="88">
        <f>IF(OR(AT390&lt;=0,AU390&lt;=0),"",LN(AT390)-LN(AU390))</f>
        <v/>
      </c>
      <c r="AZ390" s="46" t="n">
        <v>9.300000000000001</v>
      </c>
      <c r="BA390" s="46" t="n">
        <v>13.06</v>
      </c>
      <c r="BB390" s="47" t="n">
        <v>0</v>
      </c>
    </row>
    <row r="391">
      <c r="A391" s="48" t="n">
        <v>45681</v>
      </c>
      <c r="B391" s="49" t="n">
        <v>85262</v>
      </c>
      <c r="C391" s="50" t="n">
        <v>28.56</v>
      </c>
      <c r="D391" s="51" t="inlineStr">
        <is>
          <t>Moderate</t>
        </is>
      </c>
      <c r="E391" s="52" t="n">
        <v>3.1</v>
      </c>
      <c r="F391" s="52" t="n"/>
      <c r="G391" s="51" t="inlineStr">
        <is>
          <t>Fri</t>
        </is>
      </c>
      <c r="H391" s="51" t="inlineStr">
        <is>
          <t>Weekday</t>
        </is>
      </c>
      <c r="I391" s="51" t="inlineStr">
        <is>
          <t>Winter</t>
        </is>
      </c>
      <c r="J391" s="51" t="n">
        <v>25</v>
      </c>
      <c r="K391" s="51" t="inlineStr">
        <is>
          <t>강수량 공란</t>
        </is>
      </c>
      <c r="L391" s="46" t="n">
        <v>45</v>
      </c>
      <c r="M391" t="inlineStr">
        <is>
          <t>Moderate</t>
        </is>
      </c>
      <c r="N391" s="87" t="n">
        <v>25</v>
      </c>
      <c r="O391" s="87" t="n">
        <v>0</v>
      </c>
      <c r="P391" s="87" t="n">
        <v>0</v>
      </c>
      <c r="Q391" s="87" t="n">
        <v>0</v>
      </c>
      <c r="R391" s="87" t="n">
        <v>0</v>
      </c>
      <c r="S391" s="47" t="n">
        <v>1.5</v>
      </c>
      <c r="T391" s="47" t="n">
        <v>45.9</v>
      </c>
      <c r="U391" s="47" t="n"/>
      <c r="V391" s="87" t="n">
        <v>0</v>
      </c>
      <c r="W391" s="87" t="n">
        <v>0</v>
      </c>
      <c r="Y391" t="inlineStr">
        <is>
          <t>Jan</t>
        </is>
      </c>
      <c r="Z391" s="87" t="n">
        <v>2025</v>
      </c>
      <c r="AA391" s="47">
        <f>IF(F391="",0,F391)</f>
        <v/>
      </c>
      <c r="AB391" s="87">
        <f>IF(AA391&gt;=0.1,1,0)</f>
        <v/>
      </c>
      <c r="AC391" s="87" t="n">
        <v>0</v>
      </c>
      <c r="AD391" s="47">
        <f>IF(U391="",0,U391)</f>
        <v/>
      </c>
      <c r="AE391" s="87">
        <f>IF(OR(V391=1,W391=1),1,0)</f>
        <v/>
      </c>
      <c r="AF391" s="87" t="n">
        <v>0</v>
      </c>
      <c r="AG391" t="n">
        <v>4120</v>
      </c>
      <c r="AH391" t="n">
        <v>81142</v>
      </c>
      <c r="AI391" t="n">
        <v>0</v>
      </c>
      <c r="AJ391" s="88">
        <f>IF(OR(AG391&lt;=0,AH391&lt;=0),"",LN(AG391)-LN(AH391))</f>
        <v/>
      </c>
      <c r="AK391" t="n">
        <v>11969</v>
      </c>
      <c r="AL391" t="n">
        <v>73293</v>
      </c>
      <c r="AM391" s="88">
        <f>IF(OR(AK391&lt;=0,AL391&lt;=0),"",LN(AK391)-LN(AL391))</f>
        <v/>
      </c>
      <c r="AN391" t="n">
        <v>4023</v>
      </c>
      <c r="AO391" t="n">
        <v>78320</v>
      </c>
      <c r="AP391" s="88">
        <f>IF(OR(AN391&lt;=0,AO391&lt;=0),"",LN(AN391)-LN(AO391))</f>
        <v/>
      </c>
      <c r="AQ391" t="n">
        <v>4045</v>
      </c>
      <c r="AR391" t="n">
        <v>81142</v>
      </c>
      <c r="AS391" s="88">
        <f>IF(OR(AQ391&lt;=0,AR391&lt;=0),"",LN(AQ391)-LN(AR391))</f>
        <v/>
      </c>
      <c r="AT391" t="n">
        <v>5187</v>
      </c>
      <c r="AU391" t="n">
        <v>79630</v>
      </c>
      <c r="AV391" t="n">
        <v>454</v>
      </c>
      <c r="AW391" t="n">
        <v>335</v>
      </c>
      <c r="AX391" t="n">
        <v>3764</v>
      </c>
      <c r="AY391" s="88">
        <f>IF(OR(AT391&lt;=0,AU391&lt;=0),"",LN(AT391)-LN(AU391))</f>
        <v/>
      </c>
      <c r="AZ391" s="46" t="n">
        <v>9.4</v>
      </c>
      <c r="BA391" s="46" t="n">
        <v>12.68</v>
      </c>
      <c r="BB391" s="47" t="n">
        <v>0</v>
      </c>
    </row>
    <row r="392">
      <c r="A392" s="48" t="n">
        <v>45682</v>
      </c>
      <c r="B392" s="49" t="n">
        <v>63693</v>
      </c>
      <c r="C392" s="50" t="n">
        <v>12.12</v>
      </c>
      <c r="D392" s="51" t="inlineStr">
        <is>
          <t>Good</t>
        </is>
      </c>
      <c r="E392" s="52" t="n">
        <v>5.2</v>
      </c>
      <c r="F392" s="52" t="n"/>
      <c r="G392" s="51" t="inlineStr">
        <is>
          <t>Sat</t>
        </is>
      </c>
      <c r="H392" s="51" t="inlineStr">
        <is>
          <t>Weekend</t>
        </is>
      </c>
      <c r="I392" s="51" t="inlineStr">
        <is>
          <t>Winter</t>
        </is>
      </c>
      <c r="J392" s="51" t="n">
        <v>25</v>
      </c>
      <c r="K392" s="51" t="inlineStr">
        <is>
          <t>강수량 공란</t>
        </is>
      </c>
      <c r="L392" s="46" t="n">
        <v>19.88</v>
      </c>
      <c r="M392" t="inlineStr">
        <is>
          <t>Good</t>
        </is>
      </c>
      <c r="N392" s="87" t="n">
        <v>25</v>
      </c>
      <c r="O392" s="87" t="n">
        <v>0</v>
      </c>
      <c r="P392" s="87" t="n">
        <v>0</v>
      </c>
      <c r="Q392" s="87" t="n">
        <v>0</v>
      </c>
      <c r="R392" s="87" t="n">
        <v>0</v>
      </c>
      <c r="S392" s="47" t="n">
        <v>3.1</v>
      </c>
      <c r="T392" s="47" t="n">
        <v>52.8</v>
      </c>
      <c r="U392" s="47" t="n"/>
      <c r="V392" s="87" t="n">
        <v>1</v>
      </c>
      <c r="W392" s="87" t="n">
        <v>0</v>
      </c>
      <c r="Y392" t="inlineStr">
        <is>
          <t>Jan</t>
        </is>
      </c>
      <c r="Z392" s="87" t="n">
        <v>2025</v>
      </c>
      <c r="AA392" s="47">
        <f>IF(F392="",0,F392)</f>
        <v/>
      </c>
      <c r="AB392" s="87">
        <f>IF(AA392&gt;=0.1,1,0)</f>
        <v/>
      </c>
      <c r="AC392" s="87" t="n">
        <v>0</v>
      </c>
      <c r="AD392" s="47">
        <f>IF(U392="",0,U392)</f>
        <v/>
      </c>
      <c r="AE392" s="87">
        <f>IF(OR(V392=1,W392=1),1,0)</f>
        <v/>
      </c>
      <c r="AF392" s="87" t="n">
        <v>0</v>
      </c>
      <c r="AG392" t="n">
        <v>3738</v>
      </c>
      <c r="AH392" t="n">
        <v>59955</v>
      </c>
      <c r="AI392" t="n">
        <v>0</v>
      </c>
      <c r="AJ392" s="88">
        <f>IF(OR(AG392&lt;=0,AH392&lt;=0),"",LN(AG392)-LN(AH392))</f>
        <v/>
      </c>
      <c r="AK392" t="n">
        <v>9680</v>
      </c>
      <c r="AL392" t="n">
        <v>54013</v>
      </c>
      <c r="AM392" s="88">
        <f>IF(OR(AK392&lt;=0,AL392&lt;=0),"",LN(AK392)-LN(AL392))</f>
        <v/>
      </c>
      <c r="AN392" t="n">
        <v>3624</v>
      </c>
      <c r="AO392" t="n">
        <v>58029</v>
      </c>
      <c r="AP392" s="88">
        <f>IF(OR(AN392&lt;=0,AO392&lt;=0),"",LN(AN392)-LN(AO392))</f>
        <v/>
      </c>
      <c r="AQ392" t="n">
        <v>3643</v>
      </c>
      <c r="AR392" t="n">
        <v>59955</v>
      </c>
      <c r="AS392" s="88">
        <f>IF(OR(AQ392&lt;=0,AR392&lt;=0),"",LN(AQ392)-LN(AR392))</f>
        <v/>
      </c>
      <c r="AT392" t="n">
        <v>5167</v>
      </c>
      <c r="AU392" t="n">
        <v>58201</v>
      </c>
      <c r="AV392" t="n">
        <v>325</v>
      </c>
      <c r="AW392" t="n">
        <v>462</v>
      </c>
      <c r="AX392" t="n">
        <v>3250</v>
      </c>
      <c r="AY392" s="88">
        <f>IF(OR(AT392&lt;=0,AU392&lt;=0),"",LN(AT392)-LN(AU392))</f>
        <v/>
      </c>
      <c r="AZ392" s="46" t="n">
        <v>7.7</v>
      </c>
      <c r="BA392" s="46" t="n">
        <v>11.67</v>
      </c>
      <c r="BB392" s="47" t="n">
        <v>1.1</v>
      </c>
    </row>
    <row r="393">
      <c r="A393" s="48" t="n">
        <v>45683</v>
      </c>
      <c r="B393" s="49" t="n">
        <v>49381</v>
      </c>
      <c r="C393" s="50" t="n">
        <v>6.44</v>
      </c>
      <c r="D393" s="51" t="inlineStr">
        <is>
          <t>Good</t>
        </is>
      </c>
      <c r="E393" s="52" t="n">
        <v>4.6</v>
      </c>
      <c r="F393" s="52" t="n"/>
      <c r="G393" s="51" t="inlineStr">
        <is>
          <t>Sun</t>
        </is>
      </c>
      <c r="H393" s="51" t="inlineStr">
        <is>
          <t>Weekend</t>
        </is>
      </c>
      <c r="I393" s="51" t="inlineStr">
        <is>
          <t>Winter</t>
        </is>
      </c>
      <c r="J393" s="51" t="n">
        <v>25</v>
      </c>
      <c r="K393" s="51" t="inlineStr">
        <is>
          <t>강수량 공란</t>
        </is>
      </c>
      <c r="L393" s="46" t="n">
        <v>11.56</v>
      </c>
      <c r="M393" t="inlineStr">
        <is>
          <t>Good</t>
        </is>
      </c>
      <c r="N393" s="87" t="n">
        <v>25</v>
      </c>
      <c r="O393" s="87" t="n">
        <v>0</v>
      </c>
      <c r="P393" s="87" t="n">
        <v>0</v>
      </c>
      <c r="Q393" s="87" t="n">
        <v>0</v>
      </c>
      <c r="R393" s="87" t="n">
        <v>0</v>
      </c>
      <c r="S393" s="47" t="n">
        <v>2.8</v>
      </c>
      <c r="T393" s="47" t="n">
        <v>50.5</v>
      </c>
      <c r="U393" s="47" t="n"/>
      <c r="V393" s="87" t="n">
        <v>1</v>
      </c>
      <c r="W393" s="87" t="n">
        <v>0</v>
      </c>
      <c r="Y393" t="inlineStr">
        <is>
          <t>Jan</t>
        </is>
      </c>
      <c r="Z393" s="87" t="n">
        <v>2025</v>
      </c>
      <c r="AA393" s="47">
        <f>IF(F393="",0,F393)</f>
        <v/>
      </c>
      <c r="AB393" s="87">
        <f>IF(AA393&gt;=0.1,1,0)</f>
        <v/>
      </c>
      <c r="AC393" s="87" t="n">
        <v>0</v>
      </c>
      <c r="AD393" s="47">
        <f>IF(U393="",0,U393)</f>
        <v/>
      </c>
      <c r="AE393" s="87">
        <f>IF(OR(V393=1,W393=1),1,0)</f>
        <v/>
      </c>
      <c r="AF393" s="87" t="n">
        <v>0</v>
      </c>
      <c r="AG393" t="n">
        <v>3043</v>
      </c>
      <c r="AH393" t="n">
        <v>46338</v>
      </c>
      <c r="AI393" t="n">
        <v>0</v>
      </c>
      <c r="AJ393" s="88">
        <f>IF(OR(AG393&lt;=0,AH393&lt;=0),"",LN(AG393)-LN(AH393))</f>
        <v/>
      </c>
      <c r="AK393" t="n">
        <v>7331</v>
      </c>
      <c r="AL393" t="n">
        <v>42050</v>
      </c>
      <c r="AM393" s="88">
        <f>IF(OR(AK393&lt;=0,AL393&lt;=0),"",LN(AK393)-LN(AL393))</f>
        <v/>
      </c>
      <c r="AN393" t="n">
        <v>2957</v>
      </c>
      <c r="AO393" t="n">
        <v>44816</v>
      </c>
      <c r="AP393" s="88">
        <f>IF(OR(AN393&lt;=0,AO393&lt;=0),"",LN(AN393)-LN(AO393))</f>
        <v/>
      </c>
      <c r="AQ393" t="n">
        <v>2978</v>
      </c>
      <c r="AR393" t="n">
        <v>46338</v>
      </c>
      <c r="AS393" s="88">
        <f>IF(OR(AQ393&lt;=0,AR393&lt;=0),"",LN(AQ393)-LN(AR393))</f>
        <v/>
      </c>
      <c r="AT393" t="n">
        <v>4227</v>
      </c>
      <c r="AU393" t="n">
        <v>44927</v>
      </c>
      <c r="AV393" t="n">
        <v>227</v>
      </c>
      <c r="AW393" t="n">
        <v>411</v>
      </c>
      <c r="AX393" t="n">
        <v>2617</v>
      </c>
      <c r="AY393" s="88">
        <f>IF(OR(AT393&lt;=0,AU393&lt;=0),"",LN(AT393)-LN(AU393))</f>
        <v/>
      </c>
      <c r="AZ393" s="46" t="n">
        <v>1.9</v>
      </c>
      <c r="BA393" s="46" t="n">
        <v>6.98</v>
      </c>
      <c r="BB393" s="47" t="n">
        <v>8</v>
      </c>
    </row>
    <row r="394">
      <c r="A394" s="48" t="n">
        <v>45684</v>
      </c>
      <c r="B394" s="49" t="n">
        <v>16744</v>
      </c>
      <c r="C394" s="50" t="n">
        <v>17.12</v>
      </c>
      <c r="D394" s="51" t="inlineStr">
        <is>
          <t>Moderate</t>
        </is>
      </c>
      <c r="E394" s="52" t="n">
        <v>0.2</v>
      </c>
      <c r="F394" s="52" t="n">
        <v>5.6</v>
      </c>
      <c r="G394" s="51" t="inlineStr">
        <is>
          <t>Mon</t>
        </is>
      </c>
      <c r="H394" s="51" t="inlineStr">
        <is>
          <t>Weekday</t>
        </is>
      </c>
      <c r="I394" s="51" t="inlineStr">
        <is>
          <t>Winter</t>
        </is>
      </c>
      <c r="J394" s="51" t="n">
        <v>25</v>
      </c>
      <c r="K394" s="51" t="inlineStr">
        <is>
          <t>OK</t>
        </is>
      </c>
      <c r="L394" s="46" t="n">
        <v>44.88</v>
      </c>
      <c r="M394" t="inlineStr">
        <is>
          <t>Moderate</t>
        </is>
      </c>
      <c r="N394" s="87" t="n">
        <v>25</v>
      </c>
      <c r="O394" s="87" t="n">
        <v>0</v>
      </c>
      <c r="P394" s="87" t="n">
        <v>0</v>
      </c>
      <c r="Q394" s="87" t="n">
        <v>0</v>
      </c>
      <c r="R394" s="87" t="n">
        <v>0</v>
      </c>
      <c r="S394" s="47" t="n">
        <v>3.5</v>
      </c>
      <c r="T394" s="47" t="n">
        <v>77.90000000000001</v>
      </c>
      <c r="U394" s="47" t="n">
        <v>2.6</v>
      </c>
      <c r="V394" s="87" t="n">
        <v>0</v>
      </c>
      <c r="W394" s="87" t="n">
        <v>1</v>
      </c>
      <c r="X394" t="inlineStr">
        <is>
          <t>설 임시공휴일</t>
        </is>
      </c>
      <c r="Y394" t="inlineStr">
        <is>
          <t>Jan</t>
        </is>
      </c>
      <c r="Z394" s="87" t="n">
        <v>2025</v>
      </c>
      <c r="AA394" s="47">
        <f>IF(F394="",0,F394)</f>
        <v/>
      </c>
      <c r="AB394" s="87">
        <f>IF(AA394&gt;=0.1,1,0)</f>
        <v/>
      </c>
      <c r="AC394" s="87" t="n">
        <v>0</v>
      </c>
      <c r="AD394" s="47">
        <f>IF(U394="",0,U394)</f>
        <v/>
      </c>
      <c r="AE394" s="87">
        <f>IF(OR(V394=1,W394=1),1,0)</f>
        <v/>
      </c>
      <c r="AF394" s="87" t="n">
        <v>0</v>
      </c>
      <c r="AG394" t="n">
        <v>723</v>
      </c>
      <c r="AH394" t="n">
        <v>16021</v>
      </c>
      <c r="AI394" t="n">
        <v>0</v>
      </c>
      <c r="AJ394" s="88">
        <f>IF(OR(AG394&lt;=0,AH394&lt;=0),"",LN(AG394)-LN(AH394))</f>
        <v/>
      </c>
      <c r="AK394" t="n">
        <v>2155</v>
      </c>
      <c r="AL394" t="n">
        <v>14589</v>
      </c>
      <c r="AM394" s="88">
        <f>IF(OR(AK394&lt;=0,AL394&lt;=0),"",LN(AK394)-LN(AL394))</f>
        <v/>
      </c>
      <c r="AN394" t="n">
        <v>713</v>
      </c>
      <c r="AO394" t="n">
        <v>15508</v>
      </c>
      <c r="AP394" s="88">
        <f>IF(OR(AN394&lt;=0,AO394&lt;=0),"",LN(AN394)-LN(AO394))</f>
        <v/>
      </c>
      <c r="AQ394" t="n">
        <v>699</v>
      </c>
      <c r="AR394" t="n">
        <v>16021</v>
      </c>
      <c r="AS394" s="88">
        <f>IF(OR(AQ394&lt;=0,AR394&lt;=0),"",LN(AQ394)-LN(AR394))</f>
        <v/>
      </c>
      <c r="AT394" t="n">
        <v>1474</v>
      </c>
      <c r="AU394" t="n">
        <v>15181</v>
      </c>
      <c r="AV394" t="n">
        <v>91</v>
      </c>
      <c r="AW394" t="n">
        <v>108</v>
      </c>
      <c r="AX394" t="n">
        <v>608</v>
      </c>
      <c r="AY394" s="88">
        <f>IF(OR(AT394&lt;=0,AU394&lt;=0),"",LN(AT394)-LN(AU394))</f>
        <v/>
      </c>
      <c r="AZ394" s="46" t="n">
        <v>1.2</v>
      </c>
      <c r="BA394" s="46" t="n">
        <v>4.89</v>
      </c>
      <c r="BB394" s="47" t="n">
        <v>9.300000000000001</v>
      </c>
    </row>
    <row r="395">
      <c r="A395" s="48" t="n">
        <v>45685</v>
      </c>
      <c r="B395" s="49" t="n">
        <v>15070</v>
      </c>
      <c r="C395" s="50" t="n">
        <v>20.88</v>
      </c>
      <c r="D395" s="51" t="inlineStr">
        <is>
          <t>Moderate</t>
        </is>
      </c>
      <c r="E395" s="52" t="n">
        <v>-3.9</v>
      </c>
      <c r="F395" s="52" t="n">
        <v>0.1</v>
      </c>
      <c r="G395" s="51" t="inlineStr">
        <is>
          <t>Tue</t>
        </is>
      </c>
      <c r="H395" s="51" t="inlineStr">
        <is>
          <t>Weekday</t>
        </is>
      </c>
      <c r="I395" s="51" t="inlineStr">
        <is>
          <t>Winter</t>
        </is>
      </c>
      <c r="J395" s="51" t="n">
        <v>25</v>
      </c>
      <c r="K395" s="51" t="inlineStr">
        <is>
          <t>OK</t>
        </is>
      </c>
      <c r="L395" s="46" t="n">
        <v>31.64</v>
      </c>
      <c r="M395" t="inlineStr">
        <is>
          <t>Moderate</t>
        </is>
      </c>
      <c r="N395" s="87" t="n">
        <v>25</v>
      </c>
      <c r="O395" s="87" t="n">
        <v>0</v>
      </c>
      <c r="P395" s="87" t="n">
        <v>0</v>
      </c>
      <c r="Q395" s="87" t="n">
        <v>0</v>
      </c>
      <c r="R395" s="87" t="n">
        <v>0</v>
      </c>
      <c r="S395" s="47" t="n">
        <v>4</v>
      </c>
      <c r="T395" s="47" t="n">
        <v>71.3</v>
      </c>
      <c r="U395" s="47" t="n">
        <v>0.4</v>
      </c>
      <c r="V395" s="87" t="n">
        <v>0</v>
      </c>
      <c r="W395" s="87" t="n">
        <v>1</v>
      </c>
      <c r="X395" t="inlineStr">
        <is>
          <t>설날 연휴</t>
        </is>
      </c>
      <c r="Y395" t="inlineStr">
        <is>
          <t>Jan</t>
        </is>
      </c>
      <c r="Z395" s="87" t="n">
        <v>2025</v>
      </c>
      <c r="AA395" s="47">
        <f>IF(F395="",0,F395)</f>
        <v/>
      </c>
      <c r="AB395" s="87">
        <f>IF(AA395&gt;=0.1,1,0)</f>
        <v/>
      </c>
      <c r="AC395" s="87" t="n">
        <v>0</v>
      </c>
      <c r="AD395" s="47">
        <f>IF(U395="",0,U395)</f>
        <v/>
      </c>
      <c r="AE395" s="87">
        <f>IF(OR(V395=1,W395=1),1,0)</f>
        <v/>
      </c>
      <c r="AF395" s="87" t="n">
        <v>0</v>
      </c>
      <c r="AG395" t="n">
        <v>678</v>
      </c>
      <c r="AH395" t="n">
        <v>14392</v>
      </c>
      <c r="AI395" t="n">
        <v>0</v>
      </c>
      <c r="AJ395" s="88">
        <f>IF(OR(AG395&lt;=0,AH395&lt;=0),"",LN(AG395)-LN(AH395))</f>
        <v/>
      </c>
      <c r="AK395" t="n">
        <v>2031</v>
      </c>
      <c r="AL395" t="n">
        <v>13039</v>
      </c>
      <c r="AM395" s="88">
        <f>IF(OR(AK395&lt;=0,AL395&lt;=0),"",LN(AK395)-LN(AL395))</f>
        <v/>
      </c>
      <c r="AN395" t="n">
        <v>663</v>
      </c>
      <c r="AO395" t="n">
        <v>13901</v>
      </c>
      <c r="AP395" s="88">
        <f>IF(OR(AN395&lt;=0,AO395&lt;=0),"",LN(AN395)-LN(AO395))</f>
        <v/>
      </c>
      <c r="AQ395" t="n">
        <v>658</v>
      </c>
      <c r="AR395" t="n">
        <v>14392</v>
      </c>
      <c r="AS395" s="88">
        <f>IF(OR(AQ395&lt;=0,AR395&lt;=0),"",LN(AQ395)-LN(AR395))</f>
        <v/>
      </c>
      <c r="AT395" t="n">
        <v>1468</v>
      </c>
      <c r="AU395" t="n">
        <v>13527</v>
      </c>
      <c r="AV395" t="n">
        <v>74</v>
      </c>
      <c r="AW395" t="n">
        <v>119</v>
      </c>
      <c r="AX395" t="n">
        <v>555</v>
      </c>
      <c r="AY395" s="88">
        <f>IF(OR(AT395&lt;=0,AU395&lt;=0),"",LN(AT395)-LN(AU395))</f>
        <v/>
      </c>
      <c r="AZ395" s="46" t="n">
        <v>0.6</v>
      </c>
      <c r="BA395" s="46" t="n">
        <v>5.74</v>
      </c>
      <c r="BB395" s="47" t="n">
        <v>8.4</v>
      </c>
    </row>
    <row r="396">
      <c r="A396" s="48" t="n">
        <v>45686</v>
      </c>
      <c r="B396" s="49" t="n">
        <v>16396</v>
      </c>
      <c r="C396" s="50" t="n">
        <v>19.92</v>
      </c>
      <c r="D396" s="51" t="inlineStr">
        <is>
          <t>Moderate</t>
        </is>
      </c>
      <c r="E396" s="52" t="n">
        <v>-4.6</v>
      </c>
      <c r="F396" s="52" t="n">
        <v>0.2</v>
      </c>
      <c r="G396" s="51" t="inlineStr">
        <is>
          <t>Wed</t>
        </is>
      </c>
      <c r="H396" s="51" t="inlineStr">
        <is>
          <t>Weekday</t>
        </is>
      </c>
      <c r="I396" s="51" t="inlineStr">
        <is>
          <t>Winter</t>
        </is>
      </c>
      <c r="J396" s="51" t="n">
        <v>25</v>
      </c>
      <c r="K396" s="51" t="inlineStr">
        <is>
          <t>OK</t>
        </is>
      </c>
      <c r="L396" s="46" t="n">
        <v>28.16</v>
      </c>
      <c r="M396" t="inlineStr">
        <is>
          <t>Good</t>
        </is>
      </c>
      <c r="N396" s="87" t="n">
        <v>25</v>
      </c>
      <c r="O396" s="87" t="n">
        <v>0</v>
      </c>
      <c r="P396" s="87" t="n">
        <v>0</v>
      </c>
      <c r="Q396" s="87" t="n">
        <v>0</v>
      </c>
      <c r="R396" s="87" t="n">
        <v>0</v>
      </c>
      <c r="S396" s="47" t="n">
        <v>3.1</v>
      </c>
      <c r="T396" s="47" t="n">
        <v>66.09999999999999</v>
      </c>
      <c r="U396" s="47" t="n">
        <v>1</v>
      </c>
      <c r="V396" s="87" t="n">
        <v>0</v>
      </c>
      <c r="W396" s="87" t="n">
        <v>1</v>
      </c>
      <c r="X396" t="inlineStr">
        <is>
          <t>설날</t>
        </is>
      </c>
      <c r="Y396" t="inlineStr">
        <is>
          <t>Jan</t>
        </is>
      </c>
      <c r="Z396" s="87" t="n">
        <v>2025</v>
      </c>
      <c r="AA396" s="47">
        <f>IF(F396="",0,F396)</f>
        <v/>
      </c>
      <c r="AB396" s="87">
        <f>IF(AA396&gt;=0.1,1,0)</f>
        <v/>
      </c>
      <c r="AC396" s="87" t="n">
        <v>0</v>
      </c>
      <c r="AD396" s="47">
        <f>IF(U396="",0,U396)</f>
        <v/>
      </c>
      <c r="AE396" s="87">
        <f>IF(OR(V396=1,W396=1),1,0)</f>
        <v/>
      </c>
      <c r="AF396" s="87" t="n">
        <v>0</v>
      </c>
      <c r="AG396" t="n">
        <v>843</v>
      </c>
      <c r="AH396" t="n">
        <v>15553</v>
      </c>
      <c r="AI396" t="n">
        <v>0</v>
      </c>
      <c r="AJ396" s="88">
        <f>IF(OR(AG396&lt;=0,AH396&lt;=0),"",LN(AG396)-LN(AH396))</f>
        <v/>
      </c>
      <c r="AK396" t="n">
        <v>2255</v>
      </c>
      <c r="AL396" t="n">
        <v>14141</v>
      </c>
      <c r="AM396" s="88">
        <f>IF(OR(AK396&lt;=0,AL396&lt;=0),"",LN(AK396)-LN(AL396))</f>
        <v/>
      </c>
      <c r="AN396" t="n">
        <v>826</v>
      </c>
      <c r="AO396" t="n">
        <v>14980</v>
      </c>
      <c r="AP396" s="88">
        <f>IF(OR(AN396&lt;=0,AO396&lt;=0),"",LN(AN396)-LN(AO396))</f>
        <v/>
      </c>
      <c r="AQ396" t="n">
        <v>822</v>
      </c>
      <c r="AR396" t="n">
        <v>15553</v>
      </c>
      <c r="AS396" s="88">
        <f>IF(OR(AQ396&lt;=0,AR396&lt;=0),"",LN(AQ396)-LN(AR396))</f>
        <v/>
      </c>
      <c r="AT396" t="n">
        <v>1555</v>
      </c>
      <c r="AU396" t="n">
        <v>14770</v>
      </c>
      <c r="AV396" t="n">
        <v>71</v>
      </c>
      <c r="AW396" t="n">
        <v>128</v>
      </c>
      <c r="AX396" t="n">
        <v>710</v>
      </c>
      <c r="AY396" s="88">
        <f>IF(OR(AT396&lt;=0,AU396&lt;=0),"",LN(AT396)-LN(AU396))</f>
        <v/>
      </c>
      <c r="AZ396" s="46" t="n">
        <v>6.7</v>
      </c>
      <c r="BA396" s="46" t="n">
        <v>12.35</v>
      </c>
      <c r="BB396" s="47" t="n">
        <v>4.3</v>
      </c>
    </row>
    <row r="397">
      <c r="A397" s="48" t="n">
        <v>45687</v>
      </c>
      <c r="B397" s="49" t="n">
        <v>28782</v>
      </c>
      <c r="C397" s="50" t="n">
        <v>13.04</v>
      </c>
      <c r="D397" s="51" t="inlineStr">
        <is>
          <t>Good</t>
        </is>
      </c>
      <c r="E397" s="52" t="n">
        <v>-3.8</v>
      </c>
      <c r="F397" s="52" t="n"/>
      <c r="G397" s="51" t="inlineStr">
        <is>
          <t>Thu</t>
        </is>
      </c>
      <c r="H397" s="51" t="inlineStr">
        <is>
          <t>Weekday</t>
        </is>
      </c>
      <c r="I397" s="51" t="inlineStr">
        <is>
          <t>Winter</t>
        </is>
      </c>
      <c r="J397" s="51" t="n">
        <v>25</v>
      </c>
      <c r="K397" s="51" t="inlineStr">
        <is>
          <t>강수량 공란</t>
        </is>
      </c>
      <c r="L397" s="46" t="n">
        <v>20.32</v>
      </c>
      <c r="M397" t="inlineStr">
        <is>
          <t>Good</t>
        </is>
      </c>
      <c r="N397" s="87" t="n">
        <v>25</v>
      </c>
      <c r="O397" s="87" t="n">
        <v>0</v>
      </c>
      <c r="P397" s="87" t="n">
        <v>0</v>
      </c>
      <c r="Q397" s="87" t="n">
        <v>0</v>
      </c>
      <c r="R397" s="87" t="n">
        <v>0</v>
      </c>
      <c r="S397" s="47" t="n">
        <v>1.6</v>
      </c>
      <c r="T397" s="47" t="n">
        <v>46.6</v>
      </c>
      <c r="U397" s="47" t="n"/>
      <c r="V397" s="87" t="n">
        <v>0</v>
      </c>
      <c r="W397" s="87" t="n">
        <v>1</v>
      </c>
      <c r="X397" t="inlineStr">
        <is>
          <t>설날 연휴</t>
        </is>
      </c>
      <c r="Y397" t="inlineStr">
        <is>
          <t>Jan</t>
        </is>
      </c>
      <c r="Z397" s="87" t="n">
        <v>2025</v>
      </c>
      <c r="AA397" s="47">
        <f>IF(F397="",0,F397)</f>
        <v/>
      </c>
      <c r="AB397" s="87">
        <f>IF(AA397&gt;=0.1,1,0)</f>
        <v/>
      </c>
      <c r="AC397" s="87" t="n">
        <v>0</v>
      </c>
      <c r="AD397" s="47">
        <f>IF(U397="",0,U397)</f>
        <v/>
      </c>
      <c r="AE397" s="87">
        <f>IF(OR(V397=1,W397=1),1,0)</f>
        <v/>
      </c>
      <c r="AF397" s="87" t="n">
        <v>0</v>
      </c>
      <c r="AG397" t="n">
        <v>1422</v>
      </c>
      <c r="AH397" t="n">
        <v>27360</v>
      </c>
      <c r="AI397" t="n">
        <v>0</v>
      </c>
      <c r="AJ397" s="88">
        <f>IF(OR(AG397&lt;=0,AH397&lt;=0),"",LN(AG397)-LN(AH397))</f>
        <v/>
      </c>
      <c r="AK397" t="n">
        <v>3880</v>
      </c>
      <c r="AL397" t="n">
        <v>24902</v>
      </c>
      <c r="AM397" s="88">
        <f>IF(OR(AK397&lt;=0,AL397&lt;=0),"",LN(AK397)-LN(AL397))</f>
        <v/>
      </c>
      <c r="AN397" t="n">
        <v>1386</v>
      </c>
      <c r="AO397" t="n">
        <v>26419</v>
      </c>
      <c r="AP397" s="88">
        <f>IF(OR(AN397&lt;=0,AO397&lt;=0),"",LN(AN397)-LN(AO397))</f>
        <v/>
      </c>
      <c r="AQ397" t="n">
        <v>1391</v>
      </c>
      <c r="AR397" t="n">
        <v>27360</v>
      </c>
      <c r="AS397" s="88">
        <f>IF(OR(AQ397&lt;=0,AR397&lt;=0),"",LN(AQ397)-LN(AR397))</f>
        <v/>
      </c>
      <c r="AT397" t="n">
        <v>2398</v>
      </c>
      <c r="AU397" t="n">
        <v>26264</v>
      </c>
      <c r="AV397" t="n">
        <v>122</v>
      </c>
      <c r="AW397" t="n">
        <v>172</v>
      </c>
      <c r="AX397" t="n">
        <v>1236</v>
      </c>
      <c r="AY397" s="88">
        <f>IF(OR(AT397&lt;=0,AU397&lt;=0),"",LN(AT397)-LN(AU397))</f>
        <v/>
      </c>
      <c r="AZ397" s="46" t="n">
        <v>2.7</v>
      </c>
      <c r="BA397" s="46" t="n">
        <v>8.01</v>
      </c>
      <c r="BB397" s="47" t="n">
        <v>6.6</v>
      </c>
    </row>
    <row r="398">
      <c r="A398" s="48" t="n">
        <v>45688</v>
      </c>
      <c r="B398" s="49" t="n">
        <v>26433</v>
      </c>
      <c r="C398" s="50" t="n">
        <v>24.36</v>
      </c>
      <c r="D398" s="51" t="inlineStr">
        <is>
          <t>Moderate</t>
        </is>
      </c>
      <c r="E398" s="52" t="n">
        <v>-0.8</v>
      </c>
      <c r="F398" s="52" t="n">
        <v>2.4</v>
      </c>
      <c r="G398" s="51" t="inlineStr">
        <is>
          <t>Fri</t>
        </is>
      </c>
      <c r="H398" s="51" t="inlineStr">
        <is>
          <t>Weekday</t>
        </is>
      </c>
      <c r="I398" s="51" t="inlineStr">
        <is>
          <t>Winter</t>
        </is>
      </c>
      <c r="J398" s="51" t="n">
        <v>25</v>
      </c>
      <c r="K398" s="51" t="inlineStr">
        <is>
          <t>OK</t>
        </is>
      </c>
      <c r="L398" s="46" t="n">
        <v>33.28</v>
      </c>
      <c r="M398" t="inlineStr">
        <is>
          <t>Moderate</t>
        </is>
      </c>
      <c r="N398" s="87" t="n">
        <v>25</v>
      </c>
      <c r="O398" s="87" t="n">
        <v>0</v>
      </c>
      <c r="P398" s="87" t="n">
        <v>0</v>
      </c>
      <c r="Q398" s="87" t="n">
        <v>0</v>
      </c>
      <c r="R398" s="87" t="n">
        <v>0</v>
      </c>
      <c r="S398" s="47" t="n">
        <v>2.1</v>
      </c>
      <c r="T398" s="47" t="n">
        <v>80.09999999999999</v>
      </c>
      <c r="U398" s="47" t="n">
        <v>2.9</v>
      </c>
      <c r="V398" s="87" t="n">
        <v>0</v>
      </c>
      <c r="W398" s="87" t="n">
        <v>0</v>
      </c>
      <c r="Y398" t="inlineStr">
        <is>
          <t>Jan</t>
        </is>
      </c>
      <c r="Z398" s="87" t="n">
        <v>2025</v>
      </c>
      <c r="AA398" s="47">
        <f>IF(F398="",0,F398)</f>
        <v/>
      </c>
      <c r="AB398" s="87">
        <f>IF(AA398&gt;=0.1,1,0)</f>
        <v/>
      </c>
      <c r="AC398" s="87" t="n">
        <v>0</v>
      </c>
      <c r="AD398" s="47">
        <f>IF(U398="",0,U398)</f>
        <v/>
      </c>
      <c r="AE398" s="87">
        <f>IF(OR(V398=1,W398=1),1,0)</f>
        <v/>
      </c>
      <c r="AF398" s="87" t="n">
        <v>0</v>
      </c>
      <c r="AG398" t="n">
        <v>1236</v>
      </c>
      <c r="AH398" t="n">
        <v>25197</v>
      </c>
      <c r="AI398" t="n">
        <v>0</v>
      </c>
      <c r="AJ398" s="88">
        <f>IF(OR(AG398&lt;=0,AH398&lt;=0),"",LN(AG398)-LN(AH398))</f>
        <v/>
      </c>
      <c r="AK398" t="n">
        <v>3563</v>
      </c>
      <c r="AL398" t="n">
        <v>22870</v>
      </c>
      <c r="AM398" s="88">
        <f>IF(OR(AK398&lt;=0,AL398&lt;=0),"",LN(AK398)-LN(AL398))</f>
        <v/>
      </c>
      <c r="AN398" t="n">
        <v>1210</v>
      </c>
      <c r="AO398" t="n">
        <v>24384</v>
      </c>
      <c r="AP398" s="88">
        <f>IF(OR(AN398&lt;=0,AO398&lt;=0),"",LN(AN398)-LN(AO398))</f>
        <v/>
      </c>
      <c r="AQ398" t="n">
        <v>1207</v>
      </c>
      <c r="AR398" t="n">
        <v>25197</v>
      </c>
      <c r="AS398" s="88">
        <f>IF(OR(AQ398&lt;=0,AR398&lt;=0),"",LN(AQ398)-LN(AR398))</f>
        <v/>
      </c>
      <c r="AT398" t="n">
        <v>1770</v>
      </c>
      <c r="AU398" t="n">
        <v>24551</v>
      </c>
      <c r="AV398" t="n">
        <v>112</v>
      </c>
      <c r="AW398" t="n">
        <v>88</v>
      </c>
      <c r="AX398" t="n">
        <v>1143</v>
      </c>
      <c r="AY398" s="88">
        <f>IF(OR(AT398&lt;=0,AU398&lt;=0),"",LN(AT398)-LN(AU398))</f>
        <v/>
      </c>
      <c r="AZ398" s="46" t="n">
        <v>0</v>
      </c>
      <c r="BA398" s="46" t="n">
        <v>1.83</v>
      </c>
      <c r="BB398" s="47" t="n">
        <v>9.4</v>
      </c>
    </row>
    <row r="399">
      <c r="A399" s="48" t="n">
        <v>45689</v>
      </c>
      <c r="B399" s="49" t="n">
        <v>42900</v>
      </c>
      <c r="C399" s="50" t="n">
        <v>35.92</v>
      </c>
      <c r="D399" s="51" t="inlineStr">
        <is>
          <t>Bad</t>
        </is>
      </c>
      <c r="E399" s="52" t="n">
        <v>1.6</v>
      </c>
      <c r="F399" s="52" t="n"/>
      <c r="G399" s="51" t="inlineStr">
        <is>
          <t>Sat</t>
        </is>
      </c>
      <c r="H399" s="51" t="inlineStr">
        <is>
          <t>Weekend</t>
        </is>
      </c>
      <c r="I399" s="51" t="inlineStr">
        <is>
          <t>Winter</t>
        </is>
      </c>
      <c r="J399" s="51" t="n">
        <v>25</v>
      </c>
      <c r="K399" s="51" t="inlineStr">
        <is>
          <t>강수량 공란</t>
        </is>
      </c>
      <c r="L399" s="46" t="n">
        <v>46.36</v>
      </c>
      <c r="M399" t="inlineStr">
        <is>
          <t>Moderate</t>
        </is>
      </c>
      <c r="N399" s="87" t="n">
        <v>25</v>
      </c>
      <c r="O399" s="87" t="n">
        <v>0</v>
      </c>
      <c r="P399" s="87" t="n">
        <v>0</v>
      </c>
      <c r="Q399" s="87" t="n">
        <v>0</v>
      </c>
      <c r="R399" s="87" t="n">
        <v>0</v>
      </c>
      <c r="S399" s="47" t="n">
        <v>1.6</v>
      </c>
      <c r="T399" s="47" t="n">
        <v>74.3</v>
      </c>
      <c r="U399" s="47" t="n"/>
      <c r="V399" s="87" t="n">
        <v>1</v>
      </c>
      <c r="W399" s="87" t="n">
        <v>0</v>
      </c>
      <c r="Y399" t="inlineStr">
        <is>
          <t>Feb</t>
        </is>
      </c>
      <c r="Z399" s="87" t="n">
        <v>2025</v>
      </c>
      <c r="AA399" s="47">
        <f>IF(F399="",0,F399)</f>
        <v/>
      </c>
      <c r="AB399" s="87">
        <f>IF(AA399&gt;=0.1,1,0)</f>
        <v/>
      </c>
      <c r="AC399" s="87" t="n">
        <v>0</v>
      </c>
      <c r="AD399" s="47">
        <f>IF(U399="",0,U399)</f>
        <v/>
      </c>
      <c r="AE399" s="87">
        <f>IF(OR(V399=1,W399=1),1,0)</f>
        <v/>
      </c>
      <c r="AF399" s="87" t="n">
        <v>0</v>
      </c>
      <c r="AG399" t="n">
        <v>2269</v>
      </c>
      <c r="AH399" t="n">
        <v>40631</v>
      </c>
      <c r="AI399" t="n">
        <v>0</v>
      </c>
      <c r="AJ399" s="88">
        <f>IF(OR(AG399&lt;=0,AH399&lt;=0),"",LN(AG399)-LN(AH399))</f>
        <v/>
      </c>
      <c r="AK399" t="n">
        <v>6120</v>
      </c>
      <c r="AL399" t="n">
        <v>36780</v>
      </c>
      <c r="AM399" s="88">
        <f>IF(OR(AK399&lt;=0,AL399&lt;=0),"",LN(AK399)-LN(AL399))</f>
        <v/>
      </c>
      <c r="AN399" t="n">
        <v>2192</v>
      </c>
      <c r="AO399" t="n">
        <v>39215</v>
      </c>
      <c r="AP399" s="88">
        <f>IF(OR(AN399&lt;=0,AO399&lt;=0),"",LN(AN399)-LN(AO399))</f>
        <v/>
      </c>
      <c r="AQ399" t="n">
        <v>2210</v>
      </c>
      <c r="AR399" t="n">
        <v>40631</v>
      </c>
      <c r="AS399" s="88">
        <f>IF(OR(AQ399&lt;=0,AR399&lt;=0),"",LN(AQ399)-LN(AR399))</f>
        <v/>
      </c>
      <c r="AT399" t="n">
        <v>3396</v>
      </c>
      <c r="AU399" t="n">
        <v>39290</v>
      </c>
      <c r="AV399" t="n">
        <v>211</v>
      </c>
      <c r="AW399" t="n">
        <v>273</v>
      </c>
      <c r="AX399" t="n">
        <v>1984</v>
      </c>
      <c r="AY399" s="88">
        <f>IF(OR(AT399&lt;=0,AU399&lt;=0),"",LN(AT399)-LN(AU399))</f>
        <v/>
      </c>
      <c r="AZ399" s="46" t="n">
        <v>7.3</v>
      </c>
      <c r="BA399" s="46" t="n">
        <v>11.15</v>
      </c>
      <c r="BB399" s="47" t="n">
        <v>4.3</v>
      </c>
    </row>
    <row r="400">
      <c r="A400" s="48" t="n">
        <v>45690</v>
      </c>
      <c r="B400" s="49" t="n">
        <v>47224</v>
      </c>
      <c r="C400" s="50" t="n">
        <v>29.4</v>
      </c>
      <c r="D400" s="51" t="inlineStr">
        <is>
          <t>Moderate</t>
        </is>
      </c>
      <c r="E400" s="52" t="n">
        <v>1.5</v>
      </c>
      <c r="F400" s="52" t="n">
        <v>0</v>
      </c>
      <c r="G400" s="51" t="inlineStr">
        <is>
          <t>Sun</t>
        </is>
      </c>
      <c r="H400" s="51" t="inlineStr">
        <is>
          <t>Weekend</t>
        </is>
      </c>
      <c r="I400" s="51" t="inlineStr">
        <is>
          <t>Winter</t>
        </is>
      </c>
      <c r="J400" s="51" t="n">
        <v>25</v>
      </c>
      <c r="K400" s="51" t="inlineStr">
        <is>
          <t>OK</t>
        </is>
      </c>
      <c r="L400" s="46" t="n">
        <v>41.2</v>
      </c>
      <c r="M400" t="inlineStr">
        <is>
          <t>Moderate</t>
        </is>
      </c>
      <c r="N400" s="87" t="n">
        <v>25</v>
      </c>
      <c r="O400" s="87" t="n">
        <v>0</v>
      </c>
      <c r="P400" s="87" t="n">
        <v>0</v>
      </c>
      <c r="Q400" s="87" t="n">
        <v>0</v>
      </c>
      <c r="R400" s="87" t="n">
        <v>0</v>
      </c>
      <c r="S400" s="47" t="n">
        <v>2</v>
      </c>
      <c r="T400" s="47" t="n">
        <v>67.09999999999999</v>
      </c>
      <c r="U400" s="47" t="n"/>
      <c r="V400" s="87" t="n">
        <v>1</v>
      </c>
      <c r="W400" s="87" t="n">
        <v>0</v>
      </c>
      <c r="Y400" t="inlineStr">
        <is>
          <t>Feb</t>
        </is>
      </c>
      <c r="Z400" s="87" t="n">
        <v>2025</v>
      </c>
      <c r="AA400" s="47">
        <f>IF(F400="",0,F400)</f>
        <v/>
      </c>
      <c r="AB400" s="87">
        <f>IF(AA400&gt;=0.1,1,0)</f>
        <v/>
      </c>
      <c r="AC400" s="87" t="n">
        <v>1</v>
      </c>
      <c r="AD400" s="47">
        <f>IF(U400="",0,U400)</f>
        <v/>
      </c>
      <c r="AE400" s="87">
        <f>IF(OR(V400=1,W400=1),1,0)</f>
        <v/>
      </c>
      <c r="AF400" s="87" t="n">
        <v>0</v>
      </c>
      <c r="AG400" t="n">
        <v>2862</v>
      </c>
      <c r="AH400" t="n">
        <v>44362</v>
      </c>
      <c r="AI400" t="n">
        <v>0</v>
      </c>
      <c r="AJ400" s="88">
        <f>IF(OR(AG400&lt;=0,AH400&lt;=0),"",LN(AG400)-LN(AH400))</f>
        <v/>
      </c>
      <c r="AK400" t="n">
        <v>7146</v>
      </c>
      <c r="AL400" t="n">
        <v>40078</v>
      </c>
      <c r="AM400" s="88">
        <f>IF(OR(AK400&lt;=0,AL400&lt;=0),"",LN(AK400)-LN(AL400))</f>
        <v/>
      </c>
      <c r="AN400" t="n">
        <v>2768</v>
      </c>
      <c r="AO400" t="n">
        <v>42862</v>
      </c>
      <c r="AP400" s="88">
        <f>IF(OR(AN400&lt;=0,AO400&lt;=0),"",LN(AN400)-LN(AO400))</f>
        <v/>
      </c>
      <c r="AQ400" t="n">
        <v>2787</v>
      </c>
      <c r="AR400" t="n">
        <v>44362</v>
      </c>
      <c r="AS400" s="88">
        <f>IF(OR(AQ400&lt;=0,AR400&lt;=0),"",LN(AQ400)-LN(AR400))</f>
        <v/>
      </c>
      <c r="AT400" t="n">
        <v>3982</v>
      </c>
      <c r="AU400" t="n">
        <v>43054</v>
      </c>
      <c r="AV400" t="n">
        <v>188</v>
      </c>
      <c r="AW400" t="n">
        <v>382</v>
      </c>
      <c r="AX400" t="n">
        <v>2463</v>
      </c>
      <c r="AY400" s="88">
        <f>IF(OR(AT400&lt;=0,AU400&lt;=0),"",LN(AT400)-LN(AU400))</f>
        <v/>
      </c>
      <c r="AZ400" s="46" t="n">
        <v>7.8</v>
      </c>
      <c r="BA400" s="46" t="n">
        <v>12.04</v>
      </c>
      <c r="BB400" s="47" t="n">
        <v>3.5</v>
      </c>
    </row>
    <row r="401">
      <c r="A401" s="48" t="n">
        <v>45691</v>
      </c>
      <c r="B401" s="49" t="n">
        <v>58096</v>
      </c>
      <c r="C401" s="50" t="n">
        <v>18.16</v>
      </c>
      <c r="D401" s="51" t="inlineStr">
        <is>
          <t>Moderate</t>
        </is>
      </c>
      <c r="E401" s="52" t="n">
        <v>-4.1</v>
      </c>
      <c r="F401" s="52" t="n"/>
      <c r="G401" s="51" t="inlineStr">
        <is>
          <t>Mon</t>
        </is>
      </c>
      <c r="H401" s="51" t="inlineStr">
        <is>
          <t>Weekday</t>
        </is>
      </c>
      <c r="I401" s="51" t="inlineStr">
        <is>
          <t>Winter</t>
        </is>
      </c>
      <c r="J401" s="51" t="n">
        <v>25</v>
      </c>
      <c r="K401" s="51" t="inlineStr">
        <is>
          <t>강수량 공란</t>
        </is>
      </c>
      <c r="L401" s="46" t="n">
        <v>29.64</v>
      </c>
      <c r="M401" t="inlineStr">
        <is>
          <t>Good</t>
        </is>
      </c>
      <c r="N401" s="87" t="n">
        <v>25</v>
      </c>
      <c r="O401" s="87" t="n">
        <v>0</v>
      </c>
      <c r="P401" s="87" t="n">
        <v>0</v>
      </c>
      <c r="Q401" s="87" t="n">
        <v>0</v>
      </c>
      <c r="R401" s="87" t="n">
        <v>0</v>
      </c>
      <c r="S401" s="47" t="n">
        <v>4.2</v>
      </c>
      <c r="T401" s="47" t="n">
        <v>48.8</v>
      </c>
      <c r="U401" s="47" t="n"/>
      <c r="V401" s="87" t="n">
        <v>0</v>
      </c>
      <c r="W401" s="87" t="n">
        <v>0</v>
      </c>
      <c r="Y401" t="inlineStr">
        <is>
          <t>Feb</t>
        </is>
      </c>
      <c r="Z401" s="87" t="n">
        <v>2025</v>
      </c>
      <c r="AA401" s="47">
        <f>IF(F401="",0,F401)</f>
        <v/>
      </c>
      <c r="AB401" s="87">
        <f>IF(AA401&gt;=0.1,1,0)</f>
        <v/>
      </c>
      <c r="AC401" s="87" t="n">
        <v>0</v>
      </c>
      <c r="AD401" s="47">
        <f>IF(U401="",0,U401)</f>
        <v/>
      </c>
      <c r="AE401" s="87">
        <f>IF(OR(V401=1,W401=1),1,0)</f>
        <v/>
      </c>
      <c r="AF401" s="87" t="n">
        <v>0</v>
      </c>
      <c r="AG401" t="n">
        <v>2496</v>
      </c>
      <c r="AH401" t="n">
        <v>55600</v>
      </c>
      <c r="AI401" t="n">
        <v>0</v>
      </c>
      <c r="AJ401" s="88">
        <f>IF(OR(AG401&lt;=0,AH401&lt;=0),"",LN(AG401)-LN(AH401))</f>
        <v/>
      </c>
      <c r="AK401" t="n">
        <v>7673</v>
      </c>
      <c r="AL401" t="n">
        <v>50423</v>
      </c>
      <c r="AM401" s="88">
        <f>IF(OR(AK401&lt;=0,AL401&lt;=0),"",LN(AK401)-LN(AL401))</f>
        <v/>
      </c>
      <c r="AN401" t="n">
        <v>2449</v>
      </c>
      <c r="AO401" t="n">
        <v>53618</v>
      </c>
      <c r="AP401" s="88">
        <f>IF(OR(AN401&lt;=0,AO401&lt;=0),"",LN(AN401)-LN(AO401))</f>
        <v/>
      </c>
      <c r="AQ401" t="n">
        <v>2444</v>
      </c>
      <c r="AR401" t="n">
        <v>55600</v>
      </c>
      <c r="AS401" s="88">
        <f>IF(OR(AQ401&lt;=0,AR401&lt;=0),"",LN(AQ401)-LN(AR401))</f>
        <v/>
      </c>
      <c r="AT401" t="n">
        <v>3353</v>
      </c>
      <c r="AU401" t="n">
        <v>54420</v>
      </c>
      <c r="AV401" t="n">
        <v>331</v>
      </c>
      <c r="AW401" t="n">
        <v>172</v>
      </c>
      <c r="AX401" t="n">
        <v>2317</v>
      </c>
      <c r="AY401" s="88">
        <f>IF(OR(AT401&lt;=0,AU401&lt;=0),"",LN(AT401)-LN(AU401))</f>
        <v/>
      </c>
      <c r="AZ401" s="46" t="n">
        <v>9.6</v>
      </c>
      <c r="BA401" s="46" t="n">
        <v>15.08</v>
      </c>
      <c r="BB401" s="47" t="n">
        <v>0</v>
      </c>
    </row>
    <row r="402">
      <c r="A402" s="48" t="n">
        <v>45692</v>
      </c>
      <c r="B402" s="49" t="n">
        <v>49323</v>
      </c>
      <c r="C402" s="50" t="n">
        <v>10.8</v>
      </c>
      <c r="D402" s="51" t="inlineStr">
        <is>
          <t>Good</t>
        </is>
      </c>
      <c r="E402" s="52" t="n">
        <v>-9</v>
      </c>
      <c r="F402" s="52" t="n"/>
      <c r="G402" s="51" t="inlineStr">
        <is>
          <t>Tue</t>
        </is>
      </c>
      <c r="H402" s="51" t="inlineStr">
        <is>
          <t>Weekday</t>
        </is>
      </c>
      <c r="I402" s="51" t="inlineStr">
        <is>
          <t>Winter</t>
        </is>
      </c>
      <c r="J402" s="51" t="n">
        <v>25</v>
      </c>
      <c r="K402" s="51" t="inlineStr">
        <is>
          <t>강수량 공란</t>
        </is>
      </c>
      <c r="L402" s="46" t="n">
        <v>20.56</v>
      </c>
      <c r="M402" t="inlineStr">
        <is>
          <t>Good</t>
        </is>
      </c>
      <c r="N402" s="87" t="n">
        <v>25</v>
      </c>
      <c r="O402" s="87" t="n">
        <v>0</v>
      </c>
      <c r="P402" s="87" t="n">
        <v>0</v>
      </c>
      <c r="Q402" s="87" t="n">
        <v>0</v>
      </c>
      <c r="R402" s="87" t="n">
        <v>0</v>
      </c>
      <c r="S402" s="47" t="n">
        <v>3.7</v>
      </c>
      <c r="T402" s="47" t="n">
        <v>50.8</v>
      </c>
      <c r="U402" s="47" t="n"/>
      <c r="V402" s="87" t="n">
        <v>0</v>
      </c>
      <c r="W402" s="87" t="n">
        <v>0</v>
      </c>
      <c r="Y402" t="inlineStr">
        <is>
          <t>Feb</t>
        </is>
      </c>
      <c r="Z402" s="87" t="n">
        <v>2025</v>
      </c>
      <c r="AA402" s="47">
        <f>IF(F402="",0,F402)</f>
        <v/>
      </c>
      <c r="AB402" s="87">
        <f>IF(AA402&gt;=0.1,1,0)</f>
        <v/>
      </c>
      <c r="AC402" s="87" t="n">
        <v>0</v>
      </c>
      <c r="AD402" s="47">
        <f>IF(U402="",0,U402)</f>
        <v/>
      </c>
      <c r="AE402" s="87">
        <f>IF(OR(V402=1,W402=1),1,0)</f>
        <v/>
      </c>
      <c r="AF402" s="87" t="n">
        <v>0</v>
      </c>
      <c r="AG402" t="n">
        <v>2079</v>
      </c>
      <c r="AH402" t="n">
        <v>47244</v>
      </c>
      <c r="AI402" t="n">
        <v>0</v>
      </c>
      <c r="AJ402" s="88">
        <f>IF(OR(AG402&lt;=0,AH402&lt;=0),"",LN(AG402)-LN(AH402))</f>
        <v/>
      </c>
      <c r="AK402" t="n">
        <v>6400</v>
      </c>
      <c r="AL402" t="n">
        <v>42923</v>
      </c>
      <c r="AM402" s="88">
        <f>IF(OR(AK402&lt;=0,AL402&lt;=0),"",LN(AK402)-LN(AL402))</f>
        <v/>
      </c>
      <c r="AN402" t="n">
        <v>2039</v>
      </c>
      <c r="AO402" t="n">
        <v>45588</v>
      </c>
      <c r="AP402" s="88">
        <f>IF(OR(AN402&lt;=0,AO402&lt;=0),"",LN(AN402)-LN(AO402))</f>
        <v/>
      </c>
      <c r="AQ402" t="n">
        <v>2035</v>
      </c>
      <c r="AR402" t="n">
        <v>47244</v>
      </c>
      <c r="AS402" s="88">
        <f>IF(OR(AQ402&lt;=0,AR402&lt;=0),"",LN(AQ402)-LN(AR402))</f>
        <v/>
      </c>
      <c r="AT402" t="n">
        <v>2592</v>
      </c>
      <c r="AU402" t="n">
        <v>46405</v>
      </c>
      <c r="AV402" t="n">
        <v>334</v>
      </c>
      <c r="AW402" t="n">
        <v>117</v>
      </c>
      <c r="AX402" t="n">
        <v>1947</v>
      </c>
      <c r="AY402" s="88">
        <f>IF(OR(AT402&lt;=0,AU402&lt;=0),"",LN(AT402)-LN(AU402))</f>
        <v/>
      </c>
      <c r="AZ402" s="46" t="n">
        <v>9.699999999999999</v>
      </c>
      <c r="BA402" s="46" t="n">
        <v>15.63</v>
      </c>
      <c r="BB402" s="47" t="n">
        <v>0</v>
      </c>
    </row>
    <row r="403">
      <c r="A403" s="48" t="n">
        <v>45693</v>
      </c>
      <c r="B403" s="49" t="n">
        <v>50827</v>
      </c>
      <c r="C403" s="50" t="n">
        <v>9.199999999999999</v>
      </c>
      <c r="D403" s="51" t="inlineStr">
        <is>
          <t>Good</t>
        </is>
      </c>
      <c r="E403" s="52" t="n">
        <v>-8.6</v>
      </c>
      <c r="F403" s="52" t="n"/>
      <c r="G403" s="51" t="inlineStr">
        <is>
          <t>Wed</t>
        </is>
      </c>
      <c r="H403" s="51" t="inlineStr">
        <is>
          <t>Weekday</t>
        </is>
      </c>
      <c r="I403" s="51" t="inlineStr">
        <is>
          <t>Winter</t>
        </is>
      </c>
      <c r="J403" s="51" t="n">
        <v>25</v>
      </c>
      <c r="K403" s="51" t="inlineStr">
        <is>
          <t>강수량 공란</t>
        </is>
      </c>
      <c r="L403" s="46" t="n">
        <v>18.16</v>
      </c>
      <c r="M403" t="inlineStr">
        <is>
          <t>Good</t>
        </is>
      </c>
      <c r="N403" s="87" t="n">
        <v>25</v>
      </c>
      <c r="O403" s="87" t="n">
        <v>0</v>
      </c>
      <c r="P403" s="87" t="n">
        <v>0</v>
      </c>
      <c r="Q403" s="87" t="n">
        <v>0</v>
      </c>
      <c r="R403" s="87" t="n">
        <v>0</v>
      </c>
      <c r="S403" s="47" t="n">
        <v>3.2</v>
      </c>
      <c r="T403" s="47" t="n">
        <v>49.1</v>
      </c>
      <c r="U403" s="47" t="n"/>
      <c r="V403" s="87" t="n">
        <v>0</v>
      </c>
      <c r="W403" s="87" t="n">
        <v>0</v>
      </c>
      <c r="Y403" t="inlineStr">
        <is>
          <t>Feb</t>
        </is>
      </c>
      <c r="Z403" s="87" t="n">
        <v>2025</v>
      </c>
      <c r="AA403" s="47">
        <f>IF(F403="",0,F403)</f>
        <v/>
      </c>
      <c r="AB403" s="87">
        <f>IF(AA403&gt;=0.1,1,0)</f>
        <v/>
      </c>
      <c r="AC403" s="87" t="n">
        <v>0</v>
      </c>
      <c r="AD403" s="47">
        <f>IF(U403="",0,U403)</f>
        <v/>
      </c>
      <c r="AE403" s="87">
        <f>IF(OR(V403=1,W403=1),1,0)</f>
        <v/>
      </c>
      <c r="AF403" s="87" t="n">
        <v>0</v>
      </c>
      <c r="AG403" t="n">
        <v>2131</v>
      </c>
      <c r="AH403" t="n">
        <v>48696</v>
      </c>
      <c r="AI403" t="n">
        <v>0</v>
      </c>
      <c r="AJ403" s="88">
        <f>IF(OR(AG403&lt;=0,AH403&lt;=0),"",LN(AG403)-LN(AH403))</f>
        <v/>
      </c>
      <c r="AK403" t="n">
        <v>6561</v>
      </c>
      <c r="AL403" t="n">
        <v>44266</v>
      </c>
      <c r="AM403" s="88">
        <f>IF(OR(AK403&lt;=0,AL403&lt;=0),"",LN(AK403)-LN(AL403))</f>
        <v/>
      </c>
      <c r="AN403" t="n">
        <v>2089</v>
      </c>
      <c r="AO403" t="n">
        <v>46985</v>
      </c>
      <c r="AP403" s="88">
        <f>IF(OR(AN403&lt;=0,AO403&lt;=0),"",LN(AN403)-LN(AO403))</f>
        <v/>
      </c>
      <c r="AQ403" t="n">
        <v>2084</v>
      </c>
      <c r="AR403" t="n">
        <v>48696</v>
      </c>
      <c r="AS403" s="88">
        <f>IF(OR(AQ403&lt;=0,AR403&lt;=0),"",LN(AQ403)-LN(AR403))</f>
        <v/>
      </c>
      <c r="AT403" t="n">
        <v>2727</v>
      </c>
      <c r="AU403" t="n">
        <v>47784</v>
      </c>
      <c r="AV403" t="n">
        <v>324</v>
      </c>
      <c r="AW403" t="n">
        <v>117</v>
      </c>
      <c r="AX403" t="n">
        <v>2004</v>
      </c>
      <c r="AY403" s="88">
        <f>IF(OR(AT403&lt;=0,AU403&lt;=0),"",LN(AT403)-LN(AU403))</f>
        <v/>
      </c>
      <c r="AZ403" s="46" t="n">
        <v>6.8</v>
      </c>
      <c r="BA403" s="46" t="n">
        <v>12.04</v>
      </c>
      <c r="BB403" s="47" t="n">
        <v>2</v>
      </c>
    </row>
    <row r="404">
      <c r="A404" s="48" t="n">
        <v>45694</v>
      </c>
      <c r="B404" s="49" t="n">
        <v>37900</v>
      </c>
      <c r="C404" s="50" t="n">
        <v>12.8</v>
      </c>
      <c r="D404" s="51" t="inlineStr">
        <is>
          <t>Good</t>
        </is>
      </c>
      <c r="E404" s="52" t="n">
        <v>-5.6</v>
      </c>
      <c r="F404" s="52" t="n">
        <v>2.3</v>
      </c>
      <c r="G404" s="51" t="inlineStr">
        <is>
          <t>Thu</t>
        </is>
      </c>
      <c r="H404" s="51" t="inlineStr">
        <is>
          <t>Weekday</t>
        </is>
      </c>
      <c r="I404" s="51" t="inlineStr">
        <is>
          <t>Winter</t>
        </is>
      </c>
      <c r="J404" s="51" t="n">
        <v>25</v>
      </c>
      <c r="K404" s="51" t="inlineStr">
        <is>
          <t>OK</t>
        </is>
      </c>
      <c r="L404" s="46" t="n">
        <v>22.92</v>
      </c>
      <c r="M404" t="inlineStr">
        <is>
          <t>Good</t>
        </is>
      </c>
      <c r="N404" s="87" t="n">
        <v>25</v>
      </c>
      <c r="O404" s="87" t="n">
        <v>0</v>
      </c>
      <c r="P404" s="87" t="n">
        <v>0</v>
      </c>
      <c r="Q404" s="87" t="n">
        <v>0</v>
      </c>
      <c r="R404" s="87" t="n">
        <v>0</v>
      </c>
      <c r="S404" s="47" t="n">
        <v>1.7</v>
      </c>
      <c r="T404" s="47" t="n">
        <v>59.9</v>
      </c>
      <c r="U404" s="47" t="n">
        <v>3.3</v>
      </c>
      <c r="V404" s="87" t="n">
        <v>0</v>
      </c>
      <c r="W404" s="87" t="n">
        <v>0</v>
      </c>
      <c r="Y404" t="inlineStr">
        <is>
          <t>Feb</t>
        </is>
      </c>
      <c r="Z404" s="87" t="n">
        <v>2025</v>
      </c>
      <c r="AA404" s="47">
        <f>IF(F404="",0,F404)</f>
        <v/>
      </c>
      <c r="AB404" s="87">
        <f>IF(AA404&gt;=0.1,1,0)</f>
        <v/>
      </c>
      <c r="AC404" s="87" t="n">
        <v>0</v>
      </c>
      <c r="AD404" s="47">
        <f>IF(U404="",0,U404)</f>
        <v/>
      </c>
      <c r="AE404" s="87">
        <f>IF(OR(V404=1,W404=1),1,0)</f>
        <v/>
      </c>
      <c r="AF404" s="87" t="n">
        <v>0</v>
      </c>
      <c r="AG404" t="n">
        <v>1700</v>
      </c>
      <c r="AH404" t="n">
        <v>36200</v>
      </c>
      <c r="AI404" t="n">
        <v>0</v>
      </c>
      <c r="AJ404" s="88">
        <f>IF(OR(AG404&lt;=0,AH404&lt;=0),"",LN(AG404)-LN(AH404))</f>
        <v/>
      </c>
      <c r="AK404" t="n">
        <v>4965</v>
      </c>
      <c r="AL404" t="n">
        <v>32935</v>
      </c>
      <c r="AM404" s="88">
        <f>IF(OR(AK404&lt;=0,AL404&lt;=0),"",LN(AK404)-LN(AL404))</f>
        <v/>
      </c>
      <c r="AN404" t="n">
        <v>1679</v>
      </c>
      <c r="AO404" t="n">
        <v>35010</v>
      </c>
      <c r="AP404" s="88">
        <f>IF(OR(AN404&lt;=0,AO404&lt;=0),"",LN(AN404)-LN(AO404))</f>
        <v/>
      </c>
      <c r="AQ404" t="n">
        <v>1654</v>
      </c>
      <c r="AR404" t="n">
        <v>36200</v>
      </c>
      <c r="AS404" s="88">
        <f>IF(OR(AQ404&lt;=0,AR404&lt;=0),"",LN(AQ404)-LN(AR404))</f>
        <v/>
      </c>
      <c r="AT404" t="n">
        <v>2169</v>
      </c>
      <c r="AU404" t="n">
        <v>35479</v>
      </c>
      <c r="AV404" t="n">
        <v>259</v>
      </c>
      <c r="AW404" t="n">
        <v>106</v>
      </c>
      <c r="AX404" t="n">
        <v>1593</v>
      </c>
      <c r="AY404" s="88">
        <f>IF(OR(AT404&lt;=0,AU404&lt;=0),"",LN(AT404)-LN(AU404))</f>
        <v/>
      </c>
      <c r="AZ404" s="46" t="n">
        <v>5.9</v>
      </c>
      <c r="BA404" s="46" t="n">
        <v>11.43</v>
      </c>
      <c r="BB404" s="47" t="n">
        <v>3.1</v>
      </c>
    </row>
    <row r="405">
      <c r="A405" s="48" t="n">
        <v>45695</v>
      </c>
      <c r="B405" s="49" t="n">
        <v>25537</v>
      </c>
      <c r="C405" s="50" t="n">
        <v>13.64</v>
      </c>
      <c r="D405" s="51" t="inlineStr">
        <is>
          <t>Good</t>
        </is>
      </c>
      <c r="E405" s="52" t="n">
        <v>-8</v>
      </c>
      <c r="F405" s="52" t="n">
        <v>0.4</v>
      </c>
      <c r="G405" s="51" t="inlineStr">
        <is>
          <t>Fri</t>
        </is>
      </c>
      <c r="H405" s="51" t="inlineStr">
        <is>
          <t>Weekday</t>
        </is>
      </c>
      <c r="I405" s="51" t="inlineStr">
        <is>
          <t>Winter</t>
        </is>
      </c>
      <c r="J405" s="51" t="n">
        <v>25</v>
      </c>
      <c r="K405" s="51" t="inlineStr">
        <is>
          <t>OK</t>
        </is>
      </c>
      <c r="L405" s="46" t="n">
        <v>32.4</v>
      </c>
      <c r="M405" t="inlineStr">
        <is>
          <t>Moderate</t>
        </is>
      </c>
      <c r="N405" s="87" t="n">
        <v>25</v>
      </c>
      <c r="O405" s="87" t="n">
        <v>0</v>
      </c>
      <c r="P405" s="87" t="n">
        <v>0</v>
      </c>
      <c r="Q405" s="87" t="n">
        <v>0</v>
      </c>
      <c r="R405" s="87" t="n">
        <v>0</v>
      </c>
      <c r="S405" s="47" t="n">
        <v>3.9</v>
      </c>
      <c r="T405" s="47" t="n">
        <v>60.1</v>
      </c>
      <c r="U405" s="47" t="n">
        <v>0.7</v>
      </c>
      <c r="V405" s="87" t="n">
        <v>0</v>
      </c>
      <c r="W405" s="87" t="n">
        <v>0</v>
      </c>
      <c r="Y405" t="inlineStr">
        <is>
          <t>Feb</t>
        </is>
      </c>
      <c r="Z405" s="87" t="n">
        <v>2025</v>
      </c>
      <c r="AA405" s="47">
        <f>IF(F405="",0,F405)</f>
        <v/>
      </c>
      <c r="AB405" s="87">
        <f>IF(AA405&gt;=0.1,1,0)</f>
        <v/>
      </c>
      <c r="AC405" s="87" t="n">
        <v>0</v>
      </c>
      <c r="AD405" s="47">
        <f>IF(U405="",0,U405)</f>
        <v/>
      </c>
      <c r="AE405" s="87">
        <f>IF(OR(V405=1,W405=1),1,0)</f>
        <v/>
      </c>
      <c r="AF405" s="87" t="n">
        <v>0</v>
      </c>
      <c r="AG405" t="n">
        <v>995</v>
      </c>
      <c r="AH405" t="n">
        <v>24542</v>
      </c>
      <c r="AI405" t="n">
        <v>0</v>
      </c>
      <c r="AJ405" s="88">
        <f>IF(OR(AG405&lt;=0,AH405&lt;=0),"",LN(AG405)-LN(AH405))</f>
        <v/>
      </c>
      <c r="AK405" t="n">
        <v>3268</v>
      </c>
      <c r="AL405" t="n">
        <v>22269</v>
      </c>
      <c r="AM405" s="88">
        <f>IF(OR(AK405&lt;=0,AL405&lt;=0),"",LN(AK405)-LN(AL405))</f>
        <v/>
      </c>
      <c r="AN405" t="n">
        <v>982</v>
      </c>
      <c r="AO405" t="n">
        <v>23623</v>
      </c>
      <c r="AP405" s="88">
        <f>IF(OR(AN405&lt;=0,AO405&lt;=0),"",LN(AN405)-LN(AO405))</f>
        <v/>
      </c>
      <c r="AQ405" t="n">
        <v>973</v>
      </c>
      <c r="AR405" t="n">
        <v>24542</v>
      </c>
      <c r="AS405" s="88">
        <f>IF(OR(AQ405&lt;=0,AR405&lt;=0),"",LN(AQ405)-LN(AR405))</f>
        <v/>
      </c>
      <c r="AT405" t="n">
        <v>1573</v>
      </c>
      <c r="AU405" t="n">
        <v>23761</v>
      </c>
      <c r="AV405" t="n">
        <v>204</v>
      </c>
      <c r="AW405" t="n">
        <v>70</v>
      </c>
      <c r="AX405" t="n">
        <v>913</v>
      </c>
      <c r="AY405" s="88">
        <f>IF(OR(AT405&lt;=0,AU405&lt;=0),"",LN(AT405)-LN(AU405))</f>
        <v/>
      </c>
      <c r="AZ405" s="46" t="n">
        <v>7.6</v>
      </c>
      <c r="BA405" s="46" t="n">
        <v>14.93</v>
      </c>
      <c r="BB405" s="47" t="n">
        <v>3.5</v>
      </c>
    </row>
    <row r="406">
      <c r="A406" s="48" t="n">
        <v>45696</v>
      </c>
      <c r="B406" s="49" t="n">
        <v>29052</v>
      </c>
      <c r="C406" s="50" t="n">
        <v>11.36</v>
      </c>
      <c r="D406" s="51" t="inlineStr">
        <is>
          <t>Good</t>
        </is>
      </c>
      <c r="E406" s="52" t="n">
        <v>-7.9</v>
      </c>
      <c r="F406" s="52" t="n"/>
      <c r="G406" s="51" t="inlineStr">
        <is>
          <t>Sat</t>
        </is>
      </c>
      <c r="H406" s="51" t="inlineStr">
        <is>
          <t>Weekend</t>
        </is>
      </c>
      <c r="I406" s="51" t="inlineStr">
        <is>
          <t>Winter</t>
        </is>
      </c>
      <c r="J406" s="51" t="n">
        <v>25</v>
      </c>
      <c r="K406" s="51" t="inlineStr">
        <is>
          <t>강수량 공란</t>
        </is>
      </c>
      <c r="L406" s="46" t="n">
        <v>25.52</v>
      </c>
      <c r="M406" t="inlineStr">
        <is>
          <t>Good</t>
        </is>
      </c>
      <c r="N406" s="87" t="n">
        <v>25</v>
      </c>
      <c r="O406" s="87" t="n">
        <v>0</v>
      </c>
      <c r="P406" s="87" t="n">
        <v>0</v>
      </c>
      <c r="Q406" s="87" t="n">
        <v>0</v>
      </c>
      <c r="R406" s="87" t="n">
        <v>0</v>
      </c>
      <c r="S406" s="47" t="n">
        <v>2.8</v>
      </c>
      <c r="T406" s="47" t="n">
        <v>54.5</v>
      </c>
      <c r="U406" s="47" t="n"/>
      <c r="V406" s="87" t="n">
        <v>1</v>
      </c>
      <c r="W406" s="87" t="n">
        <v>0</v>
      </c>
      <c r="Y406" t="inlineStr">
        <is>
          <t>Feb</t>
        </is>
      </c>
      <c r="Z406" s="87" t="n">
        <v>2025</v>
      </c>
      <c r="AA406" s="47">
        <f>IF(F406="",0,F406)</f>
        <v/>
      </c>
      <c r="AB406" s="87">
        <f>IF(AA406&gt;=0.1,1,0)</f>
        <v/>
      </c>
      <c r="AC406" s="87" t="n">
        <v>0</v>
      </c>
      <c r="AD406" s="47">
        <f>IF(U406="",0,U406)</f>
        <v/>
      </c>
      <c r="AE406" s="87">
        <f>IF(OR(V406=1,W406=1),1,0)</f>
        <v/>
      </c>
      <c r="AF406" s="87" t="n">
        <v>0</v>
      </c>
      <c r="AG406" t="n">
        <v>1256</v>
      </c>
      <c r="AH406" t="n">
        <v>27796</v>
      </c>
      <c r="AI406" t="n">
        <v>0</v>
      </c>
      <c r="AJ406" s="88">
        <f>IF(OR(AG406&lt;=0,AH406&lt;=0),"",LN(AG406)-LN(AH406))</f>
        <v/>
      </c>
      <c r="AK406" t="n">
        <v>3738</v>
      </c>
      <c r="AL406" t="n">
        <v>25314</v>
      </c>
      <c r="AM406" s="88">
        <f>IF(OR(AK406&lt;=0,AL406&lt;=0),"",LN(AK406)-LN(AL406))</f>
        <v/>
      </c>
      <c r="AN406" t="n">
        <v>1234</v>
      </c>
      <c r="AO406" t="n">
        <v>26834</v>
      </c>
      <c r="AP406" s="88">
        <f>IF(OR(AN406&lt;=0,AO406&lt;=0),"",LN(AN406)-LN(AO406))</f>
        <v/>
      </c>
      <c r="AQ406" t="n">
        <v>1229</v>
      </c>
      <c r="AR406" t="n">
        <v>27796</v>
      </c>
      <c r="AS406" s="88">
        <f>IF(OR(AQ406&lt;=0,AR406&lt;=0),"",LN(AQ406)-LN(AR406))</f>
        <v/>
      </c>
      <c r="AT406" t="n">
        <v>2157</v>
      </c>
      <c r="AU406" t="n">
        <v>26722</v>
      </c>
      <c r="AV406" t="n">
        <v>171</v>
      </c>
      <c r="AW406" t="n">
        <v>130</v>
      </c>
      <c r="AX406" t="n">
        <v>1119</v>
      </c>
      <c r="AY406" s="88">
        <f>IF(OR(AT406&lt;=0,AU406&lt;=0),"",LN(AT406)-LN(AU406))</f>
        <v/>
      </c>
      <c r="AZ406" s="46" t="n">
        <v>9.6</v>
      </c>
      <c r="BA406" s="46" t="n">
        <v>16.12</v>
      </c>
      <c r="BB406" s="47" t="n">
        <v>0</v>
      </c>
    </row>
    <row r="407">
      <c r="A407" s="48" t="n">
        <v>45697</v>
      </c>
      <c r="B407" s="49" t="n">
        <v>30720</v>
      </c>
      <c r="C407" s="50" t="n">
        <v>15</v>
      </c>
      <c r="D407" s="51" t="inlineStr">
        <is>
          <t>Good</t>
        </is>
      </c>
      <c r="E407" s="52" t="n">
        <v>-4.7</v>
      </c>
      <c r="F407" s="52" t="n"/>
      <c r="G407" s="51" t="inlineStr">
        <is>
          <t>Sun</t>
        </is>
      </c>
      <c r="H407" s="51" t="inlineStr">
        <is>
          <t>Weekend</t>
        </is>
      </c>
      <c r="I407" s="51" t="inlineStr">
        <is>
          <t>Winter</t>
        </is>
      </c>
      <c r="J407" s="51" t="n">
        <v>25</v>
      </c>
      <c r="K407" s="51" t="inlineStr">
        <is>
          <t>강수량 공란</t>
        </is>
      </c>
      <c r="L407" s="46" t="n">
        <v>25.36</v>
      </c>
      <c r="M407" t="inlineStr">
        <is>
          <t>Good</t>
        </is>
      </c>
      <c r="N407" s="87" t="n">
        <v>25</v>
      </c>
      <c r="O407" s="87" t="n">
        <v>0</v>
      </c>
      <c r="P407" s="87" t="n">
        <v>0</v>
      </c>
      <c r="Q407" s="87" t="n">
        <v>0</v>
      </c>
      <c r="R407" s="87" t="n">
        <v>0</v>
      </c>
      <c r="S407" s="47" t="n">
        <v>2.2</v>
      </c>
      <c r="T407" s="47" t="n">
        <v>63.8</v>
      </c>
      <c r="U407" s="47" t="n"/>
      <c r="V407" s="87" t="n">
        <v>1</v>
      </c>
      <c r="W407" s="87" t="n">
        <v>0</v>
      </c>
      <c r="Y407" t="inlineStr">
        <is>
          <t>Feb</t>
        </is>
      </c>
      <c r="Z407" s="87" t="n">
        <v>2025</v>
      </c>
      <c r="AA407" s="47">
        <f>IF(F407="",0,F407)</f>
        <v/>
      </c>
      <c r="AB407" s="87">
        <f>IF(AA407&gt;=0.1,1,0)</f>
        <v/>
      </c>
      <c r="AC407" s="87" t="n">
        <v>0</v>
      </c>
      <c r="AD407" s="47">
        <f>IF(U407="",0,U407)</f>
        <v/>
      </c>
      <c r="AE407" s="87">
        <f>IF(OR(V407=1,W407=1),1,0)</f>
        <v/>
      </c>
      <c r="AF407" s="87" t="n">
        <v>0</v>
      </c>
      <c r="AG407" t="n">
        <v>1584</v>
      </c>
      <c r="AH407" t="n">
        <v>29136</v>
      </c>
      <c r="AI407" t="n">
        <v>0</v>
      </c>
      <c r="AJ407" s="88">
        <f>IF(OR(AG407&lt;=0,AH407&lt;=0),"",LN(AG407)-LN(AH407))</f>
        <v/>
      </c>
      <c r="AK407" t="n">
        <v>4250</v>
      </c>
      <c r="AL407" t="n">
        <v>26470</v>
      </c>
      <c r="AM407" s="88">
        <f>IF(OR(AK407&lt;=0,AL407&lt;=0),"",LN(AK407)-LN(AL407))</f>
        <v/>
      </c>
      <c r="AN407" t="n">
        <v>1546</v>
      </c>
      <c r="AO407" t="n">
        <v>28123</v>
      </c>
      <c r="AP407" s="88">
        <f>IF(OR(AN407&lt;=0,AO407&lt;=0),"",LN(AN407)-LN(AO407))</f>
        <v/>
      </c>
      <c r="AQ407" t="n">
        <v>1537</v>
      </c>
      <c r="AR407" t="n">
        <v>29136</v>
      </c>
      <c r="AS407" s="88">
        <f>IF(OR(AQ407&lt;=0,AR407&lt;=0),"",LN(AQ407)-LN(AR407))</f>
        <v/>
      </c>
      <c r="AT407" t="n">
        <v>2408</v>
      </c>
      <c r="AU407" t="n">
        <v>28161</v>
      </c>
      <c r="AV407" t="n">
        <v>155</v>
      </c>
      <c r="AW407" t="n">
        <v>186</v>
      </c>
      <c r="AX407" t="n">
        <v>1389</v>
      </c>
      <c r="AY407" s="88">
        <f>IF(OR(AT407&lt;=0,AU407&lt;=0),"",LN(AT407)-LN(AU407))</f>
        <v/>
      </c>
      <c r="AZ407" s="46" t="n">
        <v>9.4</v>
      </c>
      <c r="BA407" s="46" t="n">
        <v>15.96</v>
      </c>
      <c r="BB407" s="47" t="n">
        <v>0.3</v>
      </c>
    </row>
    <row r="408">
      <c r="A408" s="48" t="n">
        <v>45698</v>
      </c>
      <c r="B408" s="49" t="n">
        <v>59298</v>
      </c>
      <c r="C408" s="50" t="n">
        <v>18.6</v>
      </c>
      <c r="D408" s="51" t="inlineStr">
        <is>
          <t>Moderate</t>
        </is>
      </c>
      <c r="E408" s="52" t="n">
        <v>-2.6</v>
      </c>
      <c r="F408" s="52" t="n">
        <v>0</v>
      </c>
      <c r="G408" s="51" t="inlineStr">
        <is>
          <t>Mon</t>
        </is>
      </c>
      <c r="H408" s="51" t="inlineStr">
        <is>
          <t>Weekday</t>
        </is>
      </c>
      <c r="I408" s="51" t="inlineStr">
        <is>
          <t>Winter</t>
        </is>
      </c>
      <c r="J408" s="51" t="n">
        <v>25</v>
      </c>
      <c r="K408" s="51" t="inlineStr">
        <is>
          <t>OK</t>
        </is>
      </c>
      <c r="L408" s="46" t="n">
        <v>26.48</v>
      </c>
      <c r="M408" t="inlineStr">
        <is>
          <t>Good</t>
        </is>
      </c>
      <c r="N408" s="87" t="n">
        <v>25</v>
      </c>
      <c r="O408" s="87" t="n">
        <v>0</v>
      </c>
      <c r="P408" s="87" t="n">
        <v>0</v>
      </c>
      <c r="Q408" s="87" t="n">
        <v>0</v>
      </c>
      <c r="R408" s="87" t="n">
        <v>0</v>
      </c>
      <c r="S408" s="47" t="n">
        <v>2.1</v>
      </c>
      <c r="T408" s="47" t="n">
        <v>61</v>
      </c>
      <c r="U408" s="47" t="n"/>
      <c r="V408" s="87" t="n">
        <v>0</v>
      </c>
      <c r="W408" s="87" t="n">
        <v>0</v>
      </c>
      <c r="Y408" t="inlineStr">
        <is>
          <t>Feb</t>
        </is>
      </c>
      <c r="Z408" s="87" t="n">
        <v>2025</v>
      </c>
      <c r="AA408" s="47">
        <f>IF(F408="",0,F408)</f>
        <v/>
      </c>
      <c r="AB408" s="87">
        <f>IF(AA408&gt;=0.1,1,0)</f>
        <v/>
      </c>
      <c r="AC408" s="87" t="n">
        <v>1</v>
      </c>
      <c r="AD408" s="47">
        <f>IF(U408="",0,U408)</f>
        <v/>
      </c>
      <c r="AE408" s="87">
        <f>IF(OR(V408=1,W408=1),1,0)</f>
        <v/>
      </c>
      <c r="AF408" s="87" t="n">
        <v>0</v>
      </c>
      <c r="AG408" t="n">
        <v>2722</v>
      </c>
      <c r="AH408" t="n">
        <v>56575</v>
      </c>
      <c r="AI408" t="n">
        <v>1</v>
      </c>
      <c r="AJ408" s="88">
        <f>IF(OR(AG408&lt;=0,AH408&lt;=0),"",LN(AG408)-LN(AH408))</f>
        <v/>
      </c>
      <c r="AK408" t="n">
        <v>8173</v>
      </c>
      <c r="AL408" t="n">
        <v>51124</v>
      </c>
      <c r="AM408" s="88">
        <f>IF(OR(AK408&lt;=0,AL408&lt;=0),"",LN(AK408)-LN(AL408))</f>
        <v/>
      </c>
      <c r="AN408" t="n">
        <v>2668</v>
      </c>
      <c r="AO408" t="n">
        <v>54656</v>
      </c>
      <c r="AP408" s="88">
        <f>IF(OR(AN408&lt;=0,AO408&lt;=0),"",LN(AN408)-LN(AO408))</f>
        <v/>
      </c>
      <c r="AQ408" t="n">
        <v>2660</v>
      </c>
      <c r="AR408" t="n">
        <v>56575</v>
      </c>
      <c r="AS408" s="88">
        <f>IF(OR(AQ408&lt;=0,AR408&lt;=0),"",LN(AQ408)-LN(AR408))</f>
        <v/>
      </c>
      <c r="AT408" t="n">
        <v>3448</v>
      </c>
      <c r="AU408" t="n">
        <v>55560</v>
      </c>
      <c r="AV408" t="n">
        <v>298</v>
      </c>
      <c r="AW408" t="n">
        <v>209</v>
      </c>
      <c r="AX408" t="n">
        <v>2497</v>
      </c>
      <c r="AY408" s="88">
        <f>IF(OR(AT408&lt;=0,AU408&lt;=0),"",LN(AT408)-LN(AU408))</f>
        <v/>
      </c>
      <c r="AZ408" s="46" t="n">
        <v>7.2</v>
      </c>
      <c r="BA408" s="46" t="n">
        <v>13.55</v>
      </c>
      <c r="BB408" s="47" t="n">
        <v>1.3</v>
      </c>
    </row>
    <row r="409">
      <c r="A409" s="48" t="n">
        <v>45699</v>
      </c>
      <c r="B409" s="49" t="n">
        <v>70882</v>
      </c>
      <c r="C409" s="50" t="n">
        <v>33.36</v>
      </c>
      <c r="D409" s="51" t="inlineStr">
        <is>
          <t>Moderate</t>
        </is>
      </c>
      <c r="E409" s="52" t="n">
        <v>0.5</v>
      </c>
      <c r="F409" s="52" t="n"/>
      <c r="G409" s="51" t="inlineStr">
        <is>
          <t>Tue</t>
        </is>
      </c>
      <c r="H409" s="51" t="inlineStr">
        <is>
          <t>Weekday</t>
        </is>
      </c>
      <c r="I409" s="51" t="inlineStr">
        <is>
          <t>Winter</t>
        </is>
      </c>
      <c r="J409" s="51" t="n">
        <v>25</v>
      </c>
      <c r="K409" s="51" t="inlineStr">
        <is>
          <t>강수량 공란</t>
        </is>
      </c>
      <c r="L409" s="46" t="n">
        <v>44.32</v>
      </c>
      <c r="M409" t="inlineStr">
        <is>
          <t>Moderate</t>
        </is>
      </c>
      <c r="N409" s="87" t="n">
        <v>25</v>
      </c>
      <c r="O409" s="87" t="n">
        <v>0</v>
      </c>
      <c r="P409" s="87" t="n">
        <v>0</v>
      </c>
      <c r="Q409" s="87" t="n">
        <v>0</v>
      </c>
      <c r="R409" s="87" t="n">
        <v>0</v>
      </c>
      <c r="S409" s="47" t="n">
        <v>2</v>
      </c>
      <c r="T409" s="47" t="n">
        <v>59.8</v>
      </c>
      <c r="U409" s="47" t="n"/>
      <c r="V409" s="87" t="n">
        <v>0</v>
      </c>
      <c r="W409" s="87" t="n">
        <v>0</v>
      </c>
      <c r="Y409" t="inlineStr">
        <is>
          <t>Feb</t>
        </is>
      </c>
      <c r="Z409" s="87" t="n">
        <v>2025</v>
      </c>
      <c r="AA409" s="47">
        <f>IF(F409="",0,F409)</f>
        <v/>
      </c>
      <c r="AB409" s="87">
        <f>IF(AA409&gt;=0.1,1,0)</f>
        <v/>
      </c>
      <c r="AC409" s="87" t="n">
        <v>0</v>
      </c>
      <c r="AD409" s="47">
        <f>IF(U409="",0,U409)</f>
        <v/>
      </c>
      <c r="AE409" s="87">
        <f>IF(OR(V409=1,W409=1),1,0)</f>
        <v/>
      </c>
      <c r="AF409" s="87" t="n">
        <v>0</v>
      </c>
      <c r="AG409" t="n">
        <v>3455</v>
      </c>
      <c r="AH409" t="n">
        <v>67427</v>
      </c>
      <c r="AI409" t="n">
        <v>0</v>
      </c>
      <c r="AJ409" s="88">
        <f>IF(OR(AG409&lt;=0,AH409&lt;=0),"",LN(AG409)-LN(AH409))</f>
        <v/>
      </c>
      <c r="AK409" t="n">
        <v>9926</v>
      </c>
      <c r="AL409" t="n">
        <v>60956</v>
      </c>
      <c r="AM409" s="88">
        <f>IF(OR(AK409&lt;=0,AL409&lt;=0),"",LN(AK409)-LN(AL409))</f>
        <v/>
      </c>
      <c r="AN409" t="n">
        <v>3384</v>
      </c>
      <c r="AO409" t="n">
        <v>65066</v>
      </c>
      <c r="AP409" s="88">
        <f>IF(OR(AN409&lt;=0,AO409&lt;=0),"",LN(AN409)-LN(AO409))</f>
        <v/>
      </c>
      <c r="AQ409" t="n">
        <v>3379</v>
      </c>
      <c r="AR409" t="n">
        <v>67427</v>
      </c>
      <c r="AS409" s="88">
        <f>IF(OR(AQ409&lt;=0,AR409&lt;=0),"",LN(AQ409)-LN(AR409))</f>
        <v/>
      </c>
      <c r="AT409" t="n">
        <v>4048</v>
      </c>
      <c r="AU409" t="n">
        <v>66449</v>
      </c>
      <c r="AV409" t="n">
        <v>394</v>
      </c>
      <c r="AW409" t="n">
        <v>261</v>
      </c>
      <c r="AX409" t="n">
        <v>3176</v>
      </c>
      <c r="AY409" s="88">
        <f>IF(OR(AT409&lt;=0,AU409&lt;=0),"",LN(AT409)-LN(AU409))</f>
        <v/>
      </c>
      <c r="AZ409" s="46" t="n">
        <v>9.4</v>
      </c>
      <c r="BA409" s="46" t="n">
        <v>14.77</v>
      </c>
      <c r="BB409" s="47" t="n">
        <v>2.1</v>
      </c>
    </row>
    <row r="410">
      <c r="A410" s="48" t="n">
        <v>45700</v>
      </c>
      <c r="B410" s="49" t="n">
        <v>35466</v>
      </c>
      <c r="C410" s="50" t="n">
        <v>29.52</v>
      </c>
      <c r="D410" s="51" t="inlineStr">
        <is>
          <t>Moderate</t>
        </is>
      </c>
      <c r="E410" s="52" t="n">
        <v>0.5</v>
      </c>
      <c r="F410" s="52" t="n">
        <v>2.5</v>
      </c>
      <c r="G410" s="51" t="inlineStr">
        <is>
          <t>Wed</t>
        </is>
      </c>
      <c r="H410" s="51" t="inlineStr">
        <is>
          <t>Weekday</t>
        </is>
      </c>
      <c r="I410" s="51" t="inlineStr">
        <is>
          <t>Winter</t>
        </is>
      </c>
      <c r="J410" s="51" t="n">
        <v>25</v>
      </c>
      <c r="K410" s="51" t="inlineStr">
        <is>
          <t>OK</t>
        </is>
      </c>
      <c r="L410" s="46" t="n">
        <v>39.92</v>
      </c>
      <c r="M410" t="inlineStr">
        <is>
          <t>Moderate</t>
        </is>
      </c>
      <c r="N410" s="87" t="n">
        <v>25</v>
      </c>
      <c r="O410" s="87" t="n">
        <v>0</v>
      </c>
      <c r="P410" s="87" t="n">
        <v>0</v>
      </c>
      <c r="Q410" s="87" t="n">
        <v>0</v>
      </c>
      <c r="R410" s="87" t="n">
        <v>0</v>
      </c>
      <c r="S410" s="47" t="n">
        <v>2.6</v>
      </c>
      <c r="T410" s="47" t="n">
        <v>75.8</v>
      </c>
      <c r="U410" s="47" t="n">
        <v>2.1</v>
      </c>
      <c r="V410" s="87" t="n">
        <v>0</v>
      </c>
      <c r="W410" s="87" t="n">
        <v>0</v>
      </c>
      <c r="Y410" t="inlineStr">
        <is>
          <t>Feb</t>
        </is>
      </c>
      <c r="Z410" s="87" t="n">
        <v>2025</v>
      </c>
      <c r="AA410" s="47">
        <f>IF(F410="",0,F410)</f>
        <v/>
      </c>
      <c r="AB410" s="87">
        <f>IF(AA410&gt;=0.1,1,0)</f>
        <v/>
      </c>
      <c r="AC410" s="87" t="n">
        <v>0</v>
      </c>
      <c r="AD410" s="47">
        <f>IF(U410="",0,U410)</f>
        <v/>
      </c>
      <c r="AE410" s="87">
        <f>IF(OR(V410=1,W410=1),1,0)</f>
        <v/>
      </c>
      <c r="AF410" s="87" t="n">
        <v>0</v>
      </c>
      <c r="AG410" t="n">
        <v>1558</v>
      </c>
      <c r="AH410" t="n">
        <v>33908</v>
      </c>
      <c r="AI410" t="n">
        <v>0</v>
      </c>
      <c r="AJ410" s="88">
        <f>IF(OR(AG410&lt;=0,AH410&lt;=0),"",LN(AG410)-LN(AH410))</f>
        <v/>
      </c>
      <c r="AK410" t="n">
        <v>4790</v>
      </c>
      <c r="AL410" t="n">
        <v>30676</v>
      </c>
      <c r="AM410" s="88">
        <f>IF(OR(AK410&lt;=0,AL410&lt;=0),"",LN(AK410)-LN(AL410))</f>
        <v/>
      </c>
      <c r="AN410" t="n">
        <v>1526</v>
      </c>
      <c r="AO410" t="n">
        <v>32767</v>
      </c>
      <c r="AP410" s="88">
        <f>IF(OR(AN410&lt;=0,AO410&lt;=0),"",LN(AN410)-LN(AO410))</f>
        <v/>
      </c>
      <c r="AQ410" t="n">
        <v>1525</v>
      </c>
      <c r="AR410" t="n">
        <v>33908</v>
      </c>
      <c r="AS410" s="88">
        <f>IF(OR(AQ410&lt;=0,AR410&lt;=0),"",LN(AQ410)-LN(AR410))</f>
        <v/>
      </c>
      <c r="AT410" t="n">
        <v>2019</v>
      </c>
      <c r="AU410" t="n">
        <v>33259</v>
      </c>
      <c r="AV410" t="n">
        <v>189</v>
      </c>
      <c r="AW410" t="n">
        <v>106</v>
      </c>
      <c r="AX410" t="n">
        <v>1442</v>
      </c>
      <c r="AY410" s="88">
        <f>IF(OR(AT410&lt;=0,AU410&lt;=0),"",LN(AT410)-LN(AU410))</f>
        <v/>
      </c>
      <c r="AZ410" s="46" t="n">
        <v>0</v>
      </c>
      <c r="BA410" s="46" t="n">
        <v>1.28</v>
      </c>
      <c r="BB410" s="47" t="n">
        <v>7.5</v>
      </c>
    </row>
    <row r="411">
      <c r="A411" s="48" t="n">
        <v>45701</v>
      </c>
      <c r="B411" s="49" t="n">
        <v>68731</v>
      </c>
      <c r="C411" s="50" t="n">
        <v>10.56</v>
      </c>
      <c r="D411" s="51" t="inlineStr">
        <is>
          <t>Good</t>
        </is>
      </c>
      <c r="E411" s="52" t="n">
        <v>0.2</v>
      </c>
      <c r="F411" s="52" t="n"/>
      <c r="G411" s="51" t="inlineStr">
        <is>
          <t>Thu</t>
        </is>
      </c>
      <c r="H411" s="51" t="inlineStr">
        <is>
          <t>Weekday</t>
        </is>
      </c>
      <c r="I411" s="51" t="inlineStr">
        <is>
          <t>Winter</t>
        </is>
      </c>
      <c r="J411" s="51" t="n">
        <v>25</v>
      </c>
      <c r="K411" s="51" t="inlineStr">
        <is>
          <t>강수량 공란</t>
        </is>
      </c>
      <c r="L411" s="46" t="n">
        <v>28.6</v>
      </c>
      <c r="M411" t="inlineStr">
        <is>
          <t>Good</t>
        </is>
      </c>
      <c r="N411" s="87" t="n">
        <v>25</v>
      </c>
      <c r="O411" s="87" t="n">
        <v>0</v>
      </c>
      <c r="P411" s="87" t="n">
        <v>0</v>
      </c>
      <c r="Q411" s="87" t="n">
        <v>0</v>
      </c>
      <c r="R411" s="87" t="n">
        <v>0</v>
      </c>
      <c r="S411" s="47" t="n">
        <v>2.2</v>
      </c>
      <c r="T411" s="47" t="n">
        <v>53.1</v>
      </c>
      <c r="U411" s="47" t="n"/>
      <c r="V411" s="87" t="n">
        <v>0</v>
      </c>
      <c r="W411" s="87" t="n">
        <v>0</v>
      </c>
      <c r="Y411" t="inlineStr">
        <is>
          <t>Feb</t>
        </is>
      </c>
      <c r="Z411" s="87" t="n">
        <v>2025</v>
      </c>
      <c r="AA411" s="47">
        <f>IF(F411="",0,F411)</f>
        <v/>
      </c>
      <c r="AB411" s="87">
        <f>IF(AA411&gt;=0.1,1,0)</f>
        <v/>
      </c>
      <c r="AC411" s="87" t="n">
        <v>0</v>
      </c>
      <c r="AD411" s="47">
        <f>IF(U411="",0,U411)</f>
        <v/>
      </c>
      <c r="AE411" s="87">
        <f>IF(OR(V411=1,W411=1),1,0)</f>
        <v/>
      </c>
      <c r="AF411" s="87" t="n">
        <v>0</v>
      </c>
      <c r="AG411" t="n">
        <v>3259</v>
      </c>
      <c r="AH411" t="n">
        <v>65472</v>
      </c>
      <c r="AI411" t="n">
        <v>0</v>
      </c>
      <c r="AJ411" s="88">
        <f>IF(OR(AG411&lt;=0,AH411&lt;=0),"",LN(AG411)-LN(AH411))</f>
        <v/>
      </c>
      <c r="AK411" t="n">
        <v>9604</v>
      </c>
      <c r="AL411" t="n">
        <v>59127</v>
      </c>
      <c r="AM411" s="88">
        <f>IF(OR(AK411&lt;=0,AL411&lt;=0),"",LN(AK411)-LN(AL411))</f>
        <v/>
      </c>
      <c r="AN411" t="n">
        <v>3192</v>
      </c>
      <c r="AO411" t="n">
        <v>63126</v>
      </c>
      <c r="AP411" s="88">
        <f>IF(OR(AN411&lt;=0,AO411&lt;=0),"",LN(AN411)-LN(AO411))</f>
        <v/>
      </c>
      <c r="AQ411" t="n">
        <v>3170</v>
      </c>
      <c r="AR411" t="n">
        <v>65472</v>
      </c>
      <c r="AS411" s="88">
        <f>IF(OR(AQ411&lt;=0,AR411&lt;=0),"",LN(AQ411)-LN(AR411))</f>
        <v/>
      </c>
      <c r="AT411" t="n">
        <v>3993</v>
      </c>
      <c r="AU411" t="n">
        <v>64390</v>
      </c>
      <c r="AV411" t="n">
        <v>366</v>
      </c>
      <c r="AW411" t="n">
        <v>250</v>
      </c>
      <c r="AX411" t="n">
        <v>2991</v>
      </c>
      <c r="AY411" s="88">
        <f>IF(OR(AT411&lt;=0,AU411&lt;=0),"",LN(AT411)-LN(AU411))</f>
        <v/>
      </c>
      <c r="AZ411" s="46" t="n">
        <v>9.6</v>
      </c>
      <c r="BA411" s="46" t="n">
        <v>16.5</v>
      </c>
      <c r="BB411" s="47" t="n">
        <v>0</v>
      </c>
    </row>
    <row r="412">
      <c r="A412" s="48" t="n">
        <v>45702</v>
      </c>
      <c r="B412" s="49" t="n">
        <v>79241</v>
      </c>
      <c r="C412" s="50" t="n">
        <v>35.04</v>
      </c>
      <c r="D412" s="51" t="inlineStr">
        <is>
          <t>Bad</t>
        </is>
      </c>
      <c r="E412" s="52" t="n">
        <v>3.7</v>
      </c>
      <c r="F412" s="52" t="n"/>
      <c r="G412" s="51" t="inlineStr">
        <is>
          <t>Fri</t>
        </is>
      </c>
      <c r="H412" s="51" t="inlineStr">
        <is>
          <t>Weekday</t>
        </is>
      </c>
      <c r="I412" s="51" t="inlineStr">
        <is>
          <t>Winter</t>
        </is>
      </c>
      <c r="J412" s="51" t="n">
        <v>25</v>
      </c>
      <c r="K412" s="51" t="inlineStr">
        <is>
          <t>강수량 공란</t>
        </is>
      </c>
      <c r="L412" s="46" t="n">
        <v>64.92</v>
      </c>
      <c r="M412" t="inlineStr">
        <is>
          <t>Moderate</t>
        </is>
      </c>
      <c r="N412" s="87" t="n">
        <v>25</v>
      </c>
      <c r="O412" s="87" t="n">
        <v>0</v>
      </c>
      <c r="P412" s="87" t="n">
        <v>0</v>
      </c>
      <c r="Q412" s="87" t="n">
        <v>0</v>
      </c>
      <c r="R412" s="87" t="n">
        <v>0</v>
      </c>
      <c r="S412" s="47" t="n">
        <v>1.9</v>
      </c>
      <c r="T412" s="47" t="n">
        <v>67.40000000000001</v>
      </c>
      <c r="U412" s="47" t="n"/>
      <c r="V412" s="87" t="n">
        <v>0</v>
      </c>
      <c r="W412" s="87" t="n">
        <v>0</v>
      </c>
      <c r="Y412" t="inlineStr">
        <is>
          <t>Feb</t>
        </is>
      </c>
      <c r="Z412" s="87" t="n">
        <v>2025</v>
      </c>
      <c r="AA412" s="47">
        <f>IF(F412="",0,F412)</f>
        <v/>
      </c>
      <c r="AB412" s="87">
        <f>IF(AA412&gt;=0.1,1,0)</f>
        <v/>
      </c>
      <c r="AC412" s="87" t="n">
        <v>0</v>
      </c>
      <c r="AD412" s="47">
        <f>IF(U412="",0,U412)</f>
        <v/>
      </c>
      <c r="AE412" s="87">
        <f>IF(OR(V412=1,W412=1),1,0)</f>
        <v/>
      </c>
      <c r="AF412" s="87" t="n">
        <v>0</v>
      </c>
      <c r="AG412" t="n">
        <v>4095</v>
      </c>
      <c r="AH412" t="n">
        <v>75145</v>
      </c>
      <c r="AI412" t="n">
        <v>1</v>
      </c>
      <c r="AJ412" s="88">
        <f>IF(OR(AG412&lt;=0,AH412&lt;=0),"",LN(AG412)-LN(AH412))</f>
        <v/>
      </c>
      <c r="AK412" t="n">
        <v>11408</v>
      </c>
      <c r="AL412" t="n">
        <v>67832</v>
      </c>
      <c r="AM412" s="88">
        <f>IF(OR(AK412&lt;=0,AL412&lt;=0),"",LN(AK412)-LN(AL412))</f>
        <v/>
      </c>
      <c r="AN412" t="n">
        <v>3997</v>
      </c>
      <c r="AO412" t="n">
        <v>72539</v>
      </c>
      <c r="AP412" s="88">
        <f>IF(OR(AN412&lt;=0,AO412&lt;=0),"",LN(AN412)-LN(AO412))</f>
        <v/>
      </c>
      <c r="AQ412" t="n">
        <v>4006</v>
      </c>
      <c r="AR412" t="n">
        <v>75145</v>
      </c>
      <c r="AS412" s="88">
        <f>IF(OR(AQ412&lt;=0,AR412&lt;=0),"",LN(AQ412)-LN(AR412))</f>
        <v/>
      </c>
      <c r="AT412" t="n">
        <v>4838</v>
      </c>
      <c r="AU412" t="n">
        <v>73917</v>
      </c>
      <c r="AV412" t="n">
        <v>491</v>
      </c>
      <c r="AW412" t="n">
        <v>336</v>
      </c>
      <c r="AX412" t="n">
        <v>3727</v>
      </c>
      <c r="AY412" s="88">
        <f>IF(OR(AT412&lt;=0,AU412&lt;=0),"",LN(AT412)-LN(AU412))</f>
        <v/>
      </c>
      <c r="AZ412" s="46" t="n">
        <v>9.5</v>
      </c>
      <c r="BA412" s="46" t="n">
        <v>14.75</v>
      </c>
      <c r="BB412" s="47" t="n">
        <v>1.5</v>
      </c>
    </row>
    <row r="413">
      <c r="A413" s="48" t="n">
        <v>45703</v>
      </c>
      <c r="B413" s="49" t="n">
        <v>60406</v>
      </c>
      <c r="C413" s="50" t="n">
        <v>44.16</v>
      </c>
      <c r="D413" s="51" t="inlineStr">
        <is>
          <t>Bad</t>
        </is>
      </c>
      <c r="E413" s="52" t="n">
        <v>4.1</v>
      </c>
      <c r="F413" s="52" t="n"/>
      <c r="G413" s="51" t="inlineStr">
        <is>
          <t>Sat</t>
        </is>
      </c>
      <c r="H413" s="51" t="inlineStr">
        <is>
          <t>Weekend</t>
        </is>
      </c>
      <c r="I413" s="51" t="inlineStr">
        <is>
          <t>Winter</t>
        </is>
      </c>
      <c r="J413" s="51" t="n">
        <v>25</v>
      </c>
      <c r="K413" s="51" t="inlineStr">
        <is>
          <t>강수량 공란</t>
        </is>
      </c>
      <c r="L413" s="46" t="n">
        <v>64.68000000000001</v>
      </c>
      <c r="M413" t="inlineStr">
        <is>
          <t>Moderate</t>
        </is>
      </c>
      <c r="N413" s="87" t="n">
        <v>25</v>
      </c>
      <c r="O413" s="87" t="n">
        <v>0</v>
      </c>
      <c r="P413" s="87" t="n">
        <v>0</v>
      </c>
      <c r="Q413" s="87" t="n">
        <v>0</v>
      </c>
      <c r="R413" s="87" t="n">
        <v>0</v>
      </c>
      <c r="S413" s="47" t="n">
        <v>1.6</v>
      </c>
      <c r="T413" s="47" t="n">
        <v>76.5</v>
      </c>
      <c r="U413" s="47" t="n"/>
      <c r="V413" s="87" t="n">
        <v>1</v>
      </c>
      <c r="W413" s="87" t="n">
        <v>0</v>
      </c>
      <c r="Y413" t="inlineStr">
        <is>
          <t>Feb</t>
        </is>
      </c>
      <c r="Z413" s="87" t="n">
        <v>2025</v>
      </c>
      <c r="AA413" s="47">
        <f>IF(F413="",0,F413)</f>
        <v/>
      </c>
      <c r="AB413" s="87">
        <f>IF(AA413&gt;=0.1,1,0)</f>
        <v/>
      </c>
      <c r="AC413" s="87" t="n">
        <v>0</v>
      </c>
      <c r="AD413" s="47">
        <f>IF(U413="",0,U413)</f>
        <v/>
      </c>
      <c r="AE413" s="87">
        <f>IF(OR(V413=1,W413=1),1,0)</f>
        <v/>
      </c>
      <c r="AF413" s="87" t="n">
        <v>0</v>
      </c>
      <c r="AG413" t="n">
        <v>3416</v>
      </c>
      <c r="AH413" t="n">
        <v>56990</v>
      </c>
      <c r="AI413" t="n">
        <v>0</v>
      </c>
      <c r="AJ413" s="88">
        <f>IF(OR(AG413&lt;=0,AH413&lt;=0),"",LN(AG413)-LN(AH413))</f>
        <v/>
      </c>
      <c r="AK413" t="n">
        <v>8961</v>
      </c>
      <c r="AL413" t="n">
        <v>51445</v>
      </c>
      <c r="AM413" s="88">
        <f>IF(OR(AK413&lt;=0,AL413&lt;=0),"",LN(AK413)-LN(AL413))</f>
        <v/>
      </c>
      <c r="AN413" t="n">
        <v>3324</v>
      </c>
      <c r="AO413" t="n">
        <v>55062</v>
      </c>
      <c r="AP413" s="88">
        <f>IF(OR(AN413&lt;=0,AO413&lt;=0),"",LN(AN413)-LN(AO413))</f>
        <v/>
      </c>
      <c r="AQ413" t="n">
        <v>3324</v>
      </c>
      <c r="AR413" t="n">
        <v>56990</v>
      </c>
      <c r="AS413" s="88">
        <f>IF(OR(AQ413&lt;=0,AR413&lt;=0),"",LN(AQ413)-LN(AR413))</f>
        <v/>
      </c>
      <c r="AT413" t="n">
        <v>4448</v>
      </c>
      <c r="AU413" t="n">
        <v>55652</v>
      </c>
      <c r="AV413" t="n">
        <v>314</v>
      </c>
      <c r="AW413" t="n">
        <v>372</v>
      </c>
      <c r="AX413" t="n">
        <v>3017</v>
      </c>
      <c r="AY413" s="88">
        <f>IF(OR(AT413&lt;=0,AU413&lt;=0),"",LN(AT413)-LN(AU413))</f>
        <v/>
      </c>
      <c r="AZ413" s="46" t="n">
        <v>0.9</v>
      </c>
      <c r="BA413" s="46" t="n">
        <v>7.95</v>
      </c>
      <c r="BB413" s="47" t="n">
        <v>5.4</v>
      </c>
    </row>
    <row r="414">
      <c r="A414" s="48" t="n">
        <v>45704</v>
      </c>
      <c r="B414" s="49" t="n">
        <v>53209</v>
      </c>
      <c r="C414" s="50" t="n">
        <v>49.32</v>
      </c>
      <c r="D414" s="51" t="inlineStr">
        <is>
          <t>Bad</t>
        </is>
      </c>
      <c r="E414" s="52" t="n">
        <v>4.3</v>
      </c>
      <c r="F414" s="52" t="n"/>
      <c r="G414" s="51" t="inlineStr">
        <is>
          <t>Sun</t>
        </is>
      </c>
      <c r="H414" s="51" t="inlineStr">
        <is>
          <t>Weekend</t>
        </is>
      </c>
      <c r="I414" s="51" t="inlineStr">
        <is>
          <t>Winter</t>
        </is>
      </c>
      <c r="J414" s="51" t="n">
        <v>25</v>
      </c>
      <c r="K414" s="51" t="inlineStr">
        <is>
          <t>강수량 공란</t>
        </is>
      </c>
      <c r="L414" s="46" t="n">
        <v>68.36</v>
      </c>
      <c r="M414" t="inlineStr">
        <is>
          <t>Moderate</t>
        </is>
      </c>
      <c r="N414" s="87" t="n">
        <v>25</v>
      </c>
      <c r="O414" s="87" t="n">
        <v>0</v>
      </c>
      <c r="P414" s="87" t="n">
        <v>0</v>
      </c>
      <c r="Q414" s="87" t="n">
        <v>0</v>
      </c>
      <c r="R414" s="87" t="n">
        <v>0</v>
      </c>
      <c r="S414" s="47" t="n">
        <v>2.5</v>
      </c>
      <c r="T414" s="47" t="n">
        <v>75.59999999999999</v>
      </c>
      <c r="U414" s="47" t="n"/>
      <c r="V414" s="87" t="n">
        <v>1</v>
      </c>
      <c r="W414" s="87" t="n">
        <v>0</v>
      </c>
      <c r="Y414" t="inlineStr">
        <is>
          <t>Feb</t>
        </is>
      </c>
      <c r="Z414" s="87" t="n">
        <v>2025</v>
      </c>
      <c r="AA414" s="47">
        <f>IF(F414="",0,F414)</f>
        <v/>
      </c>
      <c r="AB414" s="87">
        <f>IF(AA414&gt;=0.1,1,0)</f>
        <v/>
      </c>
      <c r="AC414" s="87" t="n">
        <v>0</v>
      </c>
      <c r="AD414" s="47">
        <f>IF(U414="",0,U414)</f>
        <v/>
      </c>
      <c r="AE414" s="87">
        <f>IF(OR(V414=1,W414=1),1,0)</f>
        <v/>
      </c>
      <c r="AF414" s="87" t="n">
        <v>0</v>
      </c>
      <c r="AG414" t="n">
        <v>3389</v>
      </c>
      <c r="AH414" t="n">
        <v>49820</v>
      </c>
      <c r="AI414" t="n">
        <v>0</v>
      </c>
      <c r="AJ414" s="88">
        <f>IF(OR(AG414&lt;=0,AH414&lt;=0),"",LN(AG414)-LN(AH414))</f>
        <v/>
      </c>
      <c r="AK414" t="n">
        <v>8251</v>
      </c>
      <c r="AL414" t="n">
        <v>44958</v>
      </c>
      <c r="AM414" s="88">
        <f>IF(OR(AK414&lt;=0,AL414&lt;=0),"",LN(AK414)-LN(AL414))</f>
        <v/>
      </c>
      <c r="AN414" t="n">
        <v>3287</v>
      </c>
      <c r="AO414" t="n">
        <v>48156</v>
      </c>
      <c r="AP414" s="88">
        <f>IF(OR(AN414&lt;=0,AO414&lt;=0),"",LN(AN414)-LN(AO414))</f>
        <v/>
      </c>
      <c r="AQ414" t="n">
        <v>3290</v>
      </c>
      <c r="AR414" t="n">
        <v>49820</v>
      </c>
      <c r="AS414" s="88">
        <f>IF(OR(AQ414&lt;=0,AR414&lt;=0),"",LN(AQ414)-LN(AR414))</f>
        <v/>
      </c>
      <c r="AT414" t="n">
        <v>4355</v>
      </c>
      <c r="AU414" t="n">
        <v>48579</v>
      </c>
      <c r="AV414" t="n">
        <v>279</v>
      </c>
      <c r="AW414" t="n">
        <v>451</v>
      </c>
      <c r="AX414" t="n">
        <v>2916</v>
      </c>
      <c r="AY414" s="88">
        <f>IF(OR(AT414&lt;=0,AU414&lt;=0),"",LN(AT414)-LN(AU414))</f>
        <v/>
      </c>
      <c r="AZ414" s="46" t="n">
        <v>3.4</v>
      </c>
      <c r="BA414" s="46" t="n">
        <v>9.32</v>
      </c>
      <c r="BB414" s="47" t="n">
        <v>5</v>
      </c>
    </row>
    <row r="415">
      <c r="A415" s="48" t="n">
        <v>45705</v>
      </c>
      <c r="B415" s="49" t="n">
        <v>68686</v>
      </c>
      <c r="C415" s="50" t="n">
        <v>9.720000000000001</v>
      </c>
      <c r="D415" s="51" t="inlineStr">
        <is>
          <t>Good</t>
        </is>
      </c>
      <c r="E415" s="52" t="n">
        <v>-0.3</v>
      </c>
      <c r="F415" s="52" t="n"/>
      <c r="G415" s="51" t="inlineStr">
        <is>
          <t>Mon</t>
        </is>
      </c>
      <c r="H415" s="51" t="inlineStr">
        <is>
          <t>Weekday</t>
        </is>
      </c>
      <c r="I415" s="51" t="inlineStr">
        <is>
          <t>Winter</t>
        </is>
      </c>
      <c r="J415" s="51" t="n">
        <v>25</v>
      </c>
      <c r="K415" s="51" t="inlineStr">
        <is>
          <t>강수량 공란</t>
        </is>
      </c>
      <c r="L415" s="46" t="n">
        <v>34.92</v>
      </c>
      <c r="M415" t="inlineStr">
        <is>
          <t>Moderate</t>
        </is>
      </c>
      <c r="N415" s="87" t="n">
        <v>25</v>
      </c>
      <c r="O415" s="87" t="n">
        <v>0</v>
      </c>
      <c r="P415" s="87" t="n">
        <v>0</v>
      </c>
      <c r="Q415" s="87" t="n">
        <v>0</v>
      </c>
      <c r="R415" s="87" t="n">
        <v>0</v>
      </c>
      <c r="S415" s="47" t="n">
        <v>3.6</v>
      </c>
      <c r="T415" s="47" t="n">
        <v>39.1</v>
      </c>
      <c r="U415" s="47" t="n"/>
      <c r="V415" s="87" t="n">
        <v>0</v>
      </c>
      <c r="W415" s="87" t="n">
        <v>0</v>
      </c>
      <c r="Y415" t="inlineStr">
        <is>
          <t>Feb</t>
        </is>
      </c>
      <c r="Z415" s="87" t="n">
        <v>2025</v>
      </c>
      <c r="AA415" s="47">
        <f>IF(F415="",0,F415)</f>
        <v/>
      </c>
      <c r="AB415" s="87">
        <f>IF(AA415&gt;=0.1,1,0)</f>
        <v/>
      </c>
      <c r="AC415" s="87" t="n">
        <v>0</v>
      </c>
      <c r="AD415" s="47">
        <f>IF(U415="",0,U415)</f>
        <v/>
      </c>
      <c r="AE415" s="87">
        <f>IF(OR(V415=1,W415=1),1,0)</f>
        <v/>
      </c>
      <c r="AF415" s="87" t="n">
        <v>0</v>
      </c>
      <c r="AG415" t="n">
        <v>3199</v>
      </c>
      <c r="AH415" t="n">
        <v>65487</v>
      </c>
      <c r="AI415" t="n">
        <v>0</v>
      </c>
      <c r="AJ415" s="88">
        <f>IF(OR(AG415&lt;=0,AH415&lt;=0),"",LN(AG415)-LN(AH415))</f>
        <v/>
      </c>
      <c r="AK415" t="n">
        <v>9516</v>
      </c>
      <c r="AL415" t="n">
        <v>59170</v>
      </c>
      <c r="AM415" s="88">
        <f>IF(OR(AK415&lt;=0,AL415&lt;=0),"",LN(AK415)-LN(AL415))</f>
        <v/>
      </c>
      <c r="AN415" t="n">
        <v>3126</v>
      </c>
      <c r="AO415" t="n">
        <v>63188</v>
      </c>
      <c r="AP415" s="88">
        <f>IF(OR(AN415&lt;=0,AO415&lt;=0),"",LN(AN415)-LN(AO415))</f>
        <v/>
      </c>
      <c r="AQ415" t="n">
        <v>3144</v>
      </c>
      <c r="AR415" t="n">
        <v>65487</v>
      </c>
      <c r="AS415" s="88">
        <f>IF(OR(AQ415&lt;=0,AR415&lt;=0),"",LN(AQ415)-LN(AR415))</f>
        <v/>
      </c>
      <c r="AT415" t="n">
        <v>3939</v>
      </c>
      <c r="AU415" t="n">
        <v>64398</v>
      </c>
      <c r="AV415" t="n">
        <v>359</v>
      </c>
      <c r="AW415" t="n">
        <v>236</v>
      </c>
      <c r="AX415" t="n">
        <v>2947</v>
      </c>
      <c r="AY415" s="88">
        <f>IF(OR(AT415&lt;=0,AU415&lt;=0),"",LN(AT415)-LN(AU415))</f>
        <v/>
      </c>
      <c r="AZ415" s="46" t="n">
        <v>9.9</v>
      </c>
      <c r="BA415" s="46" t="n">
        <v>17.57</v>
      </c>
      <c r="BB415" s="47" t="n">
        <v>0.3</v>
      </c>
    </row>
    <row r="416">
      <c r="A416" s="48" t="n">
        <v>45706</v>
      </c>
      <c r="B416" s="49" t="n">
        <v>66559</v>
      </c>
      <c r="C416" s="50" t="n">
        <v>10.24</v>
      </c>
      <c r="D416" s="51" t="inlineStr">
        <is>
          <t>Good</t>
        </is>
      </c>
      <c r="E416" s="52" t="n">
        <v>-2.3</v>
      </c>
      <c r="F416" s="52" t="n"/>
      <c r="G416" s="51" t="inlineStr">
        <is>
          <t>Tue</t>
        </is>
      </c>
      <c r="H416" s="51" t="inlineStr">
        <is>
          <t>Weekday</t>
        </is>
      </c>
      <c r="I416" s="51" t="inlineStr">
        <is>
          <t>Winter</t>
        </is>
      </c>
      <c r="J416" s="51" t="n">
        <v>25</v>
      </c>
      <c r="K416" s="51" t="inlineStr">
        <is>
          <t>강수량 공란</t>
        </is>
      </c>
      <c r="L416" s="46" t="n">
        <v>25.48</v>
      </c>
      <c r="M416" t="inlineStr">
        <is>
          <t>Good</t>
        </is>
      </c>
      <c r="N416" s="87" t="n">
        <v>25</v>
      </c>
      <c r="O416" s="87" t="n">
        <v>0</v>
      </c>
      <c r="P416" s="87" t="n">
        <v>0</v>
      </c>
      <c r="Q416" s="87" t="n">
        <v>0</v>
      </c>
      <c r="R416" s="87" t="n">
        <v>0</v>
      </c>
      <c r="S416" s="47" t="n">
        <v>3.4</v>
      </c>
      <c r="T416" s="47" t="n">
        <v>40.3</v>
      </c>
      <c r="U416" s="47" t="n"/>
      <c r="V416" s="87" t="n">
        <v>0</v>
      </c>
      <c r="W416" s="87" t="n">
        <v>0</v>
      </c>
      <c r="Y416" t="inlineStr">
        <is>
          <t>Feb</t>
        </is>
      </c>
      <c r="Z416" s="87" t="n">
        <v>2025</v>
      </c>
      <c r="AA416" s="47">
        <f>IF(F416="",0,F416)</f>
        <v/>
      </c>
      <c r="AB416" s="87">
        <f>IF(AA416&gt;=0.1,1,0)</f>
        <v/>
      </c>
      <c r="AC416" s="87" t="n">
        <v>0</v>
      </c>
      <c r="AD416" s="47">
        <f>IF(U416="",0,U416)</f>
        <v/>
      </c>
      <c r="AE416" s="87">
        <f>IF(OR(V416=1,W416=1),1,0)</f>
        <v/>
      </c>
      <c r="AF416" s="87" t="n">
        <v>0</v>
      </c>
      <c r="AG416" t="n">
        <v>3088</v>
      </c>
      <c r="AH416" t="n">
        <v>63470</v>
      </c>
      <c r="AI416" t="n">
        <v>1</v>
      </c>
      <c r="AJ416" s="88">
        <f>IF(OR(AG416&lt;=0,AH416&lt;=0),"",LN(AG416)-LN(AH416))</f>
        <v/>
      </c>
      <c r="AK416" t="n">
        <v>9007</v>
      </c>
      <c r="AL416" t="n">
        <v>57551</v>
      </c>
      <c r="AM416" s="88">
        <f>IF(OR(AK416&lt;=0,AL416&lt;=0),"",LN(AK416)-LN(AL416))</f>
        <v/>
      </c>
      <c r="AN416" t="n">
        <v>3023</v>
      </c>
      <c r="AO416" t="n">
        <v>61205</v>
      </c>
      <c r="AP416" s="88">
        <f>IF(OR(AN416&lt;=0,AO416&lt;=0),"",LN(AN416)-LN(AO416))</f>
        <v/>
      </c>
      <c r="AQ416" t="n">
        <v>3012</v>
      </c>
      <c r="AR416" t="n">
        <v>63470</v>
      </c>
      <c r="AS416" s="88">
        <f>IF(OR(AQ416&lt;=0,AR416&lt;=0),"",LN(AQ416)-LN(AR416))</f>
        <v/>
      </c>
      <c r="AT416" t="n">
        <v>3715</v>
      </c>
      <c r="AU416" t="n">
        <v>62510</v>
      </c>
      <c r="AV416" t="n">
        <v>343</v>
      </c>
      <c r="AW416" t="n">
        <v>219</v>
      </c>
      <c r="AX416" t="n">
        <v>2854</v>
      </c>
      <c r="AY416" s="88">
        <f>IF(OR(AT416&lt;=0,AU416&lt;=0),"",LN(AT416)-LN(AU416))</f>
        <v/>
      </c>
      <c r="AZ416" s="46" t="n">
        <v>9.9</v>
      </c>
      <c r="BA416" s="46" t="n">
        <v>17.73</v>
      </c>
      <c r="BB416" s="47" t="n">
        <v>0</v>
      </c>
    </row>
    <row r="417">
      <c r="A417" s="48" t="n">
        <v>45707</v>
      </c>
      <c r="B417" s="49" t="n">
        <v>65341</v>
      </c>
      <c r="C417" s="50" t="n">
        <v>11.64</v>
      </c>
      <c r="D417" s="51" t="inlineStr">
        <is>
          <t>Good</t>
        </is>
      </c>
      <c r="E417" s="52" t="n">
        <v>-3</v>
      </c>
      <c r="F417" s="52" t="n"/>
      <c r="G417" s="51" t="inlineStr">
        <is>
          <t>Wed</t>
        </is>
      </c>
      <c r="H417" s="51" t="inlineStr">
        <is>
          <t>Weekday</t>
        </is>
      </c>
      <c r="I417" s="51" t="inlineStr">
        <is>
          <t>Winter</t>
        </is>
      </c>
      <c r="J417" s="51" t="n">
        <v>25</v>
      </c>
      <c r="K417" s="51" t="inlineStr">
        <is>
          <t>강수량 공란</t>
        </is>
      </c>
      <c r="L417" s="46" t="n">
        <v>25.36</v>
      </c>
      <c r="M417" t="inlineStr">
        <is>
          <t>Good</t>
        </is>
      </c>
      <c r="N417" s="87" t="n">
        <v>25</v>
      </c>
      <c r="O417" s="87" t="n">
        <v>0</v>
      </c>
      <c r="P417" s="87" t="n">
        <v>0</v>
      </c>
      <c r="Q417" s="87" t="n">
        <v>0</v>
      </c>
      <c r="R417" s="87" t="n">
        <v>0</v>
      </c>
      <c r="S417" s="47" t="n">
        <v>3</v>
      </c>
      <c r="T417" s="47" t="n">
        <v>44.8</v>
      </c>
      <c r="U417" s="47" t="n"/>
      <c r="V417" s="87" t="n">
        <v>0</v>
      </c>
      <c r="W417" s="87" t="n">
        <v>0</v>
      </c>
      <c r="Y417" t="inlineStr">
        <is>
          <t>Feb</t>
        </is>
      </c>
      <c r="Z417" s="87" t="n">
        <v>2025</v>
      </c>
      <c r="AA417" s="47">
        <f>IF(F417="",0,F417)</f>
        <v/>
      </c>
      <c r="AB417" s="87">
        <f>IF(AA417&gt;=0.1,1,0)</f>
        <v/>
      </c>
      <c r="AC417" s="87" t="n">
        <v>0</v>
      </c>
      <c r="AD417" s="47">
        <f>IF(U417="",0,U417)</f>
        <v/>
      </c>
      <c r="AE417" s="87">
        <f>IF(OR(V417=1,W417=1),1,0)</f>
        <v/>
      </c>
      <c r="AF417" s="87" t="n">
        <v>0</v>
      </c>
      <c r="AG417" t="n">
        <v>3022</v>
      </c>
      <c r="AH417" t="n">
        <v>62319</v>
      </c>
      <c r="AI417" t="n">
        <v>0</v>
      </c>
      <c r="AJ417" s="88">
        <f>IF(OR(AG417&lt;=0,AH417&lt;=0),"",LN(AG417)-LN(AH417))</f>
        <v/>
      </c>
      <c r="AK417" t="n">
        <v>8755</v>
      </c>
      <c r="AL417" t="n">
        <v>56586</v>
      </c>
      <c r="AM417" s="88">
        <f>IF(OR(AK417&lt;=0,AL417&lt;=0),"",LN(AK417)-LN(AL417))</f>
        <v/>
      </c>
      <c r="AN417" t="n">
        <v>2976</v>
      </c>
      <c r="AO417" t="n">
        <v>60106</v>
      </c>
      <c r="AP417" s="88">
        <f>IF(OR(AN417&lt;=0,AO417&lt;=0),"",LN(AN417)-LN(AO417))</f>
        <v/>
      </c>
      <c r="AQ417" t="n">
        <v>2957</v>
      </c>
      <c r="AR417" t="n">
        <v>62319</v>
      </c>
      <c r="AS417" s="88">
        <f>IF(OR(AQ417&lt;=0,AR417&lt;=0),"",LN(AQ417)-LN(AR417))</f>
        <v/>
      </c>
      <c r="AT417" t="n">
        <v>3607</v>
      </c>
      <c r="AU417" t="n">
        <v>61387</v>
      </c>
      <c r="AV417" t="n">
        <v>352</v>
      </c>
      <c r="AW417" t="n">
        <v>233</v>
      </c>
      <c r="AX417" t="n">
        <v>2767</v>
      </c>
      <c r="AY417" s="88">
        <f>IF(OR(AT417&lt;=0,AU417&lt;=0),"",LN(AT417)-LN(AU417))</f>
        <v/>
      </c>
      <c r="AZ417" s="46" t="n">
        <v>10</v>
      </c>
      <c r="BA417" s="46" t="n">
        <v>17.9</v>
      </c>
      <c r="BB417" s="47" t="n">
        <v>0</v>
      </c>
    </row>
    <row r="418">
      <c r="A418" s="48" t="n">
        <v>45708</v>
      </c>
      <c r="B418" s="49" t="n">
        <v>65449</v>
      </c>
      <c r="C418" s="50" t="n">
        <v>13.24</v>
      </c>
      <c r="D418" s="51" t="inlineStr">
        <is>
          <t>Good</t>
        </is>
      </c>
      <c r="E418" s="52" t="n">
        <v>-2.9</v>
      </c>
      <c r="F418" s="52" t="n"/>
      <c r="G418" s="51" t="inlineStr">
        <is>
          <t>Thu</t>
        </is>
      </c>
      <c r="H418" s="51" t="inlineStr">
        <is>
          <t>Weekday</t>
        </is>
      </c>
      <c r="I418" s="51" t="inlineStr">
        <is>
          <t>Winter</t>
        </is>
      </c>
      <c r="J418" s="51" t="n">
        <v>25</v>
      </c>
      <c r="K418" s="51" t="inlineStr">
        <is>
          <t>강수량 공란</t>
        </is>
      </c>
      <c r="L418" s="46" t="n">
        <v>26.52</v>
      </c>
      <c r="M418" t="inlineStr">
        <is>
          <t>Good</t>
        </is>
      </c>
      <c r="N418" s="87" t="n">
        <v>25</v>
      </c>
      <c r="O418" s="87" t="n">
        <v>0</v>
      </c>
      <c r="P418" s="87" t="n">
        <v>0</v>
      </c>
      <c r="Q418" s="87" t="n">
        <v>0</v>
      </c>
      <c r="R418" s="87" t="n">
        <v>0</v>
      </c>
      <c r="S418" s="47" t="n">
        <v>2.7</v>
      </c>
      <c r="T418" s="47" t="n">
        <v>43.3</v>
      </c>
      <c r="U418" s="47" t="n"/>
      <c r="V418" s="87" t="n">
        <v>0</v>
      </c>
      <c r="W418" s="87" t="n">
        <v>0</v>
      </c>
      <c r="Y418" t="inlineStr">
        <is>
          <t>Feb</t>
        </is>
      </c>
      <c r="Z418" s="87" t="n">
        <v>2025</v>
      </c>
      <c r="AA418" s="47">
        <f>IF(F418="",0,F418)</f>
        <v/>
      </c>
      <c r="AB418" s="87">
        <f>IF(AA418&gt;=0.1,1,0)</f>
        <v/>
      </c>
      <c r="AC418" s="87" t="n">
        <v>0</v>
      </c>
      <c r="AD418" s="47">
        <f>IF(U418="",0,U418)</f>
        <v/>
      </c>
      <c r="AE418" s="87">
        <f>IF(OR(V418=1,W418=1),1,0)</f>
        <v/>
      </c>
      <c r="AF418" s="87" t="n">
        <v>0</v>
      </c>
      <c r="AG418" t="n">
        <v>2962</v>
      </c>
      <c r="AH418" t="n">
        <v>62487</v>
      </c>
      <c r="AI418" t="n">
        <v>0</v>
      </c>
      <c r="AJ418" s="88">
        <f>IF(OR(AG418&lt;=0,AH418&lt;=0),"",LN(AG418)-LN(AH418))</f>
        <v/>
      </c>
      <c r="AK418" t="n">
        <v>8713</v>
      </c>
      <c r="AL418" t="n">
        <v>56736</v>
      </c>
      <c r="AM418" s="88">
        <f>IF(OR(AK418&lt;=0,AL418&lt;=0),"",LN(AK418)-LN(AL418))</f>
        <v/>
      </c>
      <c r="AN418" t="n">
        <v>2897</v>
      </c>
      <c r="AO418" t="n">
        <v>60273</v>
      </c>
      <c r="AP418" s="88">
        <f>IF(OR(AN418&lt;=0,AO418&lt;=0),"",LN(AN418)-LN(AO418))</f>
        <v/>
      </c>
      <c r="AQ418" t="n">
        <v>2904</v>
      </c>
      <c r="AR418" t="n">
        <v>62487</v>
      </c>
      <c r="AS418" s="88">
        <f>IF(OR(AQ418&lt;=0,AR418&lt;=0),"",LN(AQ418)-LN(AR418))</f>
        <v/>
      </c>
      <c r="AT418" t="n">
        <v>3600</v>
      </c>
      <c r="AU418" t="n">
        <v>61479</v>
      </c>
      <c r="AV418" t="n">
        <v>375</v>
      </c>
      <c r="AW418" t="n">
        <v>192</v>
      </c>
      <c r="AX418" t="n">
        <v>2747</v>
      </c>
      <c r="AY418" s="88">
        <f>IF(OR(AT418&lt;=0,AU418&lt;=0),"",LN(AT418)-LN(AU418))</f>
        <v/>
      </c>
      <c r="AZ418" s="46" t="n">
        <v>10</v>
      </c>
      <c r="BA418" s="46" t="n">
        <v>18.07</v>
      </c>
      <c r="BB418" s="47" t="n">
        <v>0</v>
      </c>
    </row>
    <row r="419">
      <c r="A419" s="48" t="n">
        <v>45709</v>
      </c>
      <c r="B419" s="49" t="n">
        <v>66488</v>
      </c>
      <c r="C419" s="50" t="n">
        <v>16.08</v>
      </c>
      <c r="D419" s="51" t="inlineStr">
        <is>
          <t>Moderate</t>
        </is>
      </c>
      <c r="E419" s="52" t="n">
        <v>-2.5</v>
      </c>
      <c r="F419" s="52" t="n"/>
      <c r="G419" s="51" t="inlineStr">
        <is>
          <t>Fri</t>
        </is>
      </c>
      <c r="H419" s="51" t="inlineStr">
        <is>
          <t>Weekday</t>
        </is>
      </c>
      <c r="I419" s="51" t="inlineStr">
        <is>
          <t>Winter</t>
        </is>
      </c>
      <c r="J419" s="51" t="n">
        <v>25</v>
      </c>
      <c r="K419" s="51" t="inlineStr">
        <is>
          <t>강수량 공란</t>
        </is>
      </c>
      <c r="L419" s="46" t="n">
        <v>29.52</v>
      </c>
      <c r="M419" t="inlineStr">
        <is>
          <t>Good</t>
        </is>
      </c>
      <c r="N419" s="87" t="n">
        <v>25</v>
      </c>
      <c r="O419" s="87" t="n">
        <v>0</v>
      </c>
      <c r="P419" s="87" t="n">
        <v>0</v>
      </c>
      <c r="Q419" s="87" t="n">
        <v>0</v>
      </c>
      <c r="R419" s="87" t="n">
        <v>0</v>
      </c>
      <c r="S419" s="47" t="n">
        <v>2.7</v>
      </c>
      <c r="T419" s="47" t="n">
        <v>45.3</v>
      </c>
      <c r="U419" s="47" t="n"/>
      <c r="V419" s="87" t="n">
        <v>0</v>
      </c>
      <c r="W419" s="87" t="n">
        <v>0</v>
      </c>
      <c r="Y419" t="inlineStr">
        <is>
          <t>Feb</t>
        </is>
      </c>
      <c r="Z419" s="87" t="n">
        <v>2025</v>
      </c>
      <c r="AA419" s="47">
        <f>IF(F419="",0,F419)</f>
        <v/>
      </c>
      <c r="AB419" s="87">
        <f>IF(AA419&gt;=0.1,1,0)</f>
        <v/>
      </c>
      <c r="AC419" s="87" t="n">
        <v>0</v>
      </c>
      <c r="AD419" s="47">
        <f>IF(U419="",0,U419)</f>
        <v/>
      </c>
      <c r="AE419" s="87">
        <f>IF(OR(V419=1,W419=1),1,0)</f>
        <v/>
      </c>
      <c r="AF419" s="87" t="n">
        <v>0</v>
      </c>
      <c r="AG419" t="n">
        <v>3107</v>
      </c>
      <c r="AH419" t="n">
        <v>63381</v>
      </c>
      <c r="AI419" t="n">
        <v>0</v>
      </c>
      <c r="AJ419" s="88">
        <f>IF(OR(AG419&lt;=0,AH419&lt;=0),"",LN(AG419)-LN(AH419))</f>
        <v/>
      </c>
      <c r="AK419" t="n">
        <v>9042</v>
      </c>
      <c r="AL419" t="n">
        <v>57446</v>
      </c>
      <c r="AM419" s="88">
        <f>IF(OR(AK419&lt;=0,AL419&lt;=0),"",LN(AK419)-LN(AL419))</f>
        <v/>
      </c>
      <c r="AN419" t="n">
        <v>3017</v>
      </c>
      <c r="AO419" t="n">
        <v>61146</v>
      </c>
      <c r="AP419" s="88">
        <f>IF(OR(AN419&lt;=0,AO419&lt;=0),"",LN(AN419)-LN(AO419))</f>
        <v/>
      </c>
      <c r="AQ419" t="n">
        <v>3041</v>
      </c>
      <c r="AR419" t="n">
        <v>63381</v>
      </c>
      <c r="AS419" s="88">
        <f>IF(OR(AQ419&lt;=0,AR419&lt;=0),"",LN(AQ419)-LN(AR419))</f>
        <v/>
      </c>
      <c r="AT419" t="n">
        <v>3788</v>
      </c>
      <c r="AU419" t="n">
        <v>62360</v>
      </c>
      <c r="AV419" t="n">
        <v>341</v>
      </c>
      <c r="AW419" t="n">
        <v>233</v>
      </c>
      <c r="AX419" t="n">
        <v>2858</v>
      </c>
      <c r="AY419" s="88">
        <f>IF(OR(AT419&lt;=0,AU419&lt;=0),"",LN(AT419)-LN(AU419))</f>
        <v/>
      </c>
      <c r="AZ419" s="46" t="n">
        <v>10.1</v>
      </c>
      <c r="BA419" s="46" t="n">
        <v>17.73</v>
      </c>
      <c r="BB419" s="47" t="n">
        <v>0.3</v>
      </c>
    </row>
    <row r="420">
      <c r="A420" s="48" t="n">
        <v>45710</v>
      </c>
      <c r="B420" s="49" t="n">
        <v>49411</v>
      </c>
      <c r="C420" s="50" t="n">
        <v>18</v>
      </c>
      <c r="D420" s="51" t="inlineStr">
        <is>
          <t>Moderate</t>
        </is>
      </c>
      <c r="E420" s="52" t="n">
        <v>-2.3</v>
      </c>
      <c r="F420" s="52" t="n"/>
      <c r="G420" s="51" t="inlineStr">
        <is>
          <t>Sat</t>
        </is>
      </c>
      <c r="H420" s="51" t="inlineStr">
        <is>
          <t>Weekend</t>
        </is>
      </c>
      <c r="I420" s="51" t="inlineStr">
        <is>
          <t>Winter</t>
        </is>
      </c>
      <c r="J420" s="51" t="n">
        <v>25</v>
      </c>
      <c r="K420" s="51" t="inlineStr">
        <is>
          <t>강수량 공란</t>
        </is>
      </c>
      <c r="L420" s="46" t="n">
        <v>30.92</v>
      </c>
      <c r="M420" t="inlineStr">
        <is>
          <t>Moderate</t>
        </is>
      </c>
      <c r="N420" s="87" t="n">
        <v>25</v>
      </c>
      <c r="O420" s="87" t="n">
        <v>0</v>
      </c>
      <c r="P420" s="87" t="n">
        <v>0</v>
      </c>
      <c r="Q420" s="87" t="n">
        <v>0</v>
      </c>
      <c r="R420" s="87" t="n">
        <v>0</v>
      </c>
      <c r="S420" s="47" t="n">
        <v>2.7</v>
      </c>
      <c r="T420" s="47" t="n">
        <v>49.1</v>
      </c>
      <c r="U420" s="47" t="n"/>
      <c r="V420" s="87" t="n">
        <v>1</v>
      </c>
      <c r="W420" s="87" t="n">
        <v>0</v>
      </c>
      <c r="Y420" t="inlineStr">
        <is>
          <t>Feb</t>
        </is>
      </c>
      <c r="Z420" s="87" t="n">
        <v>2025</v>
      </c>
      <c r="AA420" s="47">
        <f>IF(F420="",0,F420)</f>
        <v/>
      </c>
      <c r="AB420" s="87">
        <f>IF(AA420&gt;=0.1,1,0)</f>
        <v/>
      </c>
      <c r="AC420" s="87" t="n">
        <v>0</v>
      </c>
      <c r="AD420" s="47">
        <f>IF(U420="",0,U420)</f>
        <v/>
      </c>
      <c r="AE420" s="87">
        <f>IF(OR(V420=1,W420=1),1,0)</f>
        <v/>
      </c>
      <c r="AF420" s="87" t="n">
        <v>0</v>
      </c>
      <c r="AG420" t="n">
        <v>2495</v>
      </c>
      <c r="AH420" t="n">
        <v>46916</v>
      </c>
      <c r="AI420" t="n">
        <v>0</v>
      </c>
      <c r="AJ420" s="88">
        <f>IF(OR(AG420&lt;=0,AH420&lt;=0),"",LN(AG420)-LN(AH420))</f>
        <v/>
      </c>
      <c r="AK420" t="n">
        <v>6948</v>
      </c>
      <c r="AL420" t="n">
        <v>42463</v>
      </c>
      <c r="AM420" s="88">
        <f>IF(OR(AK420&lt;=0,AL420&lt;=0),"",LN(AK420)-LN(AL420))</f>
        <v/>
      </c>
      <c r="AN420" t="n">
        <v>2423</v>
      </c>
      <c r="AO420" t="n">
        <v>45273</v>
      </c>
      <c r="AP420" s="88">
        <f>IF(OR(AN420&lt;=0,AO420&lt;=0),"",LN(AN420)-LN(AO420))</f>
        <v/>
      </c>
      <c r="AQ420" t="n">
        <v>2435</v>
      </c>
      <c r="AR420" t="n">
        <v>46916</v>
      </c>
      <c r="AS420" s="88">
        <f>IF(OR(AQ420&lt;=0,AR420&lt;=0),"",LN(AQ420)-LN(AR420))</f>
        <v/>
      </c>
      <c r="AT420" t="n">
        <v>3648</v>
      </c>
      <c r="AU420" t="n">
        <v>45480</v>
      </c>
      <c r="AV420" t="n">
        <v>284</v>
      </c>
      <c r="AW420" t="n">
        <v>263</v>
      </c>
      <c r="AX420" t="n">
        <v>2215</v>
      </c>
      <c r="AY420" s="88">
        <f>IF(OR(AT420&lt;=0,AU420&lt;=0),"",LN(AT420)-LN(AU420))</f>
        <v/>
      </c>
      <c r="AZ420" s="46" t="n">
        <v>10.2</v>
      </c>
      <c r="BA420" s="46" t="n">
        <v>18.11</v>
      </c>
      <c r="BB420" s="47" t="n">
        <v>0</v>
      </c>
    </row>
    <row r="421">
      <c r="A421" s="48" t="n">
        <v>45711</v>
      </c>
      <c r="B421" s="49" t="n">
        <v>37830</v>
      </c>
      <c r="C421" s="50" t="n">
        <v>16.4</v>
      </c>
      <c r="D421" s="51" t="inlineStr">
        <is>
          <t>Moderate</t>
        </is>
      </c>
      <c r="E421" s="52" t="n">
        <v>-3.6</v>
      </c>
      <c r="F421" s="52" t="n"/>
      <c r="G421" s="51" t="inlineStr">
        <is>
          <t>Sun</t>
        </is>
      </c>
      <c r="H421" s="51" t="inlineStr">
        <is>
          <t>Weekend</t>
        </is>
      </c>
      <c r="I421" s="51" t="inlineStr">
        <is>
          <t>Winter</t>
        </is>
      </c>
      <c r="J421" s="51" t="n">
        <v>25</v>
      </c>
      <c r="K421" s="51" t="inlineStr">
        <is>
          <t>강수량 공란</t>
        </is>
      </c>
      <c r="L421" s="46" t="n">
        <v>31.52</v>
      </c>
      <c r="M421" t="inlineStr">
        <is>
          <t>Moderate</t>
        </is>
      </c>
      <c r="N421" s="87" t="n">
        <v>25</v>
      </c>
      <c r="O421" s="87" t="n">
        <v>0</v>
      </c>
      <c r="P421" s="87" t="n">
        <v>0</v>
      </c>
      <c r="Q421" s="87" t="n">
        <v>0</v>
      </c>
      <c r="R421" s="87" t="n">
        <v>0</v>
      </c>
      <c r="S421" s="47" t="n">
        <v>3</v>
      </c>
      <c r="T421" s="47" t="n">
        <v>45.4</v>
      </c>
      <c r="U421" s="47" t="n"/>
      <c r="V421" s="87" t="n">
        <v>1</v>
      </c>
      <c r="W421" s="87" t="n">
        <v>0</v>
      </c>
      <c r="Y421" t="inlineStr">
        <is>
          <t>Feb</t>
        </is>
      </c>
      <c r="Z421" s="87" t="n">
        <v>2025</v>
      </c>
      <c r="AA421" s="47">
        <f>IF(F421="",0,F421)</f>
        <v/>
      </c>
      <c r="AB421" s="87">
        <f>IF(AA421&gt;=0.1,1,0)</f>
        <v/>
      </c>
      <c r="AC421" s="87" t="n">
        <v>0</v>
      </c>
      <c r="AD421" s="47">
        <f>IF(U421="",0,U421)</f>
        <v/>
      </c>
      <c r="AE421" s="87">
        <f>IF(OR(V421=1,W421=1),1,0)</f>
        <v/>
      </c>
      <c r="AF421" s="87" t="n">
        <v>0</v>
      </c>
      <c r="AG421" t="n">
        <v>2105</v>
      </c>
      <c r="AH421" t="n">
        <v>35725</v>
      </c>
      <c r="AI421" t="n">
        <v>0</v>
      </c>
      <c r="AJ421" s="88">
        <f>IF(OR(AG421&lt;=0,AH421&lt;=0),"",LN(AG421)-LN(AH421))</f>
        <v/>
      </c>
      <c r="AK421" t="n">
        <v>5343</v>
      </c>
      <c r="AL421" t="n">
        <v>32487</v>
      </c>
      <c r="AM421" s="88">
        <f>IF(OR(AK421&lt;=0,AL421&lt;=0),"",LN(AK421)-LN(AL421))</f>
        <v/>
      </c>
      <c r="AN421" t="n">
        <v>2067</v>
      </c>
      <c r="AO421" t="n">
        <v>34474</v>
      </c>
      <c r="AP421" s="88">
        <f>IF(OR(AN421&lt;=0,AO421&lt;=0),"",LN(AN421)-LN(AO421))</f>
        <v/>
      </c>
      <c r="AQ421" t="n">
        <v>2060</v>
      </c>
      <c r="AR421" t="n">
        <v>35725</v>
      </c>
      <c r="AS421" s="88">
        <f>IF(OR(AQ421&lt;=0,AR421&lt;=0),"",LN(AQ421)-LN(AR421))</f>
        <v/>
      </c>
      <c r="AT421" t="n">
        <v>3013</v>
      </c>
      <c r="AU421" t="n">
        <v>34655</v>
      </c>
      <c r="AV421" t="n">
        <v>160</v>
      </c>
      <c r="AW421" t="n">
        <v>234</v>
      </c>
      <c r="AX421" t="n">
        <v>1860</v>
      </c>
      <c r="AY421" s="88">
        <f>IF(OR(AT421&lt;=0,AU421&lt;=0),"",LN(AT421)-LN(AU421))</f>
        <v/>
      </c>
      <c r="AZ421" s="46" t="n">
        <v>10.1</v>
      </c>
      <c r="BA421" s="46" t="n">
        <v>18.35</v>
      </c>
      <c r="BB421" s="47" t="n">
        <v>0.3</v>
      </c>
    </row>
    <row r="422">
      <c r="A422" s="48" t="n">
        <v>45712</v>
      </c>
      <c r="B422" s="49" t="n">
        <v>68740</v>
      </c>
      <c r="C422" s="50" t="n">
        <v>16.08</v>
      </c>
      <c r="D422" s="51" t="inlineStr">
        <is>
          <t>Moderate</t>
        </is>
      </c>
      <c r="E422" s="52" t="n">
        <v>-1.3</v>
      </c>
      <c r="F422" s="52" t="n"/>
      <c r="G422" s="51" t="inlineStr">
        <is>
          <t>Mon</t>
        </is>
      </c>
      <c r="H422" s="51" t="inlineStr">
        <is>
          <t>Weekday</t>
        </is>
      </c>
      <c r="I422" s="51" t="inlineStr">
        <is>
          <t>Winter</t>
        </is>
      </c>
      <c r="J422" s="51" t="n">
        <v>25</v>
      </c>
      <c r="K422" s="51" t="inlineStr">
        <is>
          <t>강수량 공란</t>
        </is>
      </c>
      <c r="L422" s="46" t="n">
        <v>30.28</v>
      </c>
      <c r="M422" t="inlineStr">
        <is>
          <t>Moderate</t>
        </is>
      </c>
      <c r="N422" s="87" t="n">
        <v>25</v>
      </c>
      <c r="O422" s="87" t="n">
        <v>0</v>
      </c>
      <c r="P422" s="87" t="n">
        <v>0</v>
      </c>
      <c r="Q422" s="87" t="n">
        <v>0</v>
      </c>
      <c r="R422" s="87" t="n">
        <v>0</v>
      </c>
      <c r="S422" s="47" t="n">
        <v>2.3</v>
      </c>
      <c r="T422" s="47" t="n">
        <v>49.8</v>
      </c>
      <c r="U422" s="47" t="n"/>
      <c r="V422" s="87" t="n">
        <v>0</v>
      </c>
      <c r="W422" s="87" t="n">
        <v>0</v>
      </c>
      <c r="Y422" t="inlineStr">
        <is>
          <t>Feb</t>
        </is>
      </c>
      <c r="Z422" s="87" t="n">
        <v>2025</v>
      </c>
      <c r="AA422" s="47">
        <f>IF(F422="",0,F422)</f>
        <v/>
      </c>
      <c r="AB422" s="87">
        <f>IF(AA422&gt;=0.1,1,0)</f>
        <v/>
      </c>
      <c r="AC422" s="87" t="n">
        <v>0</v>
      </c>
      <c r="AD422" s="47">
        <f>IF(U422="",0,U422)</f>
        <v/>
      </c>
      <c r="AE422" s="87">
        <f>IF(OR(V422=1,W422=1),1,0)</f>
        <v/>
      </c>
      <c r="AF422" s="87" t="n">
        <v>0</v>
      </c>
      <c r="AG422" t="n">
        <v>3230</v>
      </c>
      <c r="AH422" t="n">
        <v>65510</v>
      </c>
      <c r="AI422" t="n">
        <v>0</v>
      </c>
      <c r="AJ422" s="88">
        <f>IF(OR(AG422&lt;=0,AH422&lt;=0),"",LN(AG422)-LN(AH422))</f>
        <v/>
      </c>
      <c r="AK422" t="n">
        <v>9551</v>
      </c>
      <c r="AL422" t="n">
        <v>59189</v>
      </c>
      <c r="AM422" s="88">
        <f>IF(OR(AK422&lt;=0,AL422&lt;=0),"",LN(AK422)-LN(AL422))</f>
        <v/>
      </c>
      <c r="AN422" t="n">
        <v>3169</v>
      </c>
      <c r="AO422" t="n">
        <v>63194</v>
      </c>
      <c r="AP422" s="88">
        <f>IF(OR(AN422&lt;=0,AO422&lt;=0),"",LN(AN422)-LN(AO422))</f>
        <v/>
      </c>
      <c r="AQ422" t="n">
        <v>3155</v>
      </c>
      <c r="AR422" t="n">
        <v>65510</v>
      </c>
      <c r="AS422" s="88">
        <f>IF(OR(AQ422&lt;=0,AR422&lt;=0),"",LN(AQ422)-LN(AR422))</f>
        <v/>
      </c>
      <c r="AT422" t="n">
        <v>4117</v>
      </c>
      <c r="AU422" t="n">
        <v>64280</v>
      </c>
      <c r="AV422" t="n">
        <v>344</v>
      </c>
      <c r="AW422" t="n">
        <v>242</v>
      </c>
      <c r="AX422" t="n">
        <v>2967</v>
      </c>
      <c r="AY422" s="88">
        <f>IF(OR(AT422&lt;=0,AU422&lt;=0),"",LN(AT422)-LN(AU422))</f>
        <v/>
      </c>
      <c r="AZ422" s="46" t="n">
        <v>10.3</v>
      </c>
      <c r="BA422" s="46" t="n">
        <v>18.74</v>
      </c>
      <c r="BB422" s="47" t="n">
        <v>0</v>
      </c>
    </row>
    <row r="423">
      <c r="A423" s="48" t="n">
        <v>45713</v>
      </c>
      <c r="B423" s="49" t="n">
        <v>75269</v>
      </c>
      <c r="C423" s="50" t="n">
        <v>17.48</v>
      </c>
      <c r="D423" s="51" t="inlineStr">
        <is>
          <t>Moderate</t>
        </is>
      </c>
      <c r="E423" s="52" t="n">
        <v>2.1</v>
      </c>
      <c r="F423" s="52" t="n"/>
      <c r="G423" s="51" t="inlineStr">
        <is>
          <t>Tue</t>
        </is>
      </c>
      <c r="H423" s="51" t="inlineStr">
        <is>
          <t>Weekday</t>
        </is>
      </c>
      <c r="I423" s="51" t="inlineStr">
        <is>
          <t>Winter</t>
        </is>
      </c>
      <c r="J423" s="51" t="n">
        <v>25</v>
      </c>
      <c r="K423" s="51" t="inlineStr">
        <is>
          <t>강수량 공란</t>
        </is>
      </c>
      <c r="L423" s="46" t="n">
        <v>31.24</v>
      </c>
      <c r="M423" t="inlineStr">
        <is>
          <t>Moderate</t>
        </is>
      </c>
      <c r="N423" s="87" t="n">
        <v>25</v>
      </c>
      <c r="O423" s="87" t="n">
        <v>0</v>
      </c>
      <c r="P423" s="87" t="n">
        <v>0</v>
      </c>
      <c r="Q423" s="87" t="n">
        <v>0</v>
      </c>
      <c r="R423" s="87" t="n">
        <v>0</v>
      </c>
      <c r="S423" s="47" t="n">
        <v>2.9</v>
      </c>
      <c r="T423" s="47" t="n">
        <v>72.59999999999999</v>
      </c>
      <c r="U423" s="47" t="n"/>
      <c r="V423" s="87" t="n">
        <v>0</v>
      </c>
      <c r="W423" s="87" t="n">
        <v>0</v>
      </c>
      <c r="Y423" t="inlineStr">
        <is>
          <t>Feb</t>
        </is>
      </c>
      <c r="Z423" s="87" t="n">
        <v>2025</v>
      </c>
      <c r="AA423" s="47">
        <f>IF(F423="",0,F423)</f>
        <v/>
      </c>
      <c r="AB423" s="87">
        <f>IF(AA423&gt;=0.1,1,0)</f>
        <v/>
      </c>
      <c r="AC423" s="87" t="n">
        <v>0</v>
      </c>
      <c r="AD423" s="47">
        <f>IF(U423="",0,U423)</f>
        <v/>
      </c>
      <c r="AE423" s="87">
        <f>IF(OR(V423=1,W423=1),1,0)</f>
        <v/>
      </c>
      <c r="AF423" s="87" t="n">
        <v>0</v>
      </c>
      <c r="AG423" t="n">
        <v>3633</v>
      </c>
      <c r="AH423" t="n">
        <v>71636</v>
      </c>
      <c r="AI423" t="n">
        <v>0</v>
      </c>
      <c r="AJ423" s="88">
        <f>IF(OR(AG423&lt;=0,AH423&lt;=0),"",LN(AG423)-LN(AH423))</f>
        <v/>
      </c>
      <c r="AK423" t="n">
        <v>10659</v>
      </c>
      <c r="AL423" t="n">
        <v>64610</v>
      </c>
      <c r="AM423" s="88">
        <f>IF(OR(AK423&lt;=0,AL423&lt;=0),"",LN(AK423)-LN(AL423))</f>
        <v/>
      </c>
      <c r="AN423" t="n">
        <v>3558</v>
      </c>
      <c r="AO423" t="n">
        <v>69104</v>
      </c>
      <c r="AP423" s="88">
        <f>IF(OR(AN423&lt;=0,AO423&lt;=0),"",LN(AN423)-LN(AO423))</f>
        <v/>
      </c>
      <c r="AQ423" t="n">
        <v>3550</v>
      </c>
      <c r="AR423" t="n">
        <v>71636</v>
      </c>
      <c r="AS423" s="88">
        <f>IF(OR(AQ423&lt;=0,AR423&lt;=0),"",LN(AQ423)-LN(AR423))</f>
        <v/>
      </c>
      <c r="AT423" t="n">
        <v>4324</v>
      </c>
      <c r="AU423" t="n">
        <v>70525</v>
      </c>
      <c r="AV423" t="n">
        <v>422</v>
      </c>
      <c r="AW423" t="n">
        <v>279</v>
      </c>
      <c r="AX423" t="n">
        <v>3335</v>
      </c>
      <c r="AY423" s="88">
        <f>IF(OR(AT423&lt;=0,AU423&lt;=0),"",LN(AT423)-LN(AU423))</f>
        <v/>
      </c>
      <c r="AZ423" s="46" t="n">
        <v>5.4</v>
      </c>
      <c r="BA423" s="46" t="n">
        <v>11.46</v>
      </c>
      <c r="BB423" s="47" t="n">
        <v>4.8</v>
      </c>
    </row>
    <row r="424">
      <c r="A424" s="48" t="n">
        <v>45714</v>
      </c>
      <c r="B424" s="49" t="n">
        <v>81377</v>
      </c>
      <c r="C424" s="50" t="n">
        <v>32.76</v>
      </c>
      <c r="D424" s="51" t="inlineStr">
        <is>
          <t>Moderate</t>
        </is>
      </c>
      <c r="E424" s="52" t="n">
        <v>3.7</v>
      </c>
      <c r="F424" s="52" t="n"/>
      <c r="G424" s="51" t="inlineStr">
        <is>
          <t>Wed</t>
        </is>
      </c>
      <c r="H424" s="51" t="inlineStr">
        <is>
          <t>Weekday</t>
        </is>
      </c>
      <c r="I424" s="51" t="inlineStr">
        <is>
          <t>Winter</t>
        </is>
      </c>
      <c r="J424" s="51" t="n">
        <v>25</v>
      </c>
      <c r="K424" s="51" t="inlineStr">
        <is>
          <t>강수량 공란</t>
        </is>
      </c>
      <c r="L424" s="46" t="n">
        <v>64.56</v>
      </c>
      <c r="M424" t="inlineStr">
        <is>
          <t>Moderate</t>
        </is>
      </c>
      <c r="N424" s="87" t="n">
        <v>25</v>
      </c>
      <c r="O424" s="87" t="n">
        <v>0</v>
      </c>
      <c r="P424" s="87" t="n">
        <v>0</v>
      </c>
      <c r="Q424" s="87" t="n">
        <v>0</v>
      </c>
      <c r="R424" s="87" t="n">
        <v>0</v>
      </c>
      <c r="S424" s="47" t="n">
        <v>2.6</v>
      </c>
      <c r="T424" s="47" t="n">
        <v>49.4</v>
      </c>
      <c r="U424" s="47" t="n"/>
      <c r="V424" s="87" t="n">
        <v>0</v>
      </c>
      <c r="W424" s="87" t="n">
        <v>0</v>
      </c>
      <c r="Y424" t="inlineStr">
        <is>
          <t>Feb</t>
        </is>
      </c>
      <c r="Z424" s="87" t="n">
        <v>2025</v>
      </c>
      <c r="AA424" s="47">
        <f>IF(F424="",0,F424)</f>
        <v/>
      </c>
      <c r="AB424" s="87">
        <f>IF(AA424&gt;=0.1,1,0)</f>
        <v/>
      </c>
      <c r="AC424" s="87" t="n">
        <v>0</v>
      </c>
      <c r="AD424" s="47">
        <f>IF(U424="",0,U424)</f>
        <v/>
      </c>
      <c r="AE424" s="87">
        <f>IF(OR(V424=1,W424=1),1,0)</f>
        <v/>
      </c>
      <c r="AF424" s="87" t="n">
        <v>0</v>
      </c>
      <c r="AG424" t="n">
        <v>4043</v>
      </c>
      <c r="AH424" t="n">
        <v>77334</v>
      </c>
      <c r="AI424" t="n">
        <v>0</v>
      </c>
      <c r="AJ424" s="88">
        <f>IF(OR(AG424&lt;=0,AH424&lt;=0),"",LN(AG424)-LN(AH424))</f>
        <v/>
      </c>
      <c r="AK424" t="n">
        <v>11604</v>
      </c>
      <c r="AL424" t="n">
        <v>69773</v>
      </c>
      <c r="AM424" s="88">
        <f>IF(OR(AK424&lt;=0,AL424&lt;=0),"",LN(AK424)-LN(AL424))</f>
        <v/>
      </c>
      <c r="AN424" t="n">
        <v>3943</v>
      </c>
      <c r="AO424" t="n">
        <v>74697</v>
      </c>
      <c r="AP424" s="88">
        <f>IF(OR(AN424&lt;=0,AO424&lt;=0),"",LN(AN424)-LN(AO424))</f>
        <v/>
      </c>
      <c r="AQ424" t="n">
        <v>3956</v>
      </c>
      <c r="AR424" t="n">
        <v>77334</v>
      </c>
      <c r="AS424" s="88">
        <f>IF(OR(AQ424&lt;=0,AR424&lt;=0),"",LN(AQ424)-LN(AR424))</f>
        <v/>
      </c>
      <c r="AT424" t="n">
        <v>4724</v>
      </c>
      <c r="AU424" t="n">
        <v>76192</v>
      </c>
      <c r="AV424" t="n">
        <v>457</v>
      </c>
      <c r="AW424" t="n">
        <v>345</v>
      </c>
      <c r="AX424" t="n">
        <v>3670</v>
      </c>
      <c r="AY424" s="88">
        <f>IF(OR(AT424&lt;=0,AU424&lt;=0),"",LN(AT424)-LN(AU424))</f>
        <v/>
      </c>
      <c r="AZ424" s="46" t="n">
        <v>9.6</v>
      </c>
      <c r="BA424" s="46" t="n">
        <v>18.43</v>
      </c>
      <c r="BB424" s="47" t="n">
        <v>1.4</v>
      </c>
    </row>
    <row r="425">
      <c r="A425" s="48" t="n">
        <v>45715</v>
      </c>
      <c r="B425" s="49" t="n">
        <v>91202</v>
      </c>
      <c r="C425" s="50" t="n">
        <v>15.32</v>
      </c>
      <c r="D425" s="51" t="inlineStr">
        <is>
          <t>Moderate</t>
        </is>
      </c>
      <c r="E425" s="52" t="n">
        <v>5.8</v>
      </c>
      <c r="F425" s="52" t="n"/>
      <c r="G425" s="51" t="inlineStr">
        <is>
          <t>Thu</t>
        </is>
      </c>
      <c r="H425" s="51" t="inlineStr">
        <is>
          <t>Weekday</t>
        </is>
      </c>
      <c r="I425" s="51" t="inlineStr">
        <is>
          <t>Winter</t>
        </is>
      </c>
      <c r="J425" s="51" t="n">
        <v>25</v>
      </c>
      <c r="K425" s="51" t="inlineStr">
        <is>
          <t>강수량 공란</t>
        </is>
      </c>
      <c r="L425" s="46" t="n">
        <v>38.88</v>
      </c>
      <c r="M425" t="inlineStr">
        <is>
          <t>Moderate</t>
        </is>
      </c>
      <c r="N425" s="87" t="n">
        <v>25</v>
      </c>
      <c r="O425" s="87" t="n">
        <v>0</v>
      </c>
      <c r="P425" s="87" t="n">
        <v>0</v>
      </c>
      <c r="Q425" s="87" t="n">
        <v>0</v>
      </c>
      <c r="R425" s="87" t="n">
        <v>0</v>
      </c>
      <c r="S425" s="47" t="n">
        <v>1.9</v>
      </c>
      <c r="T425" s="47" t="n">
        <v>29.4</v>
      </c>
      <c r="U425" s="47" t="n"/>
      <c r="V425" s="87" t="n">
        <v>0</v>
      </c>
      <c r="W425" s="87" t="n">
        <v>0</v>
      </c>
      <c r="Y425" t="inlineStr">
        <is>
          <t>Feb</t>
        </is>
      </c>
      <c r="Z425" s="87" t="n">
        <v>2025</v>
      </c>
      <c r="AA425" s="47">
        <f>IF(F425="",0,F425)</f>
        <v/>
      </c>
      <c r="AB425" s="87">
        <f>IF(AA425&gt;=0.1,1,0)</f>
        <v/>
      </c>
      <c r="AC425" s="87" t="n">
        <v>0</v>
      </c>
      <c r="AD425" s="47">
        <f>IF(U425="",0,U425)</f>
        <v/>
      </c>
      <c r="AE425" s="87">
        <f>IF(OR(V425=1,W425=1),1,0)</f>
        <v/>
      </c>
      <c r="AF425" s="87" t="n">
        <v>0</v>
      </c>
      <c r="AG425" t="n">
        <v>5167</v>
      </c>
      <c r="AH425" t="n">
        <v>86035</v>
      </c>
      <c r="AI425" t="n">
        <v>0</v>
      </c>
      <c r="AJ425" s="88">
        <f>IF(OR(AG425&lt;=0,AH425&lt;=0),"",LN(AG425)-LN(AH425))</f>
        <v/>
      </c>
      <c r="AK425" t="n">
        <v>13733</v>
      </c>
      <c r="AL425" t="n">
        <v>77469</v>
      </c>
      <c r="AM425" s="88">
        <f>IF(OR(AK425&lt;=0,AL425&lt;=0),"",LN(AK425)-LN(AL425))</f>
        <v/>
      </c>
      <c r="AN425" t="n">
        <v>5029</v>
      </c>
      <c r="AO425" t="n">
        <v>83101</v>
      </c>
      <c r="AP425" s="88">
        <f>IF(OR(AN425&lt;=0,AO425&lt;=0),"",LN(AN425)-LN(AO425))</f>
        <v/>
      </c>
      <c r="AQ425" t="n">
        <v>5060</v>
      </c>
      <c r="AR425" t="n">
        <v>86035</v>
      </c>
      <c r="AS425" s="88">
        <f>IF(OR(AQ425&lt;=0,AR425&lt;=0),"",LN(AQ425)-LN(AR425))</f>
        <v/>
      </c>
      <c r="AT425" t="n">
        <v>5596</v>
      </c>
      <c r="AU425" t="n">
        <v>85052</v>
      </c>
      <c r="AV425" t="n">
        <v>551</v>
      </c>
      <c r="AW425" t="n">
        <v>521</v>
      </c>
      <c r="AX425" t="n">
        <v>4594</v>
      </c>
      <c r="AY425" s="88">
        <f>IF(OR(AT425&lt;=0,AU425&lt;=0),"",LN(AT425)-LN(AU425))</f>
        <v/>
      </c>
      <c r="AZ425" s="46" t="n">
        <v>10</v>
      </c>
      <c r="BA425" s="46" t="n">
        <v>18.29</v>
      </c>
      <c r="BB425" s="47" t="n">
        <v>2</v>
      </c>
    </row>
    <row r="426">
      <c r="A426" s="48" t="n">
        <v>45716</v>
      </c>
      <c r="B426" s="49" t="n">
        <v>47221</v>
      </c>
      <c r="C426" s="50" t="n">
        <v>32.08</v>
      </c>
      <c r="D426" s="51" t="inlineStr">
        <is>
          <t>Moderate</t>
        </is>
      </c>
      <c r="E426" s="52" t="n">
        <v>7.8</v>
      </c>
      <c r="F426" s="52" t="n"/>
      <c r="G426" s="51" t="inlineStr">
        <is>
          <t>Fri</t>
        </is>
      </c>
      <c r="H426" s="51" t="inlineStr">
        <is>
          <t>Weekday</t>
        </is>
      </c>
      <c r="I426" s="51" t="inlineStr">
        <is>
          <t>Winter</t>
        </is>
      </c>
      <c r="J426" s="51" t="n">
        <v>25</v>
      </c>
      <c r="K426" s="51" t="inlineStr">
        <is>
          <t>강수량 공란</t>
        </is>
      </c>
      <c r="L426" s="46" t="n">
        <v>50.32</v>
      </c>
      <c r="M426" t="inlineStr">
        <is>
          <t>Moderate</t>
        </is>
      </c>
      <c r="N426" s="87" t="n">
        <v>25</v>
      </c>
      <c r="O426" s="87" t="n">
        <v>0</v>
      </c>
      <c r="P426" s="87" t="n">
        <v>0</v>
      </c>
      <c r="Q426" s="87" t="n">
        <v>0</v>
      </c>
      <c r="R426" s="87" t="n">
        <v>0</v>
      </c>
      <c r="S426" s="47" t="n">
        <v>1.5</v>
      </c>
      <c r="T426" s="47" t="n">
        <v>52.4</v>
      </c>
      <c r="U426" s="47" t="n"/>
      <c r="V426" s="87" t="n">
        <v>0</v>
      </c>
      <c r="W426" s="87" t="n">
        <v>0</v>
      </c>
      <c r="Y426" t="inlineStr">
        <is>
          <t>Feb</t>
        </is>
      </c>
      <c r="Z426" s="87" t="n">
        <v>2025</v>
      </c>
      <c r="AA426" s="47">
        <f>IF(F426="",0,F426)</f>
        <v/>
      </c>
      <c r="AB426" s="87">
        <f>IF(AA426&gt;=0.1,1,0)</f>
        <v/>
      </c>
      <c r="AC426" s="87" t="n">
        <v>0</v>
      </c>
      <c r="AD426" s="47">
        <f>IF(U426="",0,U426)</f>
        <v/>
      </c>
      <c r="AE426" s="87">
        <f>IF(OR(V426=1,W426=1),1,0)</f>
        <v/>
      </c>
      <c r="AF426" s="87" t="n">
        <v>1</v>
      </c>
      <c r="AG426" t="n">
        <v>2042</v>
      </c>
      <c r="AH426" t="n">
        <v>45179</v>
      </c>
      <c r="AI426" t="n">
        <v>0</v>
      </c>
      <c r="AJ426" s="88">
        <f>IF(OR(AG426&lt;=0,AH426&lt;=0),"",LN(AG426)-LN(AH426))</f>
        <v/>
      </c>
      <c r="AK426" t="n">
        <v>6078</v>
      </c>
      <c r="AL426" t="n">
        <v>41143</v>
      </c>
      <c r="AM426" s="88">
        <f>IF(OR(AK426&lt;=0,AL426&lt;=0),"",LN(AK426)-LN(AL426))</f>
        <v/>
      </c>
      <c r="AN426" t="n">
        <v>2005</v>
      </c>
      <c r="AO426" t="n">
        <v>43609</v>
      </c>
      <c r="AP426" s="88">
        <f>IF(OR(AN426&lt;=0,AO426&lt;=0),"",LN(AN426)-LN(AO426))</f>
        <v/>
      </c>
      <c r="AQ426" t="n">
        <v>1989</v>
      </c>
      <c r="AR426" t="n">
        <v>45179</v>
      </c>
      <c r="AS426" s="88">
        <f>IF(OR(AQ426&lt;=0,AR426&lt;=0),"",LN(AQ426)-LN(AR426))</f>
        <v/>
      </c>
      <c r="AT426" t="n">
        <v>5991</v>
      </c>
      <c r="AU426" t="n">
        <v>87648</v>
      </c>
      <c r="AV426" t="n">
        <v>562</v>
      </c>
      <c r="AW426" t="n">
        <v>531</v>
      </c>
      <c r="AX426" t="n">
        <v>4692</v>
      </c>
      <c r="AY426" s="88">
        <f>IF(OR(AT426&lt;=0,AU426&lt;=0),"",LN(AT426)-LN(AU426))</f>
        <v/>
      </c>
      <c r="AZ426" s="46" t="n">
        <v>3.4</v>
      </c>
      <c r="BA426" s="46" t="n">
        <v>10.43</v>
      </c>
      <c r="BB426" s="47" t="n">
        <v>3.9</v>
      </c>
    </row>
    <row r="427">
      <c r="A427" s="48" t="n">
        <v>45717</v>
      </c>
      <c r="B427" s="49" t="n">
        <v>58921</v>
      </c>
      <c r="C427" s="50" t="n">
        <v>49.8</v>
      </c>
      <c r="D427" s="51" t="inlineStr">
        <is>
          <t>Bad</t>
        </is>
      </c>
      <c r="E427" s="52" t="n">
        <v>8.5</v>
      </c>
      <c r="F427" s="52" t="n">
        <v>0.6</v>
      </c>
      <c r="G427" s="51" t="inlineStr">
        <is>
          <t>Sat</t>
        </is>
      </c>
      <c r="H427" s="51" t="inlineStr">
        <is>
          <t>Weekend</t>
        </is>
      </c>
      <c r="I427" s="51" t="inlineStr">
        <is>
          <t>Spring</t>
        </is>
      </c>
      <c r="J427" s="51" t="n">
        <v>25</v>
      </c>
      <c r="K427" s="51" t="inlineStr">
        <is>
          <t>OK</t>
        </is>
      </c>
      <c r="L427" s="46" t="n">
        <v>63.6</v>
      </c>
      <c r="M427" t="inlineStr">
        <is>
          <t>Moderate</t>
        </is>
      </c>
      <c r="N427" s="87" t="n">
        <v>25</v>
      </c>
      <c r="O427" s="87" t="n">
        <v>0</v>
      </c>
      <c r="P427" s="87" t="n">
        <v>0</v>
      </c>
      <c r="Q427" s="87" t="n">
        <v>0</v>
      </c>
      <c r="R427" s="87" t="n">
        <v>0</v>
      </c>
      <c r="S427" s="47" t="n">
        <v>2</v>
      </c>
      <c r="T427" s="47" t="n">
        <v>68.5</v>
      </c>
      <c r="U427" s="47" t="n"/>
      <c r="V427" s="87" t="n">
        <v>1</v>
      </c>
      <c r="W427" s="87" t="n">
        <v>1</v>
      </c>
      <c r="X427" t="inlineStr">
        <is>
          <t>삼일절</t>
        </is>
      </c>
      <c r="Y427" t="inlineStr">
        <is>
          <t>Mar</t>
        </is>
      </c>
      <c r="Z427" s="87" t="n">
        <v>2025</v>
      </c>
      <c r="AA427" s="47">
        <f>IF(F427="",0,F427)</f>
        <v/>
      </c>
      <c r="AB427" s="87">
        <f>IF(AA427&gt;=0.1,1,0)</f>
        <v/>
      </c>
      <c r="AC427" s="87" t="n">
        <v>0</v>
      </c>
      <c r="AD427" s="47">
        <f>IF(U427="",0,U427)</f>
        <v/>
      </c>
      <c r="AE427" s="87">
        <f>IF(OR(V427=1,W427=1),1,0)</f>
        <v/>
      </c>
      <c r="AF427" s="87" t="n">
        <v>0</v>
      </c>
      <c r="AG427" t="n">
        <v>3679</v>
      </c>
      <c r="AH427" t="n">
        <v>55242</v>
      </c>
      <c r="AI427" t="n">
        <v>0</v>
      </c>
      <c r="AJ427" s="88">
        <f>IF(OR(AG427&lt;=0,AH427&lt;=0),"",LN(AG427)-LN(AH427))</f>
        <v/>
      </c>
      <c r="AK427" t="n">
        <v>8963</v>
      </c>
      <c r="AL427" t="n">
        <v>49958</v>
      </c>
      <c r="AM427" s="88">
        <f>IF(OR(AK427&lt;=0,AL427&lt;=0),"",LN(AK427)-LN(AL427))</f>
        <v/>
      </c>
      <c r="AN427" t="n">
        <v>3578</v>
      </c>
      <c r="AO427" t="n">
        <v>53276</v>
      </c>
      <c r="AP427" s="88">
        <f>IF(OR(AN427&lt;=0,AO427&lt;=0),"",LN(AN427)-LN(AO427))</f>
        <v/>
      </c>
      <c r="AQ427" t="n">
        <v>3588</v>
      </c>
      <c r="AR427" t="n">
        <v>55242</v>
      </c>
      <c r="AS427" s="88">
        <f>IF(OR(AQ427&lt;=0,AR427&lt;=0),"",LN(AQ427)-LN(AR427))</f>
        <v/>
      </c>
      <c r="AT427" t="n">
        <v>4808</v>
      </c>
      <c r="AU427" t="n">
        <v>53770</v>
      </c>
      <c r="AV427" t="n">
        <v>339</v>
      </c>
      <c r="AW427" t="n">
        <v>492</v>
      </c>
      <c r="AX427" t="n">
        <v>3166</v>
      </c>
      <c r="AY427" s="88">
        <f>IF(OR(AT427&lt;=0,AU427&lt;=0),"",LN(AT427)-LN(AU427))</f>
        <v/>
      </c>
      <c r="AZ427" s="46" t="n">
        <v>1.7</v>
      </c>
      <c r="BA427" s="46" t="n">
        <v>7.53</v>
      </c>
      <c r="BB427" s="47" t="n">
        <v>7.4</v>
      </c>
    </row>
    <row r="428">
      <c r="A428" s="48" t="n">
        <v>45718</v>
      </c>
      <c r="B428" s="49" t="n">
        <v>32851</v>
      </c>
      <c r="C428" s="50" t="n">
        <v>30.16</v>
      </c>
      <c r="D428" s="51" t="inlineStr">
        <is>
          <t>Moderate</t>
        </is>
      </c>
      <c r="E428" s="52" t="n">
        <v>8.300000000000001</v>
      </c>
      <c r="F428" s="52" t="n">
        <v>11.8</v>
      </c>
      <c r="G428" s="51" t="inlineStr">
        <is>
          <t>Sun</t>
        </is>
      </c>
      <c r="H428" s="51" t="inlineStr">
        <is>
          <t>Weekend</t>
        </is>
      </c>
      <c r="I428" s="51" t="inlineStr">
        <is>
          <t>Spring</t>
        </is>
      </c>
      <c r="J428" s="51" t="n">
        <v>25</v>
      </c>
      <c r="K428" s="51" t="inlineStr">
        <is>
          <t>OK</t>
        </is>
      </c>
      <c r="L428" s="46" t="n">
        <v>41.2</v>
      </c>
      <c r="M428" t="inlineStr">
        <is>
          <t>Moderate</t>
        </is>
      </c>
      <c r="N428" s="87" t="n">
        <v>25</v>
      </c>
      <c r="O428" s="87" t="n">
        <v>0</v>
      </c>
      <c r="P428" s="87" t="n">
        <v>0</v>
      </c>
      <c r="Q428" s="87" t="n">
        <v>0</v>
      </c>
      <c r="R428" s="87" t="n">
        <v>0</v>
      </c>
      <c r="S428" s="47" t="n">
        <v>3.7</v>
      </c>
      <c r="T428" s="47" t="n">
        <v>68</v>
      </c>
      <c r="U428" s="47" t="n"/>
      <c r="V428" s="87" t="n">
        <v>1</v>
      </c>
      <c r="W428" s="87" t="n">
        <v>0</v>
      </c>
      <c r="Y428" t="inlineStr">
        <is>
          <t>Mar</t>
        </is>
      </c>
      <c r="Z428" s="87" t="n">
        <v>2025</v>
      </c>
      <c r="AA428" s="47">
        <f>IF(F428="",0,F428)</f>
        <v/>
      </c>
      <c r="AB428" s="87">
        <f>IF(AA428&gt;=0.1,1,0)</f>
        <v/>
      </c>
      <c r="AC428" s="87" t="n">
        <v>0</v>
      </c>
      <c r="AD428" s="47">
        <f>IF(U428="",0,U428)</f>
        <v/>
      </c>
      <c r="AE428" s="87">
        <f>IF(OR(V428=1,W428=1),1,0)</f>
        <v/>
      </c>
      <c r="AF428" s="87" t="n">
        <v>0</v>
      </c>
      <c r="AG428" t="n">
        <v>2101</v>
      </c>
      <c r="AH428" t="n">
        <v>30750</v>
      </c>
      <c r="AI428" t="n">
        <v>0</v>
      </c>
      <c r="AJ428" s="88">
        <f>IF(OR(AG428&lt;=0,AH428&lt;=0),"",LN(AG428)-LN(AH428))</f>
        <v/>
      </c>
      <c r="AK428" t="n">
        <v>4935</v>
      </c>
      <c r="AL428" t="n">
        <v>27916</v>
      </c>
      <c r="AM428" s="88">
        <f>IF(OR(AK428&lt;=0,AL428&lt;=0),"",LN(AK428)-LN(AL428))</f>
        <v/>
      </c>
      <c r="AN428" t="n">
        <v>2037</v>
      </c>
      <c r="AO428" t="n">
        <v>29697</v>
      </c>
      <c r="AP428" s="88">
        <f>IF(OR(AN428&lt;=0,AO428&lt;=0),"",LN(AN428)-LN(AO428))</f>
        <v/>
      </c>
      <c r="AQ428" t="n">
        <v>2041</v>
      </c>
      <c r="AR428" t="n">
        <v>30750</v>
      </c>
      <c r="AS428" s="88">
        <f>IF(OR(AQ428&lt;=0,AR428&lt;=0),"",LN(AQ428)-LN(AR428))</f>
        <v/>
      </c>
      <c r="AT428" t="n">
        <v>2640</v>
      </c>
      <c r="AU428" t="n">
        <v>30023</v>
      </c>
      <c r="AV428" t="n">
        <v>186</v>
      </c>
      <c r="AW428" t="n">
        <v>249</v>
      </c>
      <c r="AX428" t="n">
        <v>1837</v>
      </c>
      <c r="AY428" s="88">
        <f>IF(OR(AT428&lt;=0,AU428&lt;=0),"",LN(AT428)-LN(AU428))</f>
        <v/>
      </c>
      <c r="AZ428" s="46" t="n">
        <v>0.4</v>
      </c>
      <c r="BA428" s="46" t="n">
        <v>5.25</v>
      </c>
      <c r="BB428" s="47" t="n">
        <v>9.800000000000001</v>
      </c>
    </row>
    <row r="429">
      <c r="A429" s="48" t="n">
        <v>45719</v>
      </c>
      <c r="B429" s="49" t="n">
        <v>45444</v>
      </c>
      <c r="C429" s="50" t="n">
        <v>4.84</v>
      </c>
      <c r="D429" s="51" t="inlineStr">
        <is>
          <t>Good</t>
        </is>
      </c>
      <c r="E429" s="52" t="n">
        <v>3.1</v>
      </c>
      <c r="F429" s="52" t="n">
        <v>10.4</v>
      </c>
      <c r="G429" s="51" t="inlineStr">
        <is>
          <t>Mon</t>
        </is>
      </c>
      <c r="H429" s="51" t="inlineStr">
        <is>
          <t>Weekday</t>
        </is>
      </c>
      <c r="I429" s="51" t="inlineStr">
        <is>
          <t>Spring</t>
        </is>
      </c>
      <c r="J429" s="51" t="n">
        <v>25</v>
      </c>
      <c r="K429" s="51" t="inlineStr">
        <is>
          <t>OK</t>
        </is>
      </c>
      <c r="L429" s="46" t="n">
        <v>11.72</v>
      </c>
      <c r="M429" t="inlineStr">
        <is>
          <t>Good</t>
        </is>
      </c>
      <c r="N429" s="87" t="n">
        <v>25</v>
      </c>
      <c r="O429" s="87" t="n">
        <v>0</v>
      </c>
      <c r="P429" s="87" t="n">
        <v>0</v>
      </c>
      <c r="Q429" s="87" t="n">
        <v>0</v>
      </c>
      <c r="R429" s="87" t="n">
        <v>0</v>
      </c>
      <c r="S429" s="47" t="n">
        <v>6.3</v>
      </c>
      <c r="T429" s="47" t="n">
        <v>63.5</v>
      </c>
      <c r="U429" s="47" t="n">
        <v>1.1</v>
      </c>
      <c r="V429" s="87" t="n">
        <v>0</v>
      </c>
      <c r="W429" s="87" t="n">
        <v>1</v>
      </c>
      <c r="X429" t="inlineStr">
        <is>
          <t>삼일절 대체공휴일</t>
        </is>
      </c>
      <c r="Y429" t="inlineStr">
        <is>
          <t>Mar</t>
        </is>
      </c>
      <c r="Z429" s="87" t="n">
        <v>2025</v>
      </c>
      <c r="AA429" s="47">
        <f>IF(F429="",0,F429)</f>
        <v/>
      </c>
      <c r="AB429" s="87">
        <f>IF(AA429&gt;=0.1,1,0)</f>
        <v/>
      </c>
      <c r="AC429" s="87" t="n">
        <v>0</v>
      </c>
      <c r="AD429" s="47">
        <f>IF(U429="",0,U429)</f>
        <v/>
      </c>
      <c r="AE429" s="87">
        <f>IF(OR(V429=1,W429=1),1,0)</f>
        <v/>
      </c>
      <c r="AF429" s="87" t="n">
        <v>0</v>
      </c>
      <c r="AG429" t="n">
        <v>2571</v>
      </c>
      <c r="AH429" t="n">
        <v>42873</v>
      </c>
      <c r="AI429" t="n">
        <v>0</v>
      </c>
      <c r="AJ429" s="88">
        <f>IF(OR(AG429&lt;=0,AH429&lt;=0),"",LN(AG429)-LN(AH429))</f>
        <v/>
      </c>
      <c r="AK429" t="n">
        <v>6869</v>
      </c>
      <c r="AL429" t="n">
        <v>38575</v>
      </c>
      <c r="AM429" s="88">
        <f>IF(OR(AK429&lt;=0,AL429&lt;=0),"",LN(AK429)-LN(AL429))</f>
        <v/>
      </c>
      <c r="AN429" t="n">
        <v>2494</v>
      </c>
      <c r="AO429" t="n">
        <v>41420</v>
      </c>
      <c r="AP429" s="88">
        <f>IF(OR(AN429&lt;=0,AO429&lt;=0),"",LN(AN429)-LN(AO429))</f>
        <v/>
      </c>
      <c r="AQ429" t="n">
        <v>2508</v>
      </c>
      <c r="AR429" t="n">
        <v>42873</v>
      </c>
      <c r="AS429" s="88">
        <f>IF(OR(AQ429&lt;=0,AR429&lt;=0),"",LN(AQ429)-LN(AR429))</f>
        <v/>
      </c>
      <c r="AT429" t="n">
        <v>4182</v>
      </c>
      <c r="AU429" t="n">
        <v>41007</v>
      </c>
      <c r="AV429" t="n">
        <v>250</v>
      </c>
      <c r="AW429" t="n">
        <v>347</v>
      </c>
      <c r="AX429" t="n">
        <v>2214</v>
      </c>
      <c r="AY429" s="88">
        <f>IF(OR(AT429&lt;=0,AU429&lt;=0),"",LN(AT429)-LN(AU429))</f>
        <v/>
      </c>
      <c r="AZ429" s="46" t="n">
        <v>6.6</v>
      </c>
      <c r="BA429" s="46" t="n">
        <v>16.28</v>
      </c>
      <c r="BB429" s="47" t="n">
        <v>7.5</v>
      </c>
    </row>
    <row r="430">
      <c r="A430" s="48" t="n">
        <v>45720</v>
      </c>
      <c r="B430" s="49" t="n">
        <v>52214</v>
      </c>
      <c r="C430" s="50" t="n">
        <v>3.68</v>
      </c>
      <c r="D430" s="51" t="inlineStr">
        <is>
          <t>Good</t>
        </is>
      </c>
      <c r="E430" s="52" t="n">
        <v>2.5</v>
      </c>
      <c r="F430" s="52" t="n">
        <v>4</v>
      </c>
      <c r="G430" s="51" t="inlineStr">
        <is>
          <t>Tue</t>
        </is>
      </c>
      <c r="H430" s="51" t="inlineStr">
        <is>
          <t>Weekday</t>
        </is>
      </c>
      <c r="I430" s="51" t="inlineStr">
        <is>
          <t>Spring</t>
        </is>
      </c>
      <c r="J430" s="51" t="n">
        <v>25</v>
      </c>
      <c r="K430" s="51" t="inlineStr">
        <is>
          <t>OK</t>
        </is>
      </c>
      <c r="L430" s="46" t="n">
        <v>9.32</v>
      </c>
      <c r="M430" t="inlineStr">
        <is>
          <t>Good</t>
        </is>
      </c>
      <c r="N430" s="87" t="n">
        <v>25</v>
      </c>
      <c r="O430" s="87" t="n">
        <v>0</v>
      </c>
      <c r="P430" s="87" t="n">
        <v>0</v>
      </c>
      <c r="Q430" s="87" t="n">
        <v>0</v>
      </c>
      <c r="R430" s="87" t="n">
        <v>0</v>
      </c>
      <c r="S430" s="47" t="n">
        <v>4.5</v>
      </c>
      <c r="T430" s="47" t="n">
        <v>68.3</v>
      </c>
      <c r="U430" s="47" t="n">
        <v>3.4</v>
      </c>
      <c r="V430" s="87" t="n">
        <v>0</v>
      </c>
      <c r="W430" s="87" t="n">
        <v>0</v>
      </c>
      <c r="Y430" t="inlineStr">
        <is>
          <t>Mar</t>
        </is>
      </c>
      <c r="Z430" s="87" t="n">
        <v>2025</v>
      </c>
      <c r="AA430" s="47">
        <f>IF(F430="",0,F430)</f>
        <v/>
      </c>
      <c r="AB430" s="87">
        <f>IF(AA430&gt;=0.1,1,0)</f>
        <v/>
      </c>
      <c r="AC430" s="87" t="n">
        <v>0</v>
      </c>
      <c r="AD430" s="47">
        <f>IF(U430="",0,U430)</f>
        <v/>
      </c>
      <c r="AE430" s="87">
        <f>IF(OR(V430=1,W430=1),1,0)</f>
        <v/>
      </c>
      <c r="AF430" s="87" t="n">
        <v>0</v>
      </c>
      <c r="AG430" t="n">
        <v>2352</v>
      </c>
      <c r="AH430" t="n">
        <v>49862</v>
      </c>
      <c r="AI430" t="n">
        <v>0</v>
      </c>
      <c r="AJ430" s="88">
        <f>IF(OR(AG430&lt;=0,AH430&lt;=0),"",LN(AG430)-LN(AH430))</f>
        <v/>
      </c>
      <c r="AK430" t="n">
        <v>7024</v>
      </c>
      <c r="AL430" t="n">
        <v>45190</v>
      </c>
      <c r="AM430" s="88">
        <f>IF(OR(AK430&lt;=0,AL430&lt;=0),"",LN(AK430)-LN(AL430))</f>
        <v/>
      </c>
      <c r="AN430" t="n">
        <v>2304</v>
      </c>
      <c r="AO430" t="n">
        <v>48055</v>
      </c>
      <c r="AP430" s="88">
        <f>IF(OR(AN430&lt;=0,AO430&lt;=0),"",LN(AN430)-LN(AO430))</f>
        <v/>
      </c>
      <c r="AQ430" t="n">
        <v>2297</v>
      </c>
      <c r="AR430" t="n">
        <v>49862</v>
      </c>
      <c r="AS430" s="88">
        <f>IF(OR(AQ430&lt;=0,AR430&lt;=0),"",LN(AQ430)-LN(AR430))</f>
        <v/>
      </c>
      <c r="AT430" t="n">
        <v>2425</v>
      </c>
      <c r="AU430" t="n">
        <v>49512</v>
      </c>
      <c r="AV430" t="n">
        <v>276</v>
      </c>
      <c r="AW430" t="n">
        <v>127</v>
      </c>
      <c r="AX430" t="n">
        <v>2209</v>
      </c>
      <c r="AY430" s="88">
        <f>IF(OR(AT430&lt;=0,AU430&lt;=0),"",LN(AT430)-LN(AU430))</f>
        <v/>
      </c>
      <c r="AZ430" s="46" t="n">
        <v>0.6</v>
      </c>
      <c r="BA430" s="46" t="n">
        <v>5.68</v>
      </c>
      <c r="BB430" s="47" t="n">
        <v>9.300000000000001</v>
      </c>
    </row>
    <row r="431">
      <c r="A431" s="48" t="n">
        <v>45721</v>
      </c>
      <c r="B431" s="49" t="n">
        <v>89885</v>
      </c>
      <c r="C431" s="50" t="n">
        <v>4.04</v>
      </c>
      <c r="D431" s="51" t="inlineStr">
        <is>
          <t>Good</t>
        </is>
      </c>
      <c r="E431" s="52" t="n">
        <v>4.8</v>
      </c>
      <c r="F431" s="52" t="n">
        <v>0</v>
      </c>
      <c r="G431" s="51" t="inlineStr">
        <is>
          <t>Wed</t>
        </is>
      </c>
      <c r="H431" s="51" t="inlineStr">
        <is>
          <t>Weekday</t>
        </is>
      </c>
      <c r="I431" s="51" t="inlineStr">
        <is>
          <t>Spring</t>
        </is>
      </c>
      <c r="J431" s="51" t="n">
        <v>25</v>
      </c>
      <c r="K431" s="51" t="inlineStr">
        <is>
          <t>OK</t>
        </is>
      </c>
      <c r="L431" s="46" t="n">
        <v>8.199999999999999</v>
      </c>
      <c r="M431" t="inlineStr">
        <is>
          <t>Good</t>
        </is>
      </c>
      <c r="N431" s="87" t="n">
        <v>25</v>
      </c>
      <c r="O431" s="87" t="n">
        <v>0</v>
      </c>
      <c r="P431" s="87" t="n">
        <v>0</v>
      </c>
      <c r="Q431" s="87" t="n">
        <v>0</v>
      </c>
      <c r="R431" s="87" t="n">
        <v>0</v>
      </c>
      <c r="S431" s="47" t="n">
        <v>2.2</v>
      </c>
      <c r="T431" s="47" t="n">
        <v>63.3</v>
      </c>
      <c r="U431" s="47" t="n"/>
      <c r="V431" s="87" t="n">
        <v>0</v>
      </c>
      <c r="W431" s="87" t="n">
        <v>0</v>
      </c>
      <c r="Y431" t="inlineStr">
        <is>
          <t>Mar</t>
        </is>
      </c>
      <c r="Z431" s="87" t="n">
        <v>2025</v>
      </c>
      <c r="AA431" s="47">
        <f>IF(F431="",0,F431)</f>
        <v/>
      </c>
      <c r="AB431" s="87">
        <f>IF(AA431&gt;=0.1,1,0)</f>
        <v/>
      </c>
      <c r="AC431" s="87" t="n">
        <v>1</v>
      </c>
      <c r="AD431" s="47">
        <f>IF(U431="",0,U431)</f>
        <v/>
      </c>
      <c r="AE431" s="87">
        <f>IF(OR(V431=1,W431=1),1,0)</f>
        <v/>
      </c>
      <c r="AF431" s="87" t="n">
        <v>0</v>
      </c>
      <c r="AG431" t="n">
        <v>4320</v>
      </c>
      <c r="AH431" t="n">
        <v>85565</v>
      </c>
      <c r="AI431" t="n">
        <v>0</v>
      </c>
      <c r="AJ431" s="88">
        <f>IF(OR(AG431&lt;=0,AH431&lt;=0),"",LN(AG431)-LN(AH431))</f>
        <v/>
      </c>
      <c r="AK431" t="n">
        <v>12602</v>
      </c>
      <c r="AL431" t="n">
        <v>77283</v>
      </c>
      <c r="AM431" s="88">
        <f>IF(OR(AK431&lt;=0,AL431&lt;=0),"",LN(AK431)-LN(AL431))</f>
        <v/>
      </c>
      <c r="AN431" t="n">
        <v>4199</v>
      </c>
      <c r="AO431" t="n">
        <v>82535</v>
      </c>
      <c r="AP431" s="88">
        <f>IF(OR(AN431&lt;=0,AO431&lt;=0),"",LN(AN431)-LN(AO431))</f>
        <v/>
      </c>
      <c r="AQ431" t="n">
        <v>4219</v>
      </c>
      <c r="AR431" t="n">
        <v>85565</v>
      </c>
      <c r="AS431" s="88">
        <f>IF(OR(AQ431&lt;=0,AR431&lt;=0),"",LN(AQ431)-LN(AR431))</f>
        <v/>
      </c>
      <c r="AT431" t="n">
        <v>4963</v>
      </c>
      <c r="AU431" t="n">
        <v>84397</v>
      </c>
      <c r="AV431" t="n">
        <v>524</v>
      </c>
      <c r="AW431" t="n">
        <v>309</v>
      </c>
      <c r="AX431" t="n">
        <v>3983</v>
      </c>
      <c r="AY431" s="88">
        <f>IF(OR(AT431&lt;=0,AU431&lt;=0),"",LN(AT431)-LN(AU431))</f>
        <v/>
      </c>
      <c r="AZ431" s="46" t="n">
        <v>1.6</v>
      </c>
      <c r="BA431" s="46" t="n">
        <v>9.18</v>
      </c>
      <c r="BB431" s="47" t="n">
        <v>6.6</v>
      </c>
    </row>
    <row r="432">
      <c r="A432" s="48" t="n">
        <v>45722</v>
      </c>
      <c r="B432" s="49" t="n">
        <v>95222</v>
      </c>
      <c r="C432" s="50" t="n">
        <v>28.24</v>
      </c>
      <c r="D432" s="51" t="inlineStr">
        <is>
          <t>Moderate</t>
        </is>
      </c>
      <c r="E432" s="52" t="n">
        <v>4.8</v>
      </c>
      <c r="F432" s="52" t="n"/>
      <c r="G432" s="51" t="inlineStr">
        <is>
          <t>Thu</t>
        </is>
      </c>
      <c r="H432" s="51" t="inlineStr">
        <is>
          <t>Weekday</t>
        </is>
      </c>
      <c r="I432" s="51" t="inlineStr">
        <is>
          <t>Spring</t>
        </is>
      </c>
      <c r="J432" s="51" t="n">
        <v>25</v>
      </c>
      <c r="K432" s="51" t="inlineStr">
        <is>
          <t>강수량 공란</t>
        </is>
      </c>
      <c r="L432" s="46" t="n">
        <v>44.88</v>
      </c>
      <c r="M432" t="inlineStr">
        <is>
          <t>Moderate</t>
        </is>
      </c>
      <c r="N432" s="87" t="n">
        <v>25</v>
      </c>
      <c r="O432" s="87" t="n">
        <v>0</v>
      </c>
      <c r="P432" s="87" t="n">
        <v>0</v>
      </c>
      <c r="Q432" s="87" t="n">
        <v>0</v>
      </c>
      <c r="R432" s="87" t="n">
        <v>0</v>
      </c>
      <c r="S432" s="47" t="n">
        <v>2.3</v>
      </c>
      <c r="T432" s="47" t="n">
        <v>55.1</v>
      </c>
      <c r="U432" s="47" t="n"/>
      <c r="V432" s="87" t="n">
        <v>0</v>
      </c>
      <c r="W432" s="87" t="n">
        <v>0</v>
      </c>
      <c r="Y432" t="inlineStr">
        <is>
          <t>Mar</t>
        </is>
      </c>
      <c r="Z432" s="87" t="n">
        <v>2025</v>
      </c>
      <c r="AA432" s="47">
        <f>IF(F432="",0,F432)</f>
        <v/>
      </c>
      <c r="AB432" s="87">
        <f>IF(AA432&gt;=0.1,1,0)</f>
        <v/>
      </c>
      <c r="AC432" s="87" t="n">
        <v>0</v>
      </c>
      <c r="AD432" s="47">
        <f>IF(U432="",0,U432)</f>
        <v/>
      </c>
      <c r="AE432" s="87">
        <f>IF(OR(V432=1,W432=1),1,0)</f>
        <v/>
      </c>
      <c r="AF432" s="87" t="n">
        <v>0</v>
      </c>
      <c r="AG432" t="n">
        <v>4779</v>
      </c>
      <c r="AH432" t="n">
        <v>90443</v>
      </c>
      <c r="AI432" t="n">
        <v>0</v>
      </c>
      <c r="AJ432" s="88">
        <f>IF(OR(AG432&lt;=0,AH432&lt;=0),"",LN(AG432)-LN(AH432))</f>
        <v/>
      </c>
      <c r="AK432" t="n">
        <v>13385</v>
      </c>
      <c r="AL432" t="n">
        <v>81837</v>
      </c>
      <c r="AM432" s="88">
        <f>IF(OR(AK432&lt;=0,AL432&lt;=0),"",LN(AK432)-LN(AL432))</f>
        <v/>
      </c>
      <c r="AN432" t="n">
        <v>4654</v>
      </c>
      <c r="AO432" t="n">
        <v>87266</v>
      </c>
      <c r="AP432" s="88">
        <f>IF(OR(AN432&lt;=0,AO432&lt;=0),"",LN(AN432)-LN(AO432))</f>
        <v/>
      </c>
      <c r="AQ432" t="n">
        <v>4665</v>
      </c>
      <c r="AR432" t="n">
        <v>90443</v>
      </c>
      <c r="AS432" s="88">
        <f>IF(OR(AQ432&lt;=0,AR432&lt;=0),"",LN(AQ432)-LN(AR432))</f>
        <v/>
      </c>
      <c r="AT432" t="n">
        <v>5364</v>
      </c>
      <c r="AU432" t="n">
        <v>89216</v>
      </c>
      <c r="AV432" t="n">
        <v>644</v>
      </c>
      <c r="AW432" t="n">
        <v>371</v>
      </c>
      <c r="AX432" t="n">
        <v>4381</v>
      </c>
      <c r="AY432" s="88">
        <f>IF(OR(AT432&lt;=0,AU432&lt;=0),"",LN(AT432)-LN(AU432))</f>
        <v/>
      </c>
      <c r="AZ432" s="46" t="n">
        <v>10.5</v>
      </c>
      <c r="BA432" s="46" t="n">
        <v>19.3</v>
      </c>
      <c r="BB432" s="47" t="n">
        <v>0.4</v>
      </c>
    </row>
    <row r="433">
      <c r="A433" s="48" t="n">
        <v>45723</v>
      </c>
      <c r="B433" s="49" t="n">
        <v>98679</v>
      </c>
      <c r="C433" s="50" t="n">
        <v>49.28</v>
      </c>
      <c r="D433" s="51" t="inlineStr">
        <is>
          <t>Bad</t>
        </is>
      </c>
      <c r="E433" s="52" t="n">
        <v>5.3</v>
      </c>
      <c r="F433" s="52" t="n"/>
      <c r="G433" s="51" t="inlineStr">
        <is>
          <t>Fri</t>
        </is>
      </c>
      <c r="H433" s="51" t="inlineStr">
        <is>
          <t>Weekday</t>
        </is>
      </c>
      <c r="I433" s="51" t="inlineStr">
        <is>
          <t>Spring</t>
        </is>
      </c>
      <c r="J433" s="51" t="n">
        <v>25</v>
      </c>
      <c r="K433" s="51" t="inlineStr">
        <is>
          <t>강수량 공란</t>
        </is>
      </c>
      <c r="L433" s="46" t="n">
        <v>69.8</v>
      </c>
      <c r="M433" t="inlineStr">
        <is>
          <t>Moderate</t>
        </is>
      </c>
      <c r="N433" s="87" t="n">
        <v>25</v>
      </c>
      <c r="O433" s="87" t="n">
        <v>0</v>
      </c>
      <c r="P433" s="87" t="n">
        <v>0</v>
      </c>
      <c r="Q433" s="87" t="n">
        <v>0</v>
      </c>
      <c r="R433" s="87" t="n">
        <v>0</v>
      </c>
      <c r="S433" s="47" t="n">
        <v>1.8</v>
      </c>
      <c r="T433" s="47" t="n">
        <v>49.3</v>
      </c>
      <c r="U433" s="47" t="n"/>
      <c r="V433" s="87" t="n">
        <v>0</v>
      </c>
      <c r="W433" s="87" t="n">
        <v>0</v>
      </c>
      <c r="Y433" t="inlineStr">
        <is>
          <t>Mar</t>
        </is>
      </c>
      <c r="Z433" s="87" t="n">
        <v>2025</v>
      </c>
      <c r="AA433" s="47">
        <f>IF(F433="",0,F433)</f>
        <v/>
      </c>
      <c r="AB433" s="87">
        <f>IF(AA433&gt;=0.1,1,0)</f>
        <v/>
      </c>
      <c r="AC433" s="87" t="n">
        <v>0</v>
      </c>
      <c r="AD433" s="47">
        <f>IF(U433="",0,U433)</f>
        <v/>
      </c>
      <c r="AE433" s="87">
        <f>IF(OR(V433=1,W433=1),1,0)</f>
        <v/>
      </c>
      <c r="AF433" s="87" t="n">
        <v>0</v>
      </c>
      <c r="AG433" t="n">
        <v>4941</v>
      </c>
      <c r="AH433" t="n">
        <v>93737</v>
      </c>
      <c r="AI433" t="n">
        <v>1</v>
      </c>
      <c r="AJ433" s="88">
        <f>IF(OR(AG433&lt;=0,AH433&lt;=0),"",LN(AG433)-LN(AH433))</f>
        <v/>
      </c>
      <c r="AK433" t="n">
        <v>14068</v>
      </c>
      <c r="AL433" t="n">
        <v>84610</v>
      </c>
      <c r="AM433" s="88">
        <f>IF(OR(AK433&lt;=0,AL433&lt;=0),"",LN(AK433)-LN(AL433))</f>
        <v/>
      </c>
      <c r="AN433" t="n">
        <v>4807</v>
      </c>
      <c r="AO433" t="n">
        <v>90439</v>
      </c>
      <c r="AP433" s="88">
        <f>IF(OR(AN433&lt;=0,AO433&lt;=0),"",LN(AN433)-LN(AO433))</f>
        <v/>
      </c>
      <c r="AQ433" t="n">
        <v>4829</v>
      </c>
      <c r="AR433" t="n">
        <v>93737</v>
      </c>
      <c r="AS433" s="88">
        <f>IF(OR(AQ433&lt;=0,AR433&lt;=0),"",LN(AQ433)-LN(AR433))</f>
        <v/>
      </c>
      <c r="AT433" t="n">
        <v>5712</v>
      </c>
      <c r="AU433" t="n">
        <v>92359</v>
      </c>
      <c r="AV433" t="n">
        <v>606</v>
      </c>
      <c r="AW433" t="n">
        <v>396</v>
      </c>
      <c r="AX433" t="n">
        <v>4509</v>
      </c>
      <c r="AY433" s="88">
        <f>IF(OR(AT433&lt;=0,AU433&lt;=0),"",LN(AT433)-LN(AU433))</f>
        <v/>
      </c>
      <c r="AZ433" s="46" t="n">
        <v>8.6</v>
      </c>
      <c r="BA433" s="46" t="n">
        <v>15.35</v>
      </c>
      <c r="BB433" s="47" t="n">
        <v>5.5</v>
      </c>
    </row>
    <row r="434">
      <c r="A434" s="48" t="n">
        <v>45724</v>
      </c>
      <c r="B434" s="49" t="n">
        <v>81479</v>
      </c>
      <c r="C434" s="50" t="n">
        <v>39.48</v>
      </c>
      <c r="D434" s="51" t="inlineStr">
        <is>
          <t>Bad</t>
        </is>
      </c>
      <c r="E434" s="52" t="n">
        <v>5.8</v>
      </c>
      <c r="F434" s="52" t="n"/>
      <c r="G434" s="51" t="inlineStr">
        <is>
          <t>Sat</t>
        </is>
      </c>
      <c r="H434" s="51" t="inlineStr">
        <is>
          <t>Weekend</t>
        </is>
      </c>
      <c r="I434" s="51" t="inlineStr">
        <is>
          <t>Spring</t>
        </is>
      </c>
      <c r="J434" s="51" t="n">
        <v>25</v>
      </c>
      <c r="K434" s="51" t="inlineStr">
        <is>
          <t>강수량 공란</t>
        </is>
      </c>
      <c r="L434" s="46" t="n">
        <v>54</v>
      </c>
      <c r="M434" t="inlineStr">
        <is>
          <t>Moderate</t>
        </is>
      </c>
      <c r="N434" s="87" t="n">
        <v>25</v>
      </c>
      <c r="O434" s="87" t="n">
        <v>0</v>
      </c>
      <c r="P434" s="87" t="n">
        <v>0</v>
      </c>
      <c r="Q434" s="87" t="n">
        <v>0</v>
      </c>
      <c r="R434" s="87" t="n">
        <v>0</v>
      </c>
      <c r="S434" s="47" t="n">
        <v>2.2</v>
      </c>
      <c r="T434" s="47" t="n">
        <v>55</v>
      </c>
      <c r="U434" s="47" t="n"/>
      <c r="V434" s="87" t="n">
        <v>1</v>
      </c>
      <c r="W434" s="87" t="n">
        <v>0</v>
      </c>
      <c r="Y434" t="inlineStr">
        <is>
          <t>Mar</t>
        </is>
      </c>
      <c r="Z434" s="87" t="n">
        <v>2025</v>
      </c>
      <c r="AA434" s="47">
        <f>IF(F434="",0,F434)</f>
        <v/>
      </c>
      <c r="AB434" s="87">
        <f>IF(AA434&gt;=0.1,1,0)</f>
        <v/>
      </c>
      <c r="AC434" s="87" t="n">
        <v>0</v>
      </c>
      <c r="AD434" s="47">
        <f>IF(U434="",0,U434)</f>
        <v/>
      </c>
      <c r="AE434" s="87">
        <f>IF(OR(V434=1,W434=1),1,0)</f>
        <v/>
      </c>
      <c r="AF434" s="87" t="n">
        <v>0</v>
      </c>
      <c r="AG434" t="n">
        <v>5630</v>
      </c>
      <c r="AH434" t="n">
        <v>75849</v>
      </c>
      <c r="AI434" t="n">
        <v>0</v>
      </c>
      <c r="AJ434" s="88">
        <f>IF(OR(AG434&lt;=0,AH434&lt;=0),"",LN(AG434)-LN(AH434))</f>
        <v/>
      </c>
      <c r="AK434" t="n">
        <v>13294</v>
      </c>
      <c r="AL434" t="n">
        <v>68185</v>
      </c>
      <c r="AM434" s="88">
        <f>IF(OR(AK434&lt;=0,AL434&lt;=0),"",LN(AK434)-LN(AL434))</f>
        <v/>
      </c>
      <c r="AN434" t="n">
        <v>5486</v>
      </c>
      <c r="AO434" t="n">
        <v>73262</v>
      </c>
      <c r="AP434" s="88">
        <f>IF(OR(AN434&lt;=0,AO434&lt;=0),"",LN(AN434)-LN(AO434))</f>
        <v/>
      </c>
      <c r="AQ434" t="n">
        <v>5485</v>
      </c>
      <c r="AR434" t="n">
        <v>75849</v>
      </c>
      <c r="AS434" s="88">
        <f>IF(OR(AQ434&lt;=0,AR434&lt;=0),"",LN(AQ434)-LN(AR434))</f>
        <v/>
      </c>
      <c r="AT434" t="n">
        <v>6484</v>
      </c>
      <c r="AU434" t="n">
        <v>74482</v>
      </c>
      <c r="AV434" t="n">
        <v>509</v>
      </c>
      <c r="AW434" t="n">
        <v>775</v>
      </c>
      <c r="AX434" t="n">
        <v>4810</v>
      </c>
      <c r="AY434" s="88">
        <f>IF(OR(AT434&lt;=0,AU434&lt;=0),"",LN(AT434)-LN(AU434))</f>
        <v/>
      </c>
      <c r="AZ434" s="46" t="n">
        <v>9</v>
      </c>
      <c r="BA434" s="46" t="n">
        <v>17.83</v>
      </c>
      <c r="BB434" s="47" t="n">
        <v>3.5</v>
      </c>
    </row>
    <row r="435">
      <c r="A435" s="48" t="n">
        <v>45725</v>
      </c>
      <c r="B435" s="49" t="n">
        <v>80197</v>
      </c>
      <c r="C435" s="50" t="n">
        <v>40.6</v>
      </c>
      <c r="D435" s="51" t="inlineStr">
        <is>
          <t>Bad</t>
        </is>
      </c>
      <c r="E435" s="52" t="n">
        <v>6.9</v>
      </c>
      <c r="F435" s="52" t="n"/>
      <c r="G435" s="51" t="inlineStr">
        <is>
          <t>Sun</t>
        </is>
      </c>
      <c r="H435" s="51" t="inlineStr">
        <is>
          <t>Weekend</t>
        </is>
      </c>
      <c r="I435" s="51" t="inlineStr">
        <is>
          <t>Spring</t>
        </is>
      </c>
      <c r="J435" s="51" t="n">
        <v>25</v>
      </c>
      <c r="K435" s="51" t="inlineStr">
        <is>
          <t>강수량 공란</t>
        </is>
      </c>
      <c r="L435" s="46" t="n">
        <v>53.36</v>
      </c>
      <c r="M435" t="inlineStr">
        <is>
          <t>Moderate</t>
        </is>
      </c>
      <c r="N435" s="87" t="n">
        <v>25</v>
      </c>
      <c r="O435" s="87" t="n">
        <v>0</v>
      </c>
      <c r="P435" s="87" t="n">
        <v>0</v>
      </c>
      <c r="Q435" s="87" t="n">
        <v>0</v>
      </c>
      <c r="R435" s="87" t="n">
        <v>0</v>
      </c>
      <c r="S435" s="47" t="n">
        <v>1.7</v>
      </c>
      <c r="T435" s="47" t="n">
        <v>67.3</v>
      </c>
      <c r="U435" s="47" t="n"/>
      <c r="V435" s="87" t="n">
        <v>1</v>
      </c>
      <c r="W435" s="87" t="n">
        <v>0</v>
      </c>
      <c r="Y435" t="inlineStr">
        <is>
          <t>Mar</t>
        </is>
      </c>
      <c r="Z435" s="87" t="n">
        <v>2025</v>
      </c>
      <c r="AA435" s="47">
        <f>IF(F435="",0,F435)</f>
        <v/>
      </c>
      <c r="AB435" s="87">
        <f>IF(AA435&gt;=0.1,1,0)</f>
        <v/>
      </c>
      <c r="AC435" s="87" t="n">
        <v>0</v>
      </c>
      <c r="AD435" s="47">
        <f>IF(U435="",0,U435)</f>
        <v/>
      </c>
      <c r="AE435" s="87">
        <f>IF(OR(V435=1,W435=1),1,0)</f>
        <v/>
      </c>
      <c r="AF435" s="87" t="n">
        <v>0</v>
      </c>
      <c r="AG435" t="n">
        <v>7043</v>
      </c>
      <c r="AH435" t="n">
        <v>73154</v>
      </c>
      <c r="AI435" t="n">
        <v>0</v>
      </c>
      <c r="AJ435" s="88">
        <f>IF(OR(AG435&lt;=0,AH435&lt;=0),"",LN(AG435)-LN(AH435))</f>
        <v/>
      </c>
      <c r="AK435" t="n">
        <v>14773</v>
      </c>
      <c r="AL435" t="n">
        <v>65424</v>
      </c>
      <c r="AM435" s="88">
        <f>IF(OR(AK435&lt;=0,AL435&lt;=0),"",LN(AK435)-LN(AL435))</f>
        <v/>
      </c>
      <c r="AN435" t="n">
        <v>6850</v>
      </c>
      <c r="AO435" t="n">
        <v>70671</v>
      </c>
      <c r="AP435" s="88">
        <f>IF(OR(AN435&lt;=0,AO435&lt;=0),"",LN(AN435)-LN(AO435))</f>
        <v/>
      </c>
      <c r="AQ435" t="n">
        <v>6839</v>
      </c>
      <c r="AR435" t="n">
        <v>73154</v>
      </c>
      <c r="AS435" s="88">
        <f>IF(OR(AQ435&lt;=0,AR435&lt;=0),"",LN(AQ435)-LN(AR435))</f>
        <v/>
      </c>
      <c r="AT435" t="n">
        <v>8035</v>
      </c>
      <c r="AU435" t="n">
        <v>71712</v>
      </c>
      <c r="AV435" t="n">
        <v>451</v>
      </c>
      <c r="AW435" t="n">
        <v>1278</v>
      </c>
      <c r="AX435" t="n">
        <v>5706</v>
      </c>
      <c r="AY435" s="88">
        <f>IF(OR(AT435&lt;=0,AU435&lt;=0),"",LN(AT435)-LN(AU435))</f>
        <v/>
      </c>
      <c r="AZ435" s="46" t="n">
        <v>10.4</v>
      </c>
      <c r="BA435" s="46" t="n">
        <v>19.37</v>
      </c>
      <c r="BB435" s="47" t="n">
        <v>0.1</v>
      </c>
    </row>
    <row r="436">
      <c r="A436" s="48" t="n">
        <v>45726</v>
      </c>
      <c r="B436" s="49" t="n">
        <v>103846</v>
      </c>
      <c r="C436" s="50" t="n">
        <v>56.64</v>
      </c>
      <c r="D436" s="51" t="inlineStr">
        <is>
          <t>Bad</t>
        </is>
      </c>
      <c r="E436" s="52" t="n">
        <v>8</v>
      </c>
      <c r="F436" s="52" t="n"/>
      <c r="G436" s="51" t="inlineStr">
        <is>
          <t>Mon</t>
        </is>
      </c>
      <c r="H436" s="51" t="inlineStr">
        <is>
          <t>Weekday</t>
        </is>
      </c>
      <c r="I436" s="51" t="inlineStr">
        <is>
          <t>Spring</t>
        </is>
      </c>
      <c r="J436" s="51" t="n">
        <v>25</v>
      </c>
      <c r="K436" s="51" t="inlineStr">
        <is>
          <t>강수량 공란</t>
        </is>
      </c>
      <c r="L436" s="46" t="n">
        <v>69.95999999999999</v>
      </c>
      <c r="M436" t="inlineStr">
        <is>
          <t>Moderate</t>
        </is>
      </c>
      <c r="N436" s="87" t="n">
        <v>25</v>
      </c>
      <c r="O436" s="87" t="n">
        <v>0</v>
      </c>
      <c r="P436" s="87" t="n">
        <v>0</v>
      </c>
      <c r="Q436" s="87" t="n">
        <v>0</v>
      </c>
      <c r="R436" s="87" t="n">
        <v>0</v>
      </c>
      <c r="S436" s="47" t="n">
        <v>2.1</v>
      </c>
      <c r="T436" s="47" t="n">
        <v>59.8</v>
      </c>
      <c r="U436" s="47" t="n"/>
      <c r="V436" s="87" t="n">
        <v>0</v>
      </c>
      <c r="W436" s="87" t="n">
        <v>0</v>
      </c>
      <c r="Y436" t="inlineStr">
        <is>
          <t>Mar</t>
        </is>
      </c>
      <c r="Z436" s="87" t="n">
        <v>2025</v>
      </c>
      <c r="AA436" s="47">
        <f>IF(F436="",0,F436)</f>
        <v/>
      </c>
      <c r="AB436" s="87">
        <f>IF(AA436&gt;=0.1,1,0)</f>
        <v/>
      </c>
      <c r="AC436" s="87" t="n">
        <v>0</v>
      </c>
      <c r="AD436" s="47">
        <f>IF(U436="",0,U436)</f>
        <v/>
      </c>
      <c r="AE436" s="87">
        <f>IF(OR(V436=1,W436=1),1,0)</f>
        <v/>
      </c>
      <c r="AF436" s="87" t="n">
        <v>0</v>
      </c>
      <c r="AG436" t="n">
        <v>5711</v>
      </c>
      <c r="AH436" t="n">
        <v>98135</v>
      </c>
      <c r="AI436" t="n">
        <v>0</v>
      </c>
      <c r="AJ436" s="88">
        <f>IF(OR(AG436&lt;=0,AH436&lt;=0),"",LN(AG436)-LN(AH436))</f>
        <v/>
      </c>
      <c r="AK436" t="n">
        <v>15382</v>
      </c>
      <c r="AL436" t="n">
        <v>88464</v>
      </c>
      <c r="AM436" s="88">
        <f>IF(OR(AK436&lt;=0,AL436&lt;=0),"",LN(AK436)-LN(AL436))</f>
        <v/>
      </c>
      <c r="AN436" t="n">
        <v>5569</v>
      </c>
      <c r="AO436" t="n">
        <v>94699</v>
      </c>
      <c r="AP436" s="88">
        <f>IF(OR(AN436&lt;=0,AO436&lt;=0),"",LN(AN436)-LN(AO436))</f>
        <v/>
      </c>
      <c r="AQ436" t="n">
        <v>5576</v>
      </c>
      <c r="AR436" t="n">
        <v>98135</v>
      </c>
      <c r="AS436" s="88">
        <f>IF(OR(AQ436&lt;=0,AR436&lt;=0),"",LN(AQ436)-LN(AR436))</f>
        <v/>
      </c>
      <c r="AT436" t="n">
        <v>6020</v>
      </c>
      <c r="AU436" t="n">
        <v>97253</v>
      </c>
      <c r="AV436" t="n">
        <v>571</v>
      </c>
      <c r="AW436" t="n">
        <v>549</v>
      </c>
      <c r="AX436" t="n">
        <v>5126</v>
      </c>
      <c r="AY436" s="88">
        <f>IF(OR(AT436&lt;=0,AU436&lt;=0),"",LN(AT436)-LN(AU436))</f>
        <v/>
      </c>
      <c r="AZ436" s="46" t="n">
        <v>10.5</v>
      </c>
      <c r="BA436" s="46" t="n">
        <v>19.27</v>
      </c>
      <c r="BB436" s="47" t="n">
        <v>0.8</v>
      </c>
    </row>
    <row r="437">
      <c r="A437" s="48" t="n">
        <v>45727</v>
      </c>
      <c r="B437" s="49" t="n">
        <v>111512</v>
      </c>
      <c r="C437" s="50" t="n">
        <v>44.88</v>
      </c>
      <c r="D437" s="51" t="inlineStr">
        <is>
          <t>Bad</t>
        </is>
      </c>
      <c r="E437" s="52" t="n">
        <v>9.4</v>
      </c>
      <c r="F437" s="52" t="n"/>
      <c r="G437" s="51" t="inlineStr">
        <is>
          <t>Tue</t>
        </is>
      </c>
      <c r="H437" s="51" t="inlineStr">
        <is>
          <t>Weekday</t>
        </is>
      </c>
      <c r="I437" s="51" t="inlineStr">
        <is>
          <t>Spring</t>
        </is>
      </c>
      <c r="J437" s="51" t="n">
        <v>25</v>
      </c>
      <c r="K437" s="51" t="inlineStr">
        <is>
          <t>강수량 공란</t>
        </is>
      </c>
      <c r="L437" s="46" t="n">
        <v>57.72</v>
      </c>
      <c r="M437" t="inlineStr">
        <is>
          <t>Moderate</t>
        </is>
      </c>
      <c r="N437" s="87" t="n">
        <v>25</v>
      </c>
      <c r="O437" s="87" t="n">
        <v>0</v>
      </c>
      <c r="P437" s="87" t="n">
        <v>0</v>
      </c>
      <c r="Q437" s="87" t="n">
        <v>0</v>
      </c>
      <c r="R437" s="87" t="n">
        <v>0</v>
      </c>
      <c r="S437" s="47" t="n">
        <v>1.8</v>
      </c>
      <c r="T437" s="47" t="n">
        <v>58</v>
      </c>
      <c r="U437" s="47" t="n"/>
      <c r="V437" s="87" t="n">
        <v>0</v>
      </c>
      <c r="W437" s="87" t="n">
        <v>0</v>
      </c>
      <c r="Y437" t="inlineStr">
        <is>
          <t>Mar</t>
        </is>
      </c>
      <c r="Z437" s="87" t="n">
        <v>2025</v>
      </c>
      <c r="AA437" s="47">
        <f>IF(F437="",0,F437)</f>
        <v/>
      </c>
      <c r="AB437" s="87">
        <f>IF(AA437&gt;=0.1,1,0)</f>
        <v/>
      </c>
      <c r="AC437" s="87" t="n">
        <v>0</v>
      </c>
      <c r="AD437" s="47">
        <f>IF(U437="",0,U437)</f>
        <v/>
      </c>
      <c r="AE437" s="87">
        <f>IF(OR(V437=1,W437=1),1,0)</f>
        <v/>
      </c>
      <c r="AF437" s="87" t="n">
        <v>0</v>
      </c>
      <c r="AG437" t="n">
        <v>6251</v>
      </c>
      <c r="AH437" t="n">
        <v>105261</v>
      </c>
      <c r="AI437" t="n">
        <v>0</v>
      </c>
      <c r="AJ437" s="88">
        <f>IF(OR(AG437&lt;=0,AH437&lt;=0),"",LN(AG437)-LN(AH437))</f>
        <v/>
      </c>
      <c r="AK437" t="n">
        <v>16677</v>
      </c>
      <c r="AL437" t="n">
        <v>94835</v>
      </c>
      <c r="AM437" s="88">
        <f>IF(OR(AK437&lt;=0,AL437&lt;=0),"",LN(AK437)-LN(AL437))</f>
        <v/>
      </c>
      <c r="AN437" t="n">
        <v>6082</v>
      </c>
      <c r="AO437" t="n">
        <v>101575</v>
      </c>
      <c r="AP437" s="88">
        <f>IF(OR(AN437&lt;=0,AO437&lt;=0),"",LN(AN437)-LN(AO437))</f>
        <v/>
      </c>
      <c r="AQ437" t="n">
        <v>6106</v>
      </c>
      <c r="AR437" t="n">
        <v>105261</v>
      </c>
      <c r="AS437" s="88">
        <f>IF(OR(AQ437&lt;=0,AR437&lt;=0),"",LN(AQ437)-LN(AR437))</f>
        <v/>
      </c>
      <c r="AT437" t="n">
        <v>6602</v>
      </c>
      <c r="AU437" t="n">
        <v>104177</v>
      </c>
      <c r="AV437" t="n">
        <v>731</v>
      </c>
      <c r="AW437" t="n">
        <v>633</v>
      </c>
      <c r="AX437" t="n">
        <v>5563</v>
      </c>
      <c r="AY437" s="88">
        <f>IF(OR(AT437&lt;=0,AU437&lt;=0),"",LN(AT437)-LN(AU437))</f>
        <v/>
      </c>
      <c r="AZ437" s="46" t="n">
        <v>10.2</v>
      </c>
      <c r="BA437" s="46" t="n">
        <v>19.89</v>
      </c>
      <c r="BB437" s="47" t="n">
        <v>2.6</v>
      </c>
    </row>
    <row r="438">
      <c r="A438" s="48" t="n">
        <v>45728</v>
      </c>
      <c r="B438" s="49" t="n">
        <v>99718</v>
      </c>
      <c r="C438" s="50" t="n">
        <v>31.16</v>
      </c>
      <c r="D438" s="51" t="inlineStr">
        <is>
          <t>Moderate</t>
        </is>
      </c>
      <c r="E438" s="52" t="n">
        <v>8.5</v>
      </c>
      <c r="F438" s="52" t="n">
        <v>0</v>
      </c>
      <c r="G438" s="51" t="inlineStr">
        <is>
          <t>Wed</t>
        </is>
      </c>
      <c r="H438" s="51" t="inlineStr">
        <is>
          <t>Weekday</t>
        </is>
      </c>
      <c r="I438" s="51" t="inlineStr">
        <is>
          <t>Spring</t>
        </is>
      </c>
      <c r="J438" s="51" t="n">
        <v>25</v>
      </c>
      <c r="K438" s="51" t="inlineStr">
        <is>
          <t>OK</t>
        </is>
      </c>
      <c r="L438" s="46" t="n">
        <v>46.44</v>
      </c>
      <c r="M438" t="inlineStr">
        <is>
          <t>Moderate</t>
        </is>
      </c>
      <c r="N438" s="87" t="n">
        <v>25</v>
      </c>
      <c r="O438" s="87" t="n">
        <v>0</v>
      </c>
      <c r="P438" s="87" t="n">
        <v>0</v>
      </c>
      <c r="Q438" s="87" t="n">
        <v>0</v>
      </c>
      <c r="R438" s="87" t="n">
        <v>0</v>
      </c>
      <c r="S438" s="47" t="n">
        <v>2.1</v>
      </c>
      <c r="T438" s="47" t="n">
        <v>72.3</v>
      </c>
      <c r="U438" s="47" t="n"/>
      <c r="V438" s="87" t="n">
        <v>0</v>
      </c>
      <c r="W438" s="87" t="n">
        <v>0</v>
      </c>
      <c r="Y438" t="inlineStr">
        <is>
          <t>Mar</t>
        </is>
      </c>
      <c r="Z438" s="87" t="n">
        <v>2025</v>
      </c>
      <c r="AA438" s="47">
        <f>IF(F438="",0,F438)</f>
        <v/>
      </c>
      <c r="AB438" s="87">
        <f>IF(AA438&gt;=0.1,1,0)</f>
        <v/>
      </c>
      <c r="AC438" s="87" t="n">
        <v>1</v>
      </c>
      <c r="AD438" s="47">
        <f>IF(U438="",0,U438)</f>
        <v/>
      </c>
      <c r="AE438" s="87">
        <f>IF(OR(V438=1,W438=1),1,0)</f>
        <v/>
      </c>
      <c r="AF438" s="87" t="n">
        <v>0</v>
      </c>
      <c r="AG438" t="n">
        <v>4927</v>
      </c>
      <c r="AH438" t="n">
        <v>94791</v>
      </c>
      <c r="AI438" t="n">
        <v>0</v>
      </c>
      <c r="AJ438" s="88">
        <f>IF(OR(AG438&lt;=0,AH438&lt;=0),"",LN(AG438)-LN(AH438))</f>
        <v/>
      </c>
      <c r="AK438" t="n">
        <v>13873</v>
      </c>
      <c r="AL438" t="n">
        <v>85845</v>
      </c>
      <c r="AM438" s="88">
        <f>IF(OR(AK438&lt;=0,AL438&lt;=0),"",LN(AK438)-LN(AL438))</f>
        <v/>
      </c>
      <c r="AN438" t="n">
        <v>4824</v>
      </c>
      <c r="AO438" t="n">
        <v>91431</v>
      </c>
      <c r="AP438" s="88">
        <f>IF(OR(AN438&lt;=0,AO438&lt;=0),"",LN(AN438)-LN(AO438))</f>
        <v/>
      </c>
      <c r="AQ438" t="n">
        <v>4812</v>
      </c>
      <c r="AR438" t="n">
        <v>94791</v>
      </c>
      <c r="AS438" s="88">
        <f>IF(OR(AQ438&lt;=0,AR438&lt;=0),"",LN(AQ438)-LN(AR438))</f>
        <v/>
      </c>
      <c r="AT438" t="n">
        <v>5594</v>
      </c>
      <c r="AU438" t="n">
        <v>93472</v>
      </c>
      <c r="AV438" t="n">
        <v>653</v>
      </c>
      <c r="AW438" t="n">
        <v>404</v>
      </c>
      <c r="AX438" t="n">
        <v>4488</v>
      </c>
      <c r="AY438" s="88">
        <f>IF(OR(AT438&lt;=0,AU438&lt;=0),"",LN(AT438)-LN(AU438))</f>
        <v/>
      </c>
      <c r="AZ438" s="46" t="n">
        <v>0.1</v>
      </c>
      <c r="BA438" s="46" t="n">
        <v>5.68</v>
      </c>
      <c r="BB438" s="47" t="n">
        <v>8.4</v>
      </c>
    </row>
    <row r="439">
      <c r="A439" s="48" t="n">
        <v>45729</v>
      </c>
      <c r="B439" s="49" t="n">
        <v>110367</v>
      </c>
      <c r="C439" s="50" t="n">
        <v>29.28</v>
      </c>
      <c r="D439" s="51" t="inlineStr">
        <is>
          <t>Moderate</t>
        </is>
      </c>
      <c r="E439" s="52" t="n">
        <v>8.9</v>
      </c>
      <c r="F439" s="52" t="n"/>
      <c r="G439" s="51" t="inlineStr">
        <is>
          <t>Thu</t>
        </is>
      </c>
      <c r="H439" s="51" t="inlineStr">
        <is>
          <t>Weekday</t>
        </is>
      </c>
      <c r="I439" s="51" t="inlineStr">
        <is>
          <t>Spring</t>
        </is>
      </c>
      <c r="J439" s="51" t="n">
        <v>25</v>
      </c>
      <c r="K439" s="51" t="inlineStr">
        <is>
          <t>강수량 공란</t>
        </is>
      </c>
      <c r="L439" s="46" t="n">
        <v>78.56</v>
      </c>
      <c r="M439" t="inlineStr">
        <is>
          <t>Moderate</t>
        </is>
      </c>
      <c r="N439" s="87" t="n">
        <v>25</v>
      </c>
      <c r="O439" s="87" t="n">
        <v>0</v>
      </c>
      <c r="P439" s="87" t="n">
        <v>0</v>
      </c>
      <c r="Q439" s="87" t="n">
        <v>0</v>
      </c>
      <c r="R439" s="87" t="n">
        <v>0</v>
      </c>
      <c r="S439" s="47" t="n">
        <v>2.4</v>
      </c>
      <c r="T439" s="47" t="n">
        <v>54.6</v>
      </c>
      <c r="U439" s="47" t="n"/>
      <c r="V439" s="87" t="n">
        <v>0</v>
      </c>
      <c r="W439" s="87" t="n">
        <v>0</v>
      </c>
      <c r="Y439" t="inlineStr">
        <is>
          <t>Mar</t>
        </is>
      </c>
      <c r="Z439" s="87" t="n">
        <v>2025</v>
      </c>
      <c r="AA439" s="47">
        <f>IF(F439="",0,F439)</f>
        <v/>
      </c>
      <c r="AB439" s="87">
        <f>IF(AA439&gt;=0.1,1,0)</f>
        <v/>
      </c>
      <c r="AC439" s="87" t="n">
        <v>0</v>
      </c>
      <c r="AD439" s="47">
        <f>IF(U439="",0,U439)</f>
        <v/>
      </c>
      <c r="AE439" s="87">
        <f>IF(OR(V439=1,W439=1),1,0)</f>
        <v/>
      </c>
      <c r="AF439" s="87" t="n">
        <v>0</v>
      </c>
      <c r="AG439" t="n">
        <v>5913</v>
      </c>
      <c r="AH439" t="n">
        <v>104454</v>
      </c>
      <c r="AI439" t="n">
        <v>0</v>
      </c>
      <c r="AJ439" s="88">
        <f>IF(OR(AG439&lt;=0,AH439&lt;=0),"",LN(AG439)-LN(AH439))</f>
        <v/>
      </c>
      <c r="AK439" t="n">
        <v>16095</v>
      </c>
      <c r="AL439" t="n">
        <v>94272</v>
      </c>
      <c r="AM439" s="88">
        <f>IF(OR(AK439&lt;=0,AL439&lt;=0),"",LN(AK439)-LN(AL439))</f>
        <v/>
      </c>
      <c r="AN439" t="n">
        <v>5787</v>
      </c>
      <c r="AO439" t="n">
        <v>100765</v>
      </c>
      <c r="AP439" s="88">
        <f>IF(OR(AN439&lt;=0,AO439&lt;=0),"",LN(AN439)-LN(AO439))</f>
        <v/>
      </c>
      <c r="AQ439" t="n">
        <v>5771</v>
      </c>
      <c r="AR439" t="n">
        <v>104454</v>
      </c>
      <c r="AS439" s="88">
        <f>IF(OR(AQ439&lt;=0,AR439&lt;=0),"",LN(AQ439)-LN(AR439))</f>
        <v/>
      </c>
      <c r="AT439" t="n">
        <v>6317</v>
      </c>
      <c r="AU439" t="n">
        <v>103279</v>
      </c>
      <c r="AV439" t="n">
        <v>770</v>
      </c>
      <c r="AW439" t="n">
        <v>539</v>
      </c>
      <c r="AX439" t="n">
        <v>5328</v>
      </c>
      <c r="AY439" s="88">
        <f>IF(OR(AT439&lt;=0,AU439&lt;=0),"",LN(AT439)-LN(AU439))</f>
        <v/>
      </c>
      <c r="AZ439" s="46" t="n">
        <v>10.5</v>
      </c>
      <c r="BA439" s="46" t="n">
        <v>18.93</v>
      </c>
      <c r="BB439" s="47" t="n">
        <v>5.3</v>
      </c>
    </row>
    <row r="440">
      <c r="A440" s="48" t="n">
        <v>45730</v>
      </c>
      <c r="B440" s="49" t="n">
        <v>125129</v>
      </c>
      <c r="C440" s="50" t="n">
        <v>20.6</v>
      </c>
      <c r="D440" s="51" t="inlineStr">
        <is>
          <t>Moderate</t>
        </is>
      </c>
      <c r="E440" s="52" t="n">
        <v>12.4</v>
      </c>
      <c r="F440" s="52" t="n"/>
      <c r="G440" s="51" t="inlineStr">
        <is>
          <t>Fri</t>
        </is>
      </c>
      <c r="H440" s="51" t="inlineStr">
        <is>
          <t>Weekday</t>
        </is>
      </c>
      <c r="I440" s="51" t="inlineStr">
        <is>
          <t>Spring</t>
        </is>
      </c>
      <c r="J440" s="51" t="n">
        <v>25</v>
      </c>
      <c r="K440" s="51" t="inlineStr">
        <is>
          <t>강수량 공란</t>
        </is>
      </c>
      <c r="L440" s="46" t="n">
        <v>57.2</v>
      </c>
      <c r="M440" t="inlineStr">
        <is>
          <t>Moderate</t>
        </is>
      </c>
      <c r="N440" s="87" t="n">
        <v>25</v>
      </c>
      <c r="O440" s="87" t="n">
        <v>0</v>
      </c>
      <c r="P440" s="87" t="n">
        <v>0</v>
      </c>
      <c r="Q440" s="87" t="n">
        <v>0</v>
      </c>
      <c r="R440" s="87" t="n">
        <v>0</v>
      </c>
      <c r="S440" s="47" t="n">
        <v>1.8</v>
      </c>
      <c r="T440" s="47" t="n">
        <v>31.4</v>
      </c>
      <c r="U440" s="47" t="n"/>
      <c r="V440" s="87" t="n">
        <v>0</v>
      </c>
      <c r="W440" s="87" t="n">
        <v>0</v>
      </c>
      <c r="Y440" t="inlineStr">
        <is>
          <t>Mar</t>
        </is>
      </c>
      <c r="Z440" s="87" t="n">
        <v>2025</v>
      </c>
      <c r="AA440" s="47">
        <f>IF(F440="",0,F440)</f>
        <v/>
      </c>
      <c r="AB440" s="87">
        <f>IF(AA440&gt;=0.1,1,0)</f>
        <v/>
      </c>
      <c r="AC440" s="87" t="n">
        <v>0</v>
      </c>
      <c r="AD440" s="47">
        <f>IF(U440="",0,U440)</f>
        <v/>
      </c>
      <c r="AE440" s="87">
        <f>IF(OR(V440=1,W440=1),1,0)</f>
        <v/>
      </c>
      <c r="AF440" s="87" t="n">
        <v>0</v>
      </c>
      <c r="AG440" t="n">
        <v>8351</v>
      </c>
      <c r="AH440" t="n">
        <v>116778</v>
      </c>
      <c r="AI440" t="n">
        <v>0</v>
      </c>
      <c r="AJ440" s="88">
        <f>IF(OR(AG440&lt;=0,AH440&lt;=0),"",LN(AG440)-LN(AH440))</f>
        <v/>
      </c>
      <c r="AK440" t="n">
        <v>20258</v>
      </c>
      <c r="AL440" t="n">
        <v>104871</v>
      </c>
      <c r="AM440" s="88">
        <f>IF(OR(AK440&lt;=0,AL440&lt;=0),"",LN(AK440)-LN(AL440))</f>
        <v/>
      </c>
      <c r="AN440" t="n">
        <v>8158</v>
      </c>
      <c r="AO440" t="n">
        <v>112729</v>
      </c>
      <c r="AP440" s="88">
        <f>IF(OR(AN440&lt;=0,AO440&lt;=0),"",LN(AN440)-LN(AO440))</f>
        <v/>
      </c>
      <c r="AQ440" t="n">
        <v>8136</v>
      </c>
      <c r="AR440" t="n">
        <v>116778</v>
      </c>
      <c r="AS440" s="88">
        <f>IF(OR(AQ440&lt;=0,AR440&lt;=0),"",LN(AQ440)-LN(AR440))</f>
        <v/>
      </c>
      <c r="AT440" t="n">
        <v>7783</v>
      </c>
      <c r="AU440" t="n">
        <v>116362</v>
      </c>
      <c r="AV440" t="n">
        <v>981</v>
      </c>
      <c r="AW440" t="n">
        <v>969</v>
      </c>
      <c r="AX440" t="n">
        <v>7300</v>
      </c>
      <c r="AY440" s="88">
        <f>IF(OR(AT440&lt;=0,AU440&lt;=0),"",LN(AT440)-LN(AU440))</f>
        <v/>
      </c>
      <c r="AZ440" s="46" t="n">
        <v>9.699999999999999</v>
      </c>
      <c r="BA440" s="46" t="n">
        <v>20.11</v>
      </c>
      <c r="BB440" s="47" t="n">
        <v>3</v>
      </c>
    </row>
    <row r="441">
      <c r="A441" s="48" t="n">
        <v>45731</v>
      </c>
      <c r="B441" s="49" t="n">
        <v>109746</v>
      </c>
      <c r="C441" s="50" t="n">
        <v>12.36</v>
      </c>
      <c r="D441" s="51" t="inlineStr">
        <is>
          <t>Good</t>
        </is>
      </c>
      <c r="E441" s="52" t="n">
        <v>12.6</v>
      </c>
      <c r="F441" s="52" t="n">
        <v>0</v>
      </c>
      <c r="G441" s="51" t="inlineStr">
        <is>
          <t>Sat</t>
        </is>
      </c>
      <c r="H441" s="51" t="inlineStr">
        <is>
          <t>Weekend</t>
        </is>
      </c>
      <c r="I441" s="51" t="inlineStr">
        <is>
          <t>Spring</t>
        </is>
      </c>
      <c r="J441" s="51" t="n">
        <v>25</v>
      </c>
      <c r="K441" s="51" t="inlineStr">
        <is>
          <t>OK</t>
        </is>
      </c>
      <c r="L441" s="46" t="n">
        <v>33.48</v>
      </c>
      <c r="M441" t="inlineStr">
        <is>
          <t>Moderate</t>
        </is>
      </c>
      <c r="N441" s="87" t="n">
        <v>25</v>
      </c>
      <c r="O441" s="87" t="n">
        <v>0</v>
      </c>
      <c r="P441" s="87" t="n">
        <v>0</v>
      </c>
      <c r="Q441" s="87" t="n">
        <v>0</v>
      </c>
      <c r="R441" s="87" t="n">
        <v>0</v>
      </c>
      <c r="S441" s="47" t="n">
        <v>2.8</v>
      </c>
      <c r="T441" s="47" t="n">
        <v>39.1</v>
      </c>
      <c r="U441" s="47" t="n"/>
      <c r="V441" s="87" t="n">
        <v>1</v>
      </c>
      <c r="W441" s="87" t="n">
        <v>0</v>
      </c>
      <c r="Y441" t="inlineStr">
        <is>
          <t>Mar</t>
        </is>
      </c>
      <c r="Z441" s="87" t="n">
        <v>2025</v>
      </c>
      <c r="AA441" s="47">
        <f>IF(F441="",0,F441)</f>
        <v/>
      </c>
      <c r="AB441" s="87">
        <f>IF(AA441&gt;=0.1,1,0)</f>
        <v/>
      </c>
      <c r="AC441" s="87" t="n">
        <v>1</v>
      </c>
      <c r="AD441" s="47">
        <f>IF(U441="",0,U441)</f>
        <v/>
      </c>
      <c r="AE441" s="87">
        <f>IF(OR(V441=1,W441=1),1,0)</f>
        <v/>
      </c>
      <c r="AF441" s="87" t="n">
        <v>0</v>
      </c>
      <c r="AG441" t="n">
        <v>10579</v>
      </c>
      <c r="AH441" t="n">
        <v>99167</v>
      </c>
      <c r="AI441" t="n">
        <v>0</v>
      </c>
      <c r="AJ441" s="88">
        <f>IF(OR(AG441&lt;=0,AH441&lt;=0),"",LN(AG441)-LN(AH441))</f>
        <v/>
      </c>
      <c r="AK441" t="n">
        <v>21747</v>
      </c>
      <c r="AL441" t="n">
        <v>87999</v>
      </c>
      <c r="AM441" s="88">
        <f>IF(OR(AK441&lt;=0,AL441&lt;=0),"",LN(AK441)-LN(AL441))</f>
        <v/>
      </c>
      <c r="AN441" t="n">
        <v>10350</v>
      </c>
      <c r="AO441" t="n">
        <v>95794</v>
      </c>
      <c r="AP441" s="88">
        <f>IF(OR(AN441&lt;=0,AO441&lt;=0),"",LN(AN441)-LN(AO441))</f>
        <v/>
      </c>
      <c r="AQ441" t="n">
        <v>10297</v>
      </c>
      <c r="AR441" t="n">
        <v>99167</v>
      </c>
      <c r="AS441" s="88">
        <f>IF(OR(AQ441&lt;=0,AR441&lt;=0),"",LN(AQ441)-LN(AR441))</f>
        <v/>
      </c>
      <c r="AT441" t="n">
        <v>9910</v>
      </c>
      <c r="AU441" t="n">
        <v>98945</v>
      </c>
      <c r="AV441" t="n">
        <v>890</v>
      </c>
      <c r="AW441" t="n">
        <v>1777</v>
      </c>
      <c r="AX441" t="n">
        <v>8676</v>
      </c>
      <c r="AY441" s="88">
        <f>IF(OR(AT441&lt;=0,AU441&lt;=0),"",LN(AT441)-LN(AU441))</f>
        <v/>
      </c>
      <c r="AZ441" s="46" t="n">
        <v>6.3</v>
      </c>
      <c r="BA441" s="46" t="n">
        <v>16.89</v>
      </c>
      <c r="BB441" s="47" t="n">
        <v>7.9</v>
      </c>
    </row>
    <row r="442">
      <c r="A442" s="48" t="n">
        <v>45732</v>
      </c>
      <c r="B442" s="49" t="n">
        <v>50203</v>
      </c>
      <c r="C442" s="50" t="n">
        <v>19.76</v>
      </c>
      <c r="D442" s="51" t="inlineStr">
        <is>
          <t>Moderate</t>
        </is>
      </c>
      <c r="E442" s="52" t="n">
        <v>4.9</v>
      </c>
      <c r="F442" s="52" t="n">
        <v>0.8</v>
      </c>
      <c r="G442" s="51" t="inlineStr">
        <is>
          <t>Sun</t>
        </is>
      </c>
      <c r="H442" s="51" t="inlineStr">
        <is>
          <t>Weekend</t>
        </is>
      </c>
      <c r="I442" s="51" t="inlineStr">
        <is>
          <t>Spring</t>
        </is>
      </c>
      <c r="J442" s="51" t="n">
        <v>25</v>
      </c>
      <c r="K442" s="51" t="inlineStr">
        <is>
          <t>OK</t>
        </is>
      </c>
      <c r="L442" s="46" t="n">
        <v>35.76</v>
      </c>
      <c r="M442" t="inlineStr">
        <is>
          <t>Moderate</t>
        </is>
      </c>
      <c r="N442" s="87" t="n">
        <v>25</v>
      </c>
      <c r="O442" s="87" t="n">
        <v>0</v>
      </c>
      <c r="P442" s="87" t="n">
        <v>0</v>
      </c>
      <c r="Q442" s="87" t="n">
        <v>0</v>
      </c>
      <c r="R442" s="87" t="n">
        <v>0</v>
      </c>
      <c r="S442" s="47" t="n">
        <v>3.6</v>
      </c>
      <c r="T442" s="47" t="n">
        <v>56.3</v>
      </c>
      <c r="U442" s="47" t="n"/>
      <c r="V442" s="87" t="n">
        <v>1</v>
      </c>
      <c r="W442" s="87" t="n">
        <v>0</v>
      </c>
      <c r="Y442" t="inlineStr">
        <is>
          <t>Mar</t>
        </is>
      </c>
      <c r="Z442" s="87" t="n">
        <v>2025</v>
      </c>
      <c r="AA442" s="47">
        <f>IF(F442="",0,F442)</f>
        <v/>
      </c>
      <c r="AB442" s="87">
        <f>IF(AA442&gt;=0.1,1,0)</f>
        <v/>
      </c>
      <c r="AC442" s="87" t="n">
        <v>0</v>
      </c>
      <c r="AD442" s="47">
        <f>IF(U442="",0,U442)</f>
        <v/>
      </c>
      <c r="AE442" s="87">
        <f>IF(OR(V442=1,W442=1),1,0)</f>
        <v/>
      </c>
      <c r="AF442" s="87" t="n">
        <v>0</v>
      </c>
      <c r="AG442" t="n">
        <v>2998</v>
      </c>
      <c r="AH442" t="n">
        <v>47205</v>
      </c>
      <c r="AI442" t="n">
        <v>0</v>
      </c>
      <c r="AJ442" s="88">
        <f>IF(OR(AG442&lt;=0,AH442&lt;=0),"",LN(AG442)-LN(AH442))</f>
        <v/>
      </c>
      <c r="AK442" t="n">
        <v>7567</v>
      </c>
      <c r="AL442" t="n">
        <v>42636</v>
      </c>
      <c r="AM442" s="88">
        <f>IF(OR(AK442&lt;=0,AL442&lt;=0),"",LN(AK442)-LN(AL442))</f>
        <v/>
      </c>
      <c r="AN442" t="n">
        <v>2919</v>
      </c>
      <c r="AO442" t="n">
        <v>45571</v>
      </c>
      <c r="AP442" s="88">
        <f>IF(OR(AN442&lt;=0,AO442&lt;=0),"",LN(AN442)-LN(AO442))</f>
        <v/>
      </c>
      <c r="AQ442" t="n">
        <v>2911</v>
      </c>
      <c r="AR442" t="n">
        <v>47205</v>
      </c>
      <c r="AS442" s="88">
        <f>IF(OR(AQ442&lt;=0,AR442&lt;=0),"",LN(AQ442)-LN(AR442))</f>
        <v/>
      </c>
      <c r="AT442" t="n">
        <v>4330</v>
      </c>
      <c r="AU442" t="n">
        <v>45504</v>
      </c>
      <c r="AV442" t="n">
        <v>366</v>
      </c>
      <c r="AW442" t="n">
        <v>391</v>
      </c>
      <c r="AX442" t="n">
        <v>2562</v>
      </c>
      <c r="AY442" s="88">
        <f>IF(OR(AT442&lt;=0,AU442&lt;=0),"",LN(AT442)-LN(AU442))</f>
        <v/>
      </c>
      <c r="AZ442" s="46" t="n">
        <v>3.9</v>
      </c>
      <c r="BA442" s="46" t="n">
        <v>9.76</v>
      </c>
      <c r="BB442" s="47" t="n">
        <v>6.6</v>
      </c>
    </row>
    <row r="443">
      <c r="A443" s="48" t="n">
        <v>45733</v>
      </c>
      <c r="B443" s="49" t="n">
        <v>90117</v>
      </c>
      <c r="C443" s="50" t="n">
        <v>20.88</v>
      </c>
      <c r="D443" s="51" t="inlineStr">
        <is>
          <t>Moderate</t>
        </is>
      </c>
      <c r="E443" s="52" t="n">
        <v>2.5</v>
      </c>
      <c r="F443" s="52" t="n">
        <v>0.4</v>
      </c>
      <c r="G443" s="51" t="inlineStr">
        <is>
          <t>Mon</t>
        </is>
      </c>
      <c r="H443" s="51" t="inlineStr">
        <is>
          <t>Weekday</t>
        </is>
      </c>
      <c r="I443" s="51" t="inlineStr">
        <is>
          <t>Spring</t>
        </is>
      </c>
      <c r="J443" s="51" t="n">
        <v>25</v>
      </c>
      <c r="K443" s="51" t="inlineStr">
        <is>
          <t>OK</t>
        </is>
      </c>
      <c r="L443" s="46" t="n">
        <v>35.96</v>
      </c>
      <c r="M443" t="inlineStr">
        <is>
          <t>Moderate</t>
        </is>
      </c>
      <c r="N443" s="87" t="n">
        <v>25</v>
      </c>
      <c r="O443" s="87" t="n">
        <v>0</v>
      </c>
      <c r="P443" s="87" t="n">
        <v>0</v>
      </c>
      <c r="Q443" s="87" t="n">
        <v>0</v>
      </c>
      <c r="R443" s="87" t="n">
        <v>0</v>
      </c>
      <c r="S443" s="47" t="n">
        <v>2.9</v>
      </c>
      <c r="T443" s="47" t="n">
        <v>46</v>
      </c>
      <c r="U443" s="47" t="n">
        <v>0.3</v>
      </c>
      <c r="V443" s="87" t="n">
        <v>0</v>
      </c>
      <c r="W443" s="87" t="n">
        <v>0</v>
      </c>
      <c r="Y443" t="inlineStr">
        <is>
          <t>Mar</t>
        </is>
      </c>
      <c r="Z443" s="87" t="n">
        <v>2025</v>
      </c>
      <c r="AA443" s="47">
        <f>IF(F443="",0,F443)</f>
        <v/>
      </c>
      <c r="AB443" s="87">
        <f>IF(AA443&gt;=0.1,1,0)</f>
        <v/>
      </c>
      <c r="AC443" s="87" t="n">
        <v>0</v>
      </c>
      <c r="AD443" s="47">
        <f>IF(U443="",0,U443)</f>
        <v/>
      </c>
      <c r="AE443" s="87">
        <f>IF(OR(V443=1,W443=1),1,0)</f>
        <v/>
      </c>
      <c r="AF443" s="87" t="n">
        <v>0</v>
      </c>
      <c r="AG443" t="n">
        <v>4484</v>
      </c>
      <c r="AH443" t="n">
        <v>85633</v>
      </c>
      <c r="AI443" t="n">
        <v>0</v>
      </c>
      <c r="AJ443" s="88">
        <f>IF(OR(AG443&lt;=0,AH443&lt;=0),"",LN(AG443)-LN(AH443))</f>
        <v/>
      </c>
      <c r="AK443" t="n">
        <v>12673</v>
      </c>
      <c r="AL443" t="n">
        <v>77444</v>
      </c>
      <c r="AM443" s="88">
        <f>IF(OR(AK443&lt;=0,AL443&lt;=0),"",LN(AK443)-LN(AL443))</f>
        <v/>
      </c>
      <c r="AN443" t="n">
        <v>4388</v>
      </c>
      <c r="AO443" t="n">
        <v>82640</v>
      </c>
      <c r="AP443" s="88">
        <f>IF(OR(AN443&lt;=0,AO443&lt;=0),"",LN(AN443)-LN(AO443))</f>
        <v/>
      </c>
      <c r="AQ443" t="n">
        <v>4355</v>
      </c>
      <c r="AR443" t="n">
        <v>85633</v>
      </c>
      <c r="AS443" s="88">
        <f>IF(OR(AQ443&lt;=0,AR443&lt;=0),"",LN(AQ443)-LN(AR443))</f>
        <v/>
      </c>
      <c r="AT443" t="n">
        <v>4967</v>
      </c>
      <c r="AU443" t="n">
        <v>84546</v>
      </c>
      <c r="AV443" t="n">
        <v>603</v>
      </c>
      <c r="AW443" t="n">
        <v>339</v>
      </c>
      <c r="AX443" t="n">
        <v>4106</v>
      </c>
      <c r="AY443" s="88">
        <f>IF(OR(AT443&lt;=0,AU443&lt;=0),"",LN(AT443)-LN(AU443))</f>
        <v/>
      </c>
      <c r="AZ443" s="46" t="n">
        <v>9.5</v>
      </c>
      <c r="BA443" s="46" t="n">
        <v>19.33</v>
      </c>
      <c r="BB443" s="47" t="n">
        <v>5.1</v>
      </c>
    </row>
    <row r="444">
      <c r="A444" s="48" t="n">
        <v>45734</v>
      </c>
      <c r="B444" s="49" t="n">
        <v>58999</v>
      </c>
      <c r="C444" s="50" t="n">
        <v>22.44</v>
      </c>
      <c r="D444" s="51" t="inlineStr">
        <is>
          <t>Moderate</t>
        </is>
      </c>
      <c r="E444" s="52" t="n">
        <v>2.1</v>
      </c>
      <c r="F444" s="52" t="n">
        <v>9.9</v>
      </c>
      <c r="G444" s="51" t="inlineStr">
        <is>
          <t>Tue</t>
        </is>
      </c>
      <c r="H444" s="51" t="inlineStr">
        <is>
          <t>Weekday</t>
        </is>
      </c>
      <c r="I444" s="51" t="inlineStr">
        <is>
          <t>Spring</t>
        </is>
      </c>
      <c r="J444" s="51" t="n">
        <v>25</v>
      </c>
      <c r="K444" s="51" t="inlineStr">
        <is>
          <t>OK</t>
        </is>
      </c>
      <c r="L444" s="46" t="n">
        <v>29.52</v>
      </c>
      <c r="M444" t="inlineStr">
        <is>
          <t>Good</t>
        </is>
      </c>
      <c r="N444" s="87" t="n">
        <v>25</v>
      </c>
      <c r="O444" s="87" t="n">
        <v>0</v>
      </c>
      <c r="P444" s="87" t="n">
        <v>0</v>
      </c>
      <c r="Q444" s="87" t="n">
        <v>0</v>
      </c>
      <c r="R444" s="87" t="n">
        <v>0</v>
      </c>
      <c r="S444" s="47" t="n">
        <v>2.8</v>
      </c>
      <c r="T444" s="47" t="n">
        <v>70.59999999999999</v>
      </c>
      <c r="U444" s="47" t="n">
        <v>8.699999999999999</v>
      </c>
      <c r="V444" s="87" t="n">
        <v>0</v>
      </c>
      <c r="W444" s="87" t="n">
        <v>0</v>
      </c>
      <c r="Y444" t="inlineStr">
        <is>
          <t>Mar</t>
        </is>
      </c>
      <c r="Z444" s="87" t="n">
        <v>2025</v>
      </c>
      <c r="AA444" s="47">
        <f>IF(F444="",0,F444)</f>
        <v/>
      </c>
      <c r="AB444" s="87">
        <f>IF(AA444&gt;=0.1,1,0)</f>
        <v/>
      </c>
      <c r="AC444" s="87" t="n">
        <v>0</v>
      </c>
      <c r="AD444" s="47">
        <f>IF(U444="",0,U444)</f>
        <v/>
      </c>
      <c r="AE444" s="87">
        <f>IF(OR(V444=1,W444=1),1,0)</f>
        <v/>
      </c>
      <c r="AF444" s="87" t="n">
        <v>0</v>
      </c>
      <c r="AG444" t="n">
        <v>2766</v>
      </c>
      <c r="AH444" t="n">
        <v>56233</v>
      </c>
      <c r="AI444" t="n">
        <v>0</v>
      </c>
      <c r="AJ444" s="88">
        <f>IF(OR(AG444&lt;=0,AH444&lt;=0),"",LN(AG444)-LN(AH444))</f>
        <v/>
      </c>
      <c r="AK444" t="n">
        <v>8048</v>
      </c>
      <c r="AL444" t="n">
        <v>50951</v>
      </c>
      <c r="AM444" s="88">
        <f>IF(OR(AK444&lt;=0,AL444&lt;=0),"",LN(AK444)-LN(AL444))</f>
        <v/>
      </c>
      <c r="AN444" t="n">
        <v>2702</v>
      </c>
      <c r="AO444" t="n">
        <v>54199</v>
      </c>
      <c r="AP444" s="88">
        <f>IF(OR(AN444&lt;=0,AO444&lt;=0),"",LN(AN444)-LN(AO444))</f>
        <v/>
      </c>
      <c r="AQ444" t="n">
        <v>2691</v>
      </c>
      <c r="AR444" t="n">
        <v>56233</v>
      </c>
      <c r="AS444" s="88">
        <f>IF(OR(AQ444&lt;=0,AR444&lt;=0),"",LN(AQ444)-LN(AR444))</f>
        <v/>
      </c>
      <c r="AT444" t="n">
        <v>3591</v>
      </c>
      <c r="AU444" t="n">
        <v>55005</v>
      </c>
      <c r="AV444" t="n">
        <v>402</v>
      </c>
      <c r="AW444" t="n">
        <v>210</v>
      </c>
      <c r="AX444" t="n">
        <v>2529</v>
      </c>
      <c r="AY444" s="88">
        <f>IF(OR(AT444&lt;=0,AU444&lt;=0),"",LN(AT444)-LN(AU444))</f>
        <v/>
      </c>
      <c r="AZ444" s="46" t="n">
        <v>3.8</v>
      </c>
      <c r="BA444" s="46" t="n">
        <v>10.7</v>
      </c>
      <c r="BB444" s="47" t="n">
        <v>7.9</v>
      </c>
    </row>
    <row r="445">
      <c r="A445" s="48" t="n">
        <v>45735</v>
      </c>
      <c r="B445" s="49" t="n">
        <v>93998</v>
      </c>
      <c r="C445" s="50" t="n">
        <v>32.04</v>
      </c>
      <c r="D445" s="51" t="inlineStr">
        <is>
          <t>Moderate</t>
        </is>
      </c>
      <c r="E445" s="52" t="n">
        <v>2.4</v>
      </c>
      <c r="F445" s="52" t="n"/>
      <c r="G445" s="51" t="inlineStr">
        <is>
          <t>Wed</t>
        </is>
      </c>
      <c r="H445" s="51" t="inlineStr">
        <is>
          <t>Weekday</t>
        </is>
      </c>
      <c r="I445" s="51" t="inlineStr">
        <is>
          <t>Spring</t>
        </is>
      </c>
      <c r="J445" s="51" t="n">
        <v>25</v>
      </c>
      <c r="K445" s="51" t="inlineStr">
        <is>
          <t>강수량 공란</t>
        </is>
      </c>
      <c r="L445" s="46" t="n">
        <v>43.6</v>
      </c>
      <c r="M445" t="inlineStr">
        <is>
          <t>Moderate</t>
        </is>
      </c>
      <c r="N445" s="87" t="n">
        <v>25</v>
      </c>
      <c r="O445" s="87" t="n">
        <v>0</v>
      </c>
      <c r="P445" s="87" t="n">
        <v>0</v>
      </c>
      <c r="Q445" s="87" t="n">
        <v>0</v>
      </c>
      <c r="R445" s="87" t="n">
        <v>0</v>
      </c>
      <c r="S445" s="47" t="n">
        <v>2.4</v>
      </c>
      <c r="T445" s="47" t="n">
        <v>49.5</v>
      </c>
      <c r="U445" s="47" t="n"/>
      <c r="V445" s="87" t="n">
        <v>0</v>
      </c>
      <c r="W445" s="87" t="n">
        <v>0</v>
      </c>
      <c r="Y445" t="inlineStr">
        <is>
          <t>Mar</t>
        </is>
      </c>
      <c r="Z445" s="87" t="n">
        <v>2025</v>
      </c>
      <c r="AA445" s="47">
        <f>IF(F445="",0,F445)</f>
        <v/>
      </c>
      <c r="AB445" s="87">
        <f>IF(AA445&gt;=0.1,1,0)</f>
        <v/>
      </c>
      <c r="AC445" s="87" t="n">
        <v>0</v>
      </c>
      <c r="AD445" s="47">
        <f>IF(U445="",0,U445)</f>
        <v/>
      </c>
      <c r="AE445" s="87">
        <f>IF(OR(V445=1,W445=1),1,0)</f>
        <v/>
      </c>
      <c r="AF445" s="87" t="n">
        <v>0</v>
      </c>
      <c r="AG445" t="n">
        <v>4634</v>
      </c>
      <c r="AH445" t="n">
        <v>89364</v>
      </c>
      <c r="AI445" t="n">
        <v>0</v>
      </c>
      <c r="AJ445" s="88">
        <f>IF(OR(AG445&lt;=0,AH445&lt;=0),"",LN(AG445)-LN(AH445))</f>
        <v/>
      </c>
      <c r="AK445" t="n">
        <v>13108</v>
      </c>
      <c r="AL445" t="n">
        <v>80890</v>
      </c>
      <c r="AM445" s="88">
        <f>IF(OR(AK445&lt;=0,AL445&lt;=0),"",LN(AK445)-LN(AL445))</f>
        <v/>
      </c>
      <c r="AN445" t="n">
        <v>4513</v>
      </c>
      <c r="AO445" t="n">
        <v>86221</v>
      </c>
      <c r="AP445" s="88">
        <f>IF(OR(AN445&lt;=0,AO445&lt;=0),"",LN(AN445)-LN(AO445))</f>
        <v/>
      </c>
      <c r="AQ445" t="n">
        <v>4488</v>
      </c>
      <c r="AR445" t="n">
        <v>89364</v>
      </c>
      <c r="AS445" s="88">
        <f>IF(OR(AQ445&lt;=0,AR445&lt;=0),"",LN(AQ445)-LN(AR445))</f>
        <v/>
      </c>
      <c r="AT445" t="n">
        <v>5091</v>
      </c>
      <c r="AU445" t="n">
        <v>88252</v>
      </c>
      <c r="AV445" t="n">
        <v>653</v>
      </c>
      <c r="AW445" t="n">
        <v>360</v>
      </c>
      <c r="AX445" t="n">
        <v>4238</v>
      </c>
      <c r="AY445" s="88">
        <f>IF(OR(AT445&lt;=0,AU445&lt;=0),"",LN(AT445)-LN(AU445))</f>
        <v/>
      </c>
      <c r="AZ445" s="46" t="n">
        <v>11.3</v>
      </c>
      <c r="BA445" s="46" t="n">
        <v>22.71</v>
      </c>
      <c r="BB445" s="47" t="n">
        <v>1</v>
      </c>
    </row>
    <row r="446">
      <c r="A446" s="48" t="n">
        <v>45736</v>
      </c>
      <c r="B446" s="49" t="n">
        <v>109733</v>
      </c>
      <c r="C446" s="50" t="n">
        <v>37.04</v>
      </c>
      <c r="D446" s="51" t="inlineStr">
        <is>
          <t>Bad</t>
        </is>
      </c>
      <c r="E446" s="52" t="n">
        <v>8.199999999999999</v>
      </c>
      <c r="F446" s="52" t="n"/>
      <c r="G446" s="51" t="inlineStr">
        <is>
          <t>Thu</t>
        </is>
      </c>
      <c r="H446" s="51" t="inlineStr">
        <is>
          <t>Weekday</t>
        </is>
      </c>
      <c r="I446" s="51" t="inlineStr">
        <is>
          <t>Spring</t>
        </is>
      </c>
      <c r="J446" s="51" t="n">
        <v>25</v>
      </c>
      <c r="K446" s="51" t="inlineStr">
        <is>
          <t>강수량 공란</t>
        </is>
      </c>
      <c r="L446" s="46" t="n">
        <v>56.56</v>
      </c>
      <c r="M446" t="inlineStr">
        <is>
          <t>Moderate</t>
        </is>
      </c>
      <c r="N446" s="87" t="n">
        <v>25</v>
      </c>
      <c r="O446" s="87" t="n">
        <v>0</v>
      </c>
      <c r="P446" s="87" t="n">
        <v>0</v>
      </c>
      <c r="Q446" s="87" t="n">
        <v>0</v>
      </c>
      <c r="R446" s="87" t="n">
        <v>0</v>
      </c>
      <c r="S446" s="47" t="n">
        <v>2.7</v>
      </c>
      <c r="T446" s="47" t="n">
        <v>62.8</v>
      </c>
      <c r="U446" s="47" t="n"/>
      <c r="V446" s="87" t="n">
        <v>0</v>
      </c>
      <c r="W446" s="87" t="n">
        <v>0</v>
      </c>
      <c r="Y446" t="inlineStr">
        <is>
          <t>Mar</t>
        </is>
      </c>
      <c r="Z446" s="87" t="n">
        <v>2025</v>
      </c>
      <c r="AA446" s="47">
        <f>IF(F446="",0,F446)</f>
        <v/>
      </c>
      <c r="AB446" s="87">
        <f>IF(AA446&gt;=0.1,1,0)</f>
        <v/>
      </c>
      <c r="AC446" s="87" t="n">
        <v>0</v>
      </c>
      <c r="AD446" s="47">
        <f>IF(U446="",0,U446)</f>
        <v/>
      </c>
      <c r="AE446" s="87">
        <f>IF(OR(V446=1,W446=1),1,0)</f>
        <v/>
      </c>
      <c r="AF446" s="87" t="n">
        <v>0</v>
      </c>
      <c r="AG446" t="n">
        <v>6100</v>
      </c>
      <c r="AH446" t="n">
        <v>103633</v>
      </c>
      <c r="AI446" t="n">
        <v>0</v>
      </c>
      <c r="AJ446" s="88">
        <f>IF(OR(AG446&lt;=0,AH446&lt;=0),"",LN(AG446)-LN(AH446))</f>
        <v/>
      </c>
      <c r="AK446" t="n">
        <v>16156</v>
      </c>
      <c r="AL446" t="n">
        <v>93577</v>
      </c>
      <c r="AM446" s="88">
        <f>IF(OR(AK446&lt;=0,AL446&lt;=0),"",LN(AK446)-LN(AL446))</f>
        <v/>
      </c>
      <c r="AN446" t="n">
        <v>5918</v>
      </c>
      <c r="AO446" t="n">
        <v>99949</v>
      </c>
      <c r="AP446" s="88">
        <f>IF(OR(AN446&lt;=0,AO446&lt;=0),"",LN(AN446)-LN(AO446))</f>
        <v/>
      </c>
      <c r="AQ446" t="n">
        <v>5865</v>
      </c>
      <c r="AR446" t="n">
        <v>103633</v>
      </c>
      <c r="AS446" s="88">
        <f>IF(OR(AQ446&lt;=0,AR446&lt;=0),"",LN(AQ446)-LN(AR446))</f>
        <v/>
      </c>
      <c r="AT446" t="n">
        <v>6258</v>
      </c>
      <c r="AU446" t="n">
        <v>102682</v>
      </c>
      <c r="AV446" t="n">
        <v>793</v>
      </c>
      <c r="AW446" t="n">
        <v>545</v>
      </c>
      <c r="AX446" t="n">
        <v>5508</v>
      </c>
      <c r="AY446" s="88">
        <f>IF(OR(AT446&lt;=0,AU446&lt;=0),"",LN(AT446)-LN(AU446))</f>
        <v/>
      </c>
      <c r="AZ446" s="46" t="n">
        <v>7.3</v>
      </c>
      <c r="BA446" s="46" t="n">
        <v>18.04</v>
      </c>
      <c r="BB446" s="47" t="n">
        <v>3.3</v>
      </c>
    </row>
    <row r="447">
      <c r="A447" s="48" t="n">
        <v>45737</v>
      </c>
      <c r="B447" s="49" t="n">
        <v>120512</v>
      </c>
      <c r="C447" s="50" t="n">
        <v>48.8</v>
      </c>
      <c r="D447" s="51" t="inlineStr">
        <is>
          <t>Bad</t>
        </is>
      </c>
      <c r="E447" s="52" t="n">
        <v>11.6</v>
      </c>
      <c r="F447" s="52" t="n"/>
      <c r="G447" s="51" t="inlineStr">
        <is>
          <t>Fri</t>
        </is>
      </c>
      <c r="H447" s="51" t="inlineStr">
        <is>
          <t>Weekday</t>
        </is>
      </c>
      <c r="I447" s="51" t="inlineStr">
        <is>
          <t>Spring</t>
        </is>
      </c>
      <c r="J447" s="51" t="n">
        <v>25</v>
      </c>
      <c r="K447" s="51" t="inlineStr">
        <is>
          <t>강수량 공란</t>
        </is>
      </c>
      <c r="L447" s="46" t="n">
        <v>81.12</v>
      </c>
      <c r="M447" t="inlineStr">
        <is>
          <t>Bad</t>
        </is>
      </c>
      <c r="N447" s="87" t="n">
        <v>25</v>
      </c>
      <c r="O447" s="87" t="n">
        <v>0</v>
      </c>
      <c r="P447" s="87" t="n">
        <v>0</v>
      </c>
      <c r="Q447" s="87" t="n">
        <v>0</v>
      </c>
      <c r="R447" s="87" t="n">
        <v>0</v>
      </c>
      <c r="S447" s="47" t="n">
        <v>2.9</v>
      </c>
      <c r="T447" s="47" t="n">
        <v>61.3</v>
      </c>
      <c r="U447" s="47" t="n"/>
      <c r="V447" s="87" t="n">
        <v>0</v>
      </c>
      <c r="W447" s="87" t="n">
        <v>0</v>
      </c>
      <c r="Y447" t="inlineStr">
        <is>
          <t>Mar</t>
        </is>
      </c>
      <c r="Z447" s="87" t="n">
        <v>2025</v>
      </c>
      <c r="AA447" s="47">
        <f>IF(F447="",0,F447)</f>
        <v/>
      </c>
      <c r="AB447" s="87">
        <f>IF(AA447&gt;=0.1,1,0)</f>
        <v/>
      </c>
      <c r="AC447" s="87" t="n">
        <v>0</v>
      </c>
      <c r="AD447" s="47">
        <f>IF(U447="",0,U447)</f>
        <v/>
      </c>
      <c r="AE447" s="87">
        <f>IF(OR(V447=1,W447=1),1,0)</f>
        <v/>
      </c>
      <c r="AF447" s="87" t="n">
        <v>0</v>
      </c>
      <c r="AG447" t="n">
        <v>7417</v>
      </c>
      <c r="AH447" t="n">
        <v>113095</v>
      </c>
      <c r="AI447" t="n">
        <v>0</v>
      </c>
      <c r="AJ447" s="88">
        <f>IF(OR(AG447&lt;=0,AH447&lt;=0),"",LN(AG447)-LN(AH447))</f>
        <v/>
      </c>
      <c r="AK447" t="n">
        <v>18820</v>
      </c>
      <c r="AL447" t="n">
        <v>101692</v>
      </c>
      <c r="AM447" s="88">
        <f>IF(OR(AK447&lt;=0,AL447&lt;=0),"",LN(AK447)-LN(AL447))</f>
        <v/>
      </c>
      <c r="AN447" t="n">
        <v>7221</v>
      </c>
      <c r="AO447" t="n">
        <v>109217</v>
      </c>
      <c r="AP447" s="88">
        <f>IF(OR(AN447&lt;=0,AO447&lt;=0),"",LN(AN447)-LN(AO447))</f>
        <v/>
      </c>
      <c r="AQ447" t="n">
        <v>7143</v>
      </c>
      <c r="AR447" t="n">
        <v>113095</v>
      </c>
      <c r="AS447" s="88">
        <f>IF(OR(AQ447&lt;=0,AR447&lt;=0),"",LN(AQ447)-LN(AR447))</f>
        <v/>
      </c>
      <c r="AT447" t="n">
        <v>7375</v>
      </c>
      <c r="AU447" t="n">
        <v>112147</v>
      </c>
      <c r="AV447" t="n">
        <v>988</v>
      </c>
      <c r="AW447" t="n">
        <v>800</v>
      </c>
      <c r="AX447" t="n">
        <v>6544</v>
      </c>
      <c r="AY447" s="88">
        <f>IF(OR(AT447&lt;=0,AU447&lt;=0),"",LN(AT447)-LN(AU447))</f>
        <v/>
      </c>
      <c r="AZ447" s="46" t="n">
        <v>9.5</v>
      </c>
      <c r="BA447" s="46" t="n">
        <v>20.44</v>
      </c>
      <c r="BB447" s="47" t="n">
        <v>2.4</v>
      </c>
    </row>
    <row r="448">
      <c r="A448" s="48" t="n">
        <v>45738</v>
      </c>
      <c r="B448" s="49" t="n">
        <v>115084</v>
      </c>
      <c r="C448" s="50" t="n">
        <v>47.833333</v>
      </c>
      <c r="D448" s="51" t="inlineStr">
        <is>
          <t>Bad</t>
        </is>
      </c>
      <c r="E448" s="52" t="n">
        <v>12.8</v>
      </c>
      <c r="F448" s="52" t="n"/>
      <c r="G448" s="51" t="inlineStr">
        <is>
          <t>Sat</t>
        </is>
      </c>
      <c r="H448" s="51" t="inlineStr">
        <is>
          <t>Weekend</t>
        </is>
      </c>
      <c r="I448" s="51" t="inlineStr">
        <is>
          <t>Spring</t>
        </is>
      </c>
      <c r="J448" s="51" t="n">
        <v>24</v>
      </c>
      <c r="K448" s="51" t="inlineStr">
        <is>
          <t>강수량 공란</t>
        </is>
      </c>
      <c r="L448" s="46" t="n">
        <v>78.54166666666667</v>
      </c>
      <c r="M448" t="inlineStr">
        <is>
          <t>Moderate</t>
        </is>
      </c>
      <c r="N448" s="87" t="n">
        <v>24</v>
      </c>
      <c r="O448" s="87" t="n">
        <v>0</v>
      </c>
      <c r="P448" s="87" t="n">
        <v>0</v>
      </c>
      <c r="Q448" s="87" t="n">
        <v>0</v>
      </c>
      <c r="R448" s="87" t="n">
        <v>0</v>
      </c>
      <c r="S448" s="47" t="n">
        <v>2.7</v>
      </c>
      <c r="T448" s="47" t="n">
        <v>53.8</v>
      </c>
      <c r="U448" s="47" t="n"/>
      <c r="V448" s="87" t="n">
        <v>1</v>
      </c>
      <c r="W448" s="87" t="n">
        <v>0</v>
      </c>
      <c r="Y448" t="inlineStr">
        <is>
          <t>Mar</t>
        </is>
      </c>
      <c r="Z448" s="87" t="n">
        <v>2025</v>
      </c>
      <c r="AA448" s="47">
        <f>IF(F448="",0,F448)</f>
        <v/>
      </c>
      <c r="AB448" s="87">
        <f>IF(AA448&gt;=0.1,1,0)</f>
        <v/>
      </c>
      <c r="AC448" s="87" t="n">
        <v>0</v>
      </c>
      <c r="AD448" s="47">
        <f>IF(U448="",0,U448)</f>
        <v/>
      </c>
      <c r="AE448" s="87">
        <f>IF(OR(V448=1,W448=1),1,0)</f>
        <v/>
      </c>
      <c r="AF448" s="87" t="n">
        <v>0</v>
      </c>
      <c r="AG448" t="n">
        <v>11654</v>
      </c>
      <c r="AH448" t="n">
        <v>103430</v>
      </c>
      <c r="AI448" t="n">
        <v>0</v>
      </c>
      <c r="AJ448" s="88">
        <f>IF(OR(AG448&lt;=0,AH448&lt;=0),"",LN(AG448)-LN(AH448))</f>
        <v/>
      </c>
      <c r="AK448" t="n">
        <v>23273</v>
      </c>
      <c r="AL448" t="n">
        <v>91811</v>
      </c>
      <c r="AM448" s="88">
        <f>IF(OR(AK448&lt;=0,AL448&lt;=0),"",LN(AK448)-LN(AL448))</f>
        <v/>
      </c>
      <c r="AN448" t="n">
        <v>11340</v>
      </c>
      <c r="AO448" t="n">
        <v>99939</v>
      </c>
      <c r="AP448" s="88">
        <f>IF(OR(AN448&lt;=0,AO448&lt;=0),"",LN(AN448)-LN(AO448))</f>
        <v/>
      </c>
      <c r="AQ448" t="n">
        <v>11171</v>
      </c>
      <c r="AR448" t="n">
        <v>103430</v>
      </c>
      <c r="AS448" s="88">
        <f>IF(OR(AQ448&lt;=0,AR448&lt;=0),"",LN(AQ448)-LN(AR448))</f>
        <v/>
      </c>
      <c r="AT448" t="n">
        <v>10123</v>
      </c>
      <c r="AU448" t="n">
        <v>104057</v>
      </c>
      <c r="AV448" t="n">
        <v>901</v>
      </c>
      <c r="AW448" t="n">
        <v>1836</v>
      </c>
      <c r="AX448" t="n">
        <v>9677</v>
      </c>
      <c r="AY448" s="88">
        <f>IF(OR(AT448&lt;=0,AU448&lt;=0),"",LN(AT448)-LN(AU448))</f>
        <v/>
      </c>
      <c r="AZ448" s="46" t="n">
        <v>11.1</v>
      </c>
      <c r="BA448" s="46" t="n">
        <v>21.44</v>
      </c>
      <c r="BB448" s="47" t="n">
        <v>0</v>
      </c>
    </row>
    <row r="449">
      <c r="A449" s="48" t="n">
        <v>45739</v>
      </c>
      <c r="B449" s="49" t="n">
        <v>115859</v>
      </c>
      <c r="C449" s="50" t="n">
        <v>48.083333</v>
      </c>
      <c r="D449" s="51" t="inlineStr">
        <is>
          <t>Bad</t>
        </is>
      </c>
      <c r="E449" s="52" t="n">
        <v>15.2</v>
      </c>
      <c r="F449" s="52" t="n"/>
      <c r="G449" s="51" t="inlineStr">
        <is>
          <t>Sun</t>
        </is>
      </c>
      <c r="H449" s="51" t="inlineStr">
        <is>
          <t>Weekend</t>
        </is>
      </c>
      <c r="I449" s="51" t="inlineStr">
        <is>
          <t>Spring</t>
        </is>
      </c>
      <c r="J449" s="51" t="n">
        <v>24</v>
      </c>
      <c r="K449" s="51" t="inlineStr">
        <is>
          <t>강수량 공란</t>
        </is>
      </c>
      <c r="L449" s="46" t="n">
        <v>83.75</v>
      </c>
      <c r="M449" t="inlineStr">
        <is>
          <t>Bad</t>
        </is>
      </c>
      <c r="N449" s="87" t="n">
        <v>24</v>
      </c>
      <c r="O449" s="87" t="n">
        <v>0</v>
      </c>
      <c r="P449" s="87" t="n">
        <v>0</v>
      </c>
      <c r="Q449" s="87" t="n">
        <v>0</v>
      </c>
      <c r="R449" s="87" t="n">
        <v>0</v>
      </c>
      <c r="S449" s="47" t="n">
        <v>1.9</v>
      </c>
      <c r="T449" s="47" t="n">
        <v>49</v>
      </c>
      <c r="U449" s="47" t="n"/>
      <c r="V449" s="87" t="n">
        <v>1</v>
      </c>
      <c r="W449" s="87" t="n">
        <v>0</v>
      </c>
      <c r="Y449" t="inlineStr">
        <is>
          <t>Mar</t>
        </is>
      </c>
      <c r="Z449" s="87" t="n">
        <v>2025</v>
      </c>
      <c r="AA449" s="47">
        <f>IF(F449="",0,F449)</f>
        <v/>
      </c>
      <c r="AB449" s="87">
        <f>IF(AA449&gt;=0.1,1,0)</f>
        <v/>
      </c>
      <c r="AC449" s="87" t="n">
        <v>0</v>
      </c>
      <c r="AD449" s="47">
        <f>IF(U449="",0,U449)</f>
        <v/>
      </c>
      <c r="AE449" s="87">
        <f>IF(OR(V449=1,W449=1),1,0)</f>
        <v/>
      </c>
      <c r="AF449" s="87" t="n">
        <v>0</v>
      </c>
      <c r="AG449" t="n">
        <v>13622</v>
      </c>
      <c r="AH449" t="n">
        <v>102237</v>
      </c>
      <c r="AI449" t="n">
        <v>0</v>
      </c>
      <c r="AJ449" s="88">
        <f>IF(OR(AG449&lt;=0,AH449&lt;=0),"",LN(AG449)-LN(AH449))</f>
        <v/>
      </c>
      <c r="AK449" t="n">
        <v>25983</v>
      </c>
      <c r="AL449" t="n">
        <v>89876</v>
      </c>
      <c r="AM449" s="88">
        <f>IF(OR(AK449&lt;=0,AL449&lt;=0),"",LN(AK449)-LN(AL449))</f>
        <v/>
      </c>
      <c r="AN449" t="n">
        <v>13297</v>
      </c>
      <c r="AO449" t="n">
        <v>98797</v>
      </c>
      <c r="AP449" s="88">
        <f>IF(OR(AN449&lt;=0,AO449&lt;=0),"",LN(AN449)-LN(AO449))</f>
        <v/>
      </c>
      <c r="AQ449" t="n">
        <v>13043</v>
      </c>
      <c r="AR449" t="n">
        <v>102237</v>
      </c>
      <c r="AS449" s="88">
        <f>IF(OR(AQ449&lt;=0,AR449&lt;=0),"",LN(AQ449)-LN(AR449))</f>
        <v/>
      </c>
      <c r="AT449" t="n">
        <v>12133</v>
      </c>
      <c r="AU449" t="n">
        <v>102707</v>
      </c>
      <c r="AV449" t="n">
        <v>1016</v>
      </c>
      <c r="AW449" t="n">
        <v>2418</v>
      </c>
      <c r="AX449" t="n">
        <v>11036</v>
      </c>
      <c r="AY449" s="88">
        <f>IF(OR(AT449&lt;=0,AU449&lt;=0),"",LN(AT449)-LN(AU449))</f>
        <v/>
      </c>
      <c r="AZ449" s="46" t="n">
        <v>8.9</v>
      </c>
      <c r="BA449" s="46" t="n">
        <v>19.96</v>
      </c>
      <c r="BB449" s="47" t="n">
        <v>4</v>
      </c>
    </row>
    <row r="450">
      <c r="A450" s="48" t="n">
        <v>45740</v>
      </c>
      <c r="B450" s="49" t="n">
        <v>127282</v>
      </c>
      <c r="C450" s="50" t="n">
        <v>49.083333</v>
      </c>
      <c r="D450" s="51" t="inlineStr">
        <is>
          <t>Bad</t>
        </is>
      </c>
      <c r="E450" s="52" t="n">
        <v>15.5</v>
      </c>
      <c r="F450" s="52" t="n">
        <v>0</v>
      </c>
      <c r="G450" s="51" t="inlineStr">
        <is>
          <t>Mon</t>
        </is>
      </c>
      <c r="H450" s="51" t="inlineStr">
        <is>
          <t>Weekday</t>
        </is>
      </c>
      <c r="I450" s="51" t="inlineStr">
        <is>
          <t>Spring</t>
        </is>
      </c>
      <c r="J450" s="51" t="n">
        <v>24</v>
      </c>
      <c r="K450" s="51" t="inlineStr">
        <is>
          <t>OK</t>
        </is>
      </c>
      <c r="L450" s="46" t="n">
        <v>91.58333333333333</v>
      </c>
      <c r="M450" t="inlineStr">
        <is>
          <t>Bad</t>
        </is>
      </c>
      <c r="N450" s="87" t="n">
        <v>24</v>
      </c>
      <c r="O450" s="87" t="n">
        <v>0</v>
      </c>
      <c r="P450" s="87" t="n">
        <v>0</v>
      </c>
      <c r="Q450" s="87" t="n">
        <v>0</v>
      </c>
      <c r="R450" s="87" t="n">
        <v>0</v>
      </c>
      <c r="S450" s="47" t="n">
        <v>3</v>
      </c>
      <c r="T450" s="47" t="n">
        <v>56.1</v>
      </c>
      <c r="U450" s="47" t="n"/>
      <c r="V450" s="87" t="n">
        <v>0</v>
      </c>
      <c r="W450" s="87" t="n">
        <v>0</v>
      </c>
      <c r="Y450" t="inlineStr">
        <is>
          <t>Mar</t>
        </is>
      </c>
      <c r="Z450" s="87" t="n">
        <v>2025</v>
      </c>
      <c r="AA450" s="47">
        <f>IF(F450="",0,F450)</f>
        <v/>
      </c>
      <c r="AB450" s="87">
        <f>IF(AA450&gt;=0.1,1,0)</f>
        <v/>
      </c>
      <c r="AC450" s="87" t="n">
        <v>1</v>
      </c>
      <c r="AD450" s="47">
        <f>IF(U450="",0,U450)</f>
        <v/>
      </c>
      <c r="AE450" s="87">
        <f>IF(OR(V450=1,W450=1),1,0)</f>
        <v/>
      </c>
      <c r="AF450" s="87" t="n">
        <v>0</v>
      </c>
      <c r="AG450" t="n">
        <v>8112</v>
      </c>
      <c r="AH450" t="n">
        <v>119169</v>
      </c>
      <c r="AI450" t="n">
        <v>1</v>
      </c>
      <c r="AJ450" s="88">
        <f>IF(OR(AG450&lt;=0,AH450&lt;=0),"",LN(AG450)-LN(AH450))</f>
        <v/>
      </c>
      <c r="AK450" t="n">
        <v>20305</v>
      </c>
      <c r="AL450" t="n">
        <v>106976</v>
      </c>
      <c r="AM450" s="88">
        <f>IF(OR(AK450&lt;=0,AL450&lt;=0),"",LN(AK450)-LN(AL450))</f>
        <v/>
      </c>
      <c r="AN450" t="n">
        <v>7908</v>
      </c>
      <c r="AO450" t="n">
        <v>115151</v>
      </c>
      <c r="AP450" s="88">
        <f>IF(OR(AN450&lt;=0,AO450&lt;=0),"",LN(AN450)-LN(AO450))</f>
        <v/>
      </c>
      <c r="AQ450" t="n">
        <v>7848</v>
      </c>
      <c r="AR450" t="n">
        <v>119169</v>
      </c>
      <c r="AS450" s="88">
        <f>IF(OR(AQ450&lt;=0,AR450&lt;=0),"",LN(AQ450)-LN(AR450))</f>
        <v/>
      </c>
      <c r="AT450" t="n">
        <v>7903</v>
      </c>
      <c r="AU450" t="n">
        <v>118401</v>
      </c>
      <c r="AV450" t="n">
        <v>979</v>
      </c>
      <c r="AW450" t="n">
        <v>872</v>
      </c>
      <c r="AX450" t="n">
        <v>7157</v>
      </c>
      <c r="AY450" s="88">
        <f>IF(OR(AT450&lt;=0,AU450&lt;=0),"",LN(AT450)-LN(AU450))</f>
        <v/>
      </c>
      <c r="AZ450" s="46" t="n">
        <v>7.6</v>
      </c>
      <c r="BA450" s="46" t="n">
        <v>18.71</v>
      </c>
      <c r="BB450" s="47" t="n">
        <v>6.1</v>
      </c>
    </row>
    <row r="451">
      <c r="A451" s="48" t="n">
        <v>45741</v>
      </c>
      <c r="B451" s="49" t="n">
        <v>115456</v>
      </c>
      <c r="C451" s="50" t="n">
        <v>59.28</v>
      </c>
      <c r="D451" s="51" t="inlineStr">
        <is>
          <t>Bad</t>
        </is>
      </c>
      <c r="E451" s="52" t="n">
        <v>12.7</v>
      </c>
      <c r="F451" s="52" t="n"/>
      <c r="G451" s="51" t="inlineStr">
        <is>
          <t>Tue</t>
        </is>
      </c>
      <c r="H451" s="51" t="inlineStr">
        <is>
          <t>Weekday</t>
        </is>
      </c>
      <c r="I451" s="51" t="inlineStr">
        <is>
          <t>Spring</t>
        </is>
      </c>
      <c r="J451" s="51" t="n">
        <v>25</v>
      </c>
      <c r="K451" s="51" t="inlineStr">
        <is>
          <t>강수량 공란</t>
        </is>
      </c>
      <c r="L451" s="46" t="n">
        <v>144.92</v>
      </c>
      <c r="M451" t="inlineStr">
        <is>
          <t>Bad</t>
        </is>
      </c>
      <c r="N451" s="87" t="n">
        <v>25</v>
      </c>
      <c r="O451" s="87" t="n">
        <v>1</v>
      </c>
      <c r="P451" s="87" t="n">
        <v>0</v>
      </c>
      <c r="Q451" s="87" t="n">
        <v>1</v>
      </c>
      <c r="R451" s="87" t="n">
        <v>0</v>
      </c>
      <c r="S451" s="47" t="n">
        <v>3.3</v>
      </c>
      <c r="T451" s="47" t="n">
        <v>63.5</v>
      </c>
      <c r="U451" s="47" t="n"/>
      <c r="V451" s="87" t="n">
        <v>0</v>
      </c>
      <c r="W451" s="87" t="n">
        <v>0</v>
      </c>
      <c r="Y451" t="inlineStr">
        <is>
          <t>Mar</t>
        </is>
      </c>
      <c r="Z451" s="87" t="n">
        <v>2025</v>
      </c>
      <c r="AA451" s="47">
        <f>IF(F451="",0,F451)</f>
        <v/>
      </c>
      <c r="AB451" s="87">
        <f>IF(AA451&gt;=0.1,1,0)</f>
        <v/>
      </c>
      <c r="AC451" s="87" t="n">
        <v>0</v>
      </c>
      <c r="AD451" s="47">
        <f>IF(U451="",0,U451)</f>
        <v/>
      </c>
      <c r="AE451" s="87">
        <f>IF(OR(V451=1,W451=1),1,0)</f>
        <v/>
      </c>
      <c r="AF451" s="87" t="n">
        <v>0</v>
      </c>
      <c r="AG451" t="n">
        <v>5996</v>
      </c>
      <c r="AH451" t="n">
        <v>109460</v>
      </c>
      <c r="AI451" t="n">
        <v>0</v>
      </c>
      <c r="AJ451" s="88">
        <f>IF(OR(AG451&lt;=0,AH451&lt;=0),"",LN(AG451)-LN(AH451))</f>
        <v/>
      </c>
      <c r="AK451" t="n">
        <v>16615</v>
      </c>
      <c r="AL451" t="n">
        <v>98841</v>
      </c>
      <c r="AM451" s="88">
        <f>IF(OR(AK451&lt;=0,AL451&lt;=0),"",LN(AK451)-LN(AL451))</f>
        <v/>
      </c>
      <c r="AN451" t="n">
        <v>5844</v>
      </c>
      <c r="AO451" t="n">
        <v>105605</v>
      </c>
      <c r="AP451" s="88">
        <f>IF(OR(AN451&lt;=0,AO451&lt;=0),"",LN(AN451)-LN(AO451))</f>
        <v/>
      </c>
      <c r="AQ451" t="n">
        <v>5804</v>
      </c>
      <c r="AR451" t="n">
        <v>109460</v>
      </c>
      <c r="AS451" s="88">
        <f>IF(OR(AQ451&lt;=0,AR451&lt;=0),"",LN(AQ451)-LN(AR451))</f>
        <v/>
      </c>
      <c r="AT451" t="n">
        <v>6365</v>
      </c>
      <c r="AU451" t="n">
        <v>108241</v>
      </c>
      <c r="AV451" t="n">
        <v>851</v>
      </c>
      <c r="AW451" t="n">
        <v>495</v>
      </c>
      <c r="AX451" t="n">
        <v>5454</v>
      </c>
      <c r="AY451" s="88">
        <f>IF(OR(AT451&lt;=0,AU451&lt;=0),"",LN(AT451)-LN(AU451))</f>
        <v/>
      </c>
      <c r="AZ451" s="46" t="n">
        <v>3.9</v>
      </c>
      <c r="BA451" s="46" t="n">
        <v>13.63</v>
      </c>
      <c r="BB451" s="47" t="n">
        <v>5.1</v>
      </c>
    </row>
    <row r="452">
      <c r="A452" s="48" t="n">
        <v>45742</v>
      </c>
      <c r="B452" s="49" t="n">
        <v>134700</v>
      </c>
      <c r="C452" s="50" t="n">
        <v>20.56</v>
      </c>
      <c r="D452" s="51" t="inlineStr">
        <is>
          <t>Moderate</t>
        </is>
      </c>
      <c r="E452" s="52" t="n">
        <v>15.5</v>
      </c>
      <c r="F452" s="52" t="n"/>
      <c r="G452" s="51" t="inlineStr">
        <is>
          <t>Wed</t>
        </is>
      </c>
      <c r="H452" s="51" t="inlineStr">
        <is>
          <t>Weekday</t>
        </is>
      </c>
      <c r="I452" s="51" t="inlineStr">
        <is>
          <t>Spring</t>
        </is>
      </c>
      <c r="J452" s="51" t="n">
        <v>25</v>
      </c>
      <c r="K452" s="51" t="inlineStr">
        <is>
          <t>강수량 공란</t>
        </is>
      </c>
      <c r="L452" s="46" t="n">
        <v>107.56</v>
      </c>
      <c r="M452" t="inlineStr">
        <is>
          <t>Bad</t>
        </is>
      </c>
      <c r="N452" s="87" t="n">
        <v>25</v>
      </c>
      <c r="O452" s="87" t="n">
        <v>0</v>
      </c>
      <c r="P452" s="87" t="n">
        <v>0</v>
      </c>
      <c r="Q452" s="87" t="n">
        <v>1</v>
      </c>
      <c r="R452" s="87" t="n">
        <v>0</v>
      </c>
      <c r="S452" s="47" t="n">
        <v>2.2</v>
      </c>
      <c r="T452" s="47" t="n">
        <v>46.4</v>
      </c>
      <c r="U452" s="47" t="n"/>
      <c r="V452" s="87" t="n">
        <v>0</v>
      </c>
      <c r="W452" s="87" t="n">
        <v>0</v>
      </c>
      <c r="Y452" t="inlineStr">
        <is>
          <t>Mar</t>
        </is>
      </c>
      <c r="Z452" s="87" t="n">
        <v>2025</v>
      </c>
      <c r="AA452" s="47">
        <f>IF(F452="",0,F452)</f>
        <v/>
      </c>
      <c r="AB452" s="87">
        <f>IF(AA452&gt;=0.1,1,0)</f>
        <v/>
      </c>
      <c r="AC452" s="87" t="n">
        <v>0</v>
      </c>
      <c r="AD452" s="47">
        <f>IF(U452="",0,U452)</f>
        <v/>
      </c>
      <c r="AE452" s="87">
        <f>IF(OR(V452=1,W452=1),1,0)</f>
        <v/>
      </c>
      <c r="AF452" s="87" t="n">
        <v>0</v>
      </c>
      <c r="AG452" t="n">
        <v>8494</v>
      </c>
      <c r="AH452" t="n">
        <v>126206</v>
      </c>
      <c r="AI452" t="n">
        <v>0</v>
      </c>
      <c r="AJ452" s="88">
        <f>IF(OR(AG452&lt;=0,AH452&lt;=0),"",LN(AG452)-LN(AH452))</f>
        <v/>
      </c>
      <c r="AK452" t="n">
        <v>21493</v>
      </c>
      <c r="AL452" t="n">
        <v>113207</v>
      </c>
      <c r="AM452" s="88">
        <f>IF(OR(AK452&lt;=0,AL452&lt;=0),"",LN(AK452)-LN(AL452))</f>
        <v/>
      </c>
      <c r="AN452" t="n">
        <v>8277</v>
      </c>
      <c r="AO452" t="n">
        <v>121806</v>
      </c>
      <c r="AP452" s="88">
        <f>IF(OR(AN452&lt;=0,AO452&lt;=0),"",LN(AN452)-LN(AO452))</f>
        <v/>
      </c>
      <c r="AQ452" t="n">
        <v>8234</v>
      </c>
      <c r="AR452" t="n">
        <v>126206</v>
      </c>
      <c r="AS452" s="88">
        <f>IF(OR(AQ452&lt;=0,AR452&lt;=0),"",LN(AQ452)-LN(AR452))</f>
        <v/>
      </c>
      <c r="AT452" t="n">
        <v>8095</v>
      </c>
      <c r="AU452" t="n">
        <v>125596</v>
      </c>
      <c r="AV452" t="n">
        <v>1008</v>
      </c>
      <c r="AW452" t="n">
        <v>925</v>
      </c>
      <c r="AX452" t="n">
        <v>7494</v>
      </c>
      <c r="AY452" s="88">
        <f>IF(OR(AT452&lt;=0,AU452&lt;=0),"",LN(AT452)-LN(AU452))</f>
        <v/>
      </c>
      <c r="AZ452" s="46" t="n">
        <v>10</v>
      </c>
      <c r="BA452" s="46" t="n">
        <v>20.83</v>
      </c>
      <c r="BB452" s="47" t="n">
        <v>3.4</v>
      </c>
    </row>
    <row r="453">
      <c r="A453" s="48" t="n">
        <v>45743</v>
      </c>
      <c r="B453" s="49" t="n">
        <v>101742</v>
      </c>
      <c r="C453" s="50" t="n">
        <v>23.64</v>
      </c>
      <c r="D453" s="51" t="inlineStr">
        <is>
          <t>Moderate</t>
        </is>
      </c>
      <c r="E453" s="52" t="n">
        <v>13.7</v>
      </c>
      <c r="F453" s="52" t="n">
        <v>0.3</v>
      </c>
      <c r="G453" s="51" t="inlineStr">
        <is>
          <t>Thu</t>
        </is>
      </c>
      <c r="H453" s="51" t="inlineStr">
        <is>
          <t>Weekday</t>
        </is>
      </c>
      <c r="I453" s="51" t="inlineStr">
        <is>
          <t>Spring</t>
        </is>
      </c>
      <c r="J453" s="51" t="n">
        <v>25</v>
      </c>
      <c r="K453" s="51" t="inlineStr">
        <is>
          <t>OK</t>
        </is>
      </c>
      <c r="L453" s="46" t="n">
        <v>60.48</v>
      </c>
      <c r="M453" t="inlineStr">
        <is>
          <t>Moderate</t>
        </is>
      </c>
      <c r="N453" s="87" t="n">
        <v>25</v>
      </c>
      <c r="O453" s="87" t="n">
        <v>0</v>
      </c>
      <c r="P453" s="87" t="n">
        <v>0</v>
      </c>
      <c r="Q453" s="87" t="n">
        <v>0</v>
      </c>
      <c r="R453" s="87" t="n">
        <v>0</v>
      </c>
      <c r="S453" s="47" t="n">
        <v>3.2</v>
      </c>
      <c r="T453" s="47" t="n">
        <v>65.09999999999999</v>
      </c>
      <c r="U453" s="47" t="n"/>
      <c r="V453" s="87" t="n">
        <v>0</v>
      </c>
      <c r="W453" s="87" t="n">
        <v>0</v>
      </c>
      <c r="Y453" t="inlineStr">
        <is>
          <t>Mar</t>
        </is>
      </c>
      <c r="Z453" s="87" t="n">
        <v>2025</v>
      </c>
      <c r="AA453" s="47">
        <f>IF(F453="",0,F453)</f>
        <v/>
      </c>
      <c r="AB453" s="87">
        <f>IF(AA453&gt;=0.1,1,0)</f>
        <v/>
      </c>
      <c r="AC453" s="87" t="n">
        <v>0</v>
      </c>
      <c r="AD453" s="47">
        <f>IF(U453="",0,U453)</f>
        <v/>
      </c>
      <c r="AE453" s="87">
        <f>IF(OR(V453=1,W453=1),1,0)</f>
        <v/>
      </c>
      <c r="AF453" s="87" t="n">
        <v>0</v>
      </c>
      <c r="AG453" t="n">
        <v>5208</v>
      </c>
      <c r="AH453" t="n">
        <v>96531</v>
      </c>
      <c r="AI453" t="n">
        <v>3</v>
      </c>
      <c r="AJ453" s="88">
        <f>IF(OR(AG453&lt;=0,AH453&lt;=0),"",LN(AG453)-LN(AH453))</f>
        <v/>
      </c>
      <c r="AK453" t="n">
        <v>14562</v>
      </c>
      <c r="AL453" t="n">
        <v>87177</v>
      </c>
      <c r="AM453" s="88">
        <f>IF(OR(AK453&lt;=0,AL453&lt;=0),"",LN(AK453)-LN(AL453))</f>
        <v/>
      </c>
      <c r="AN453" t="n">
        <v>5095</v>
      </c>
      <c r="AO453" t="n">
        <v>93109</v>
      </c>
      <c r="AP453" s="88">
        <f>IF(OR(AN453&lt;=0,AO453&lt;=0),"",LN(AN453)-LN(AO453))</f>
        <v/>
      </c>
      <c r="AQ453" t="n">
        <v>5022</v>
      </c>
      <c r="AR453" t="n">
        <v>96531</v>
      </c>
      <c r="AS453" s="88">
        <f>IF(OR(AQ453&lt;=0,AR453&lt;=0),"",LN(AQ453)-LN(AR453))</f>
        <v/>
      </c>
      <c r="AT453" t="n">
        <v>5953</v>
      </c>
      <c r="AU453" t="n">
        <v>95008</v>
      </c>
      <c r="AV453" t="n">
        <v>785</v>
      </c>
      <c r="AW453" t="n">
        <v>490</v>
      </c>
      <c r="AX453" t="n">
        <v>4678</v>
      </c>
      <c r="AY453" s="88">
        <f>IF(OR(AT453&lt;=0,AU453&lt;=0),"",LN(AT453)-LN(AU453))</f>
        <v/>
      </c>
      <c r="AZ453" s="46" t="n">
        <v>1.9</v>
      </c>
      <c r="BA453" s="46" t="n">
        <v>8.16</v>
      </c>
      <c r="BB453" s="47" t="n">
        <v>8.9</v>
      </c>
    </row>
    <row r="454">
      <c r="A454" s="48" t="n">
        <v>45744</v>
      </c>
      <c r="B454" s="49" t="n">
        <v>112105</v>
      </c>
      <c r="C454" s="50" t="n">
        <v>19.36</v>
      </c>
      <c r="D454" s="51" t="inlineStr">
        <is>
          <t>Moderate</t>
        </is>
      </c>
      <c r="E454" s="52" t="n">
        <v>6.5</v>
      </c>
      <c r="F454" s="52" t="n"/>
      <c r="G454" s="51" t="inlineStr">
        <is>
          <t>Fri</t>
        </is>
      </c>
      <c r="H454" s="51" t="inlineStr">
        <is>
          <t>Weekday</t>
        </is>
      </c>
      <c r="I454" s="51" t="inlineStr">
        <is>
          <t>Spring</t>
        </is>
      </c>
      <c r="J454" s="51" t="n">
        <v>25</v>
      </c>
      <c r="K454" s="51" t="inlineStr">
        <is>
          <t>강수량 공란</t>
        </is>
      </c>
      <c r="L454" s="46" t="n">
        <v>40</v>
      </c>
      <c r="M454" t="inlineStr">
        <is>
          <t>Moderate</t>
        </is>
      </c>
      <c r="N454" s="87" t="n">
        <v>25</v>
      </c>
      <c r="O454" s="87" t="n">
        <v>0</v>
      </c>
      <c r="P454" s="87" t="n">
        <v>0</v>
      </c>
      <c r="Q454" s="87" t="n">
        <v>0</v>
      </c>
      <c r="R454" s="87" t="n">
        <v>0</v>
      </c>
      <c r="S454" s="47" t="n">
        <v>3.7</v>
      </c>
      <c r="T454" s="47" t="n">
        <v>41.6</v>
      </c>
      <c r="U454" s="47" t="n"/>
      <c r="V454" s="87" t="n">
        <v>0</v>
      </c>
      <c r="W454" s="87" t="n">
        <v>0</v>
      </c>
      <c r="Y454" t="inlineStr">
        <is>
          <t>Mar</t>
        </is>
      </c>
      <c r="Z454" s="87" t="n">
        <v>2025</v>
      </c>
      <c r="AA454" s="47">
        <f>IF(F454="",0,F454)</f>
        <v/>
      </c>
      <c r="AB454" s="87">
        <f>IF(AA454&gt;=0.1,1,0)</f>
        <v/>
      </c>
      <c r="AC454" s="87" t="n">
        <v>0</v>
      </c>
      <c r="AD454" s="47">
        <f>IF(U454="",0,U454)</f>
        <v/>
      </c>
      <c r="AE454" s="87">
        <f>IF(OR(V454=1,W454=1),1,0)</f>
        <v/>
      </c>
      <c r="AF454" s="87" t="n">
        <v>0</v>
      </c>
      <c r="AG454" t="n">
        <v>6027</v>
      </c>
      <c r="AH454" t="n">
        <v>106074</v>
      </c>
      <c r="AI454" t="n">
        <v>4</v>
      </c>
      <c r="AJ454" s="88">
        <f>IF(OR(AG454&lt;=0,AH454&lt;=0),"",LN(AG454)-LN(AH454))</f>
        <v/>
      </c>
      <c r="AK454" t="n">
        <v>16296</v>
      </c>
      <c r="AL454" t="n">
        <v>95805</v>
      </c>
      <c r="AM454" s="88">
        <f>IF(OR(AK454&lt;=0,AL454&lt;=0),"",LN(AK454)-LN(AL454))</f>
        <v/>
      </c>
      <c r="AN454" t="n">
        <v>5879</v>
      </c>
      <c r="AO454" t="n">
        <v>102326</v>
      </c>
      <c r="AP454" s="88">
        <f>IF(OR(AN454&lt;=0,AO454&lt;=0),"",LN(AN454)-LN(AO454))</f>
        <v/>
      </c>
      <c r="AQ454" t="n">
        <v>5798</v>
      </c>
      <c r="AR454" t="n">
        <v>106074</v>
      </c>
      <c r="AS454" s="88">
        <f>IF(OR(AQ454&lt;=0,AR454&lt;=0),"",LN(AQ454)-LN(AR454))</f>
        <v/>
      </c>
      <c r="AT454" t="n">
        <v>6799</v>
      </c>
      <c r="AU454" t="n">
        <v>104507</v>
      </c>
      <c r="AV454" t="n">
        <v>797</v>
      </c>
      <c r="AW454" t="n">
        <v>560</v>
      </c>
      <c r="AX454" t="n">
        <v>5418</v>
      </c>
      <c r="AY454" s="88">
        <f>IF(OR(AT454&lt;=0,AU454&lt;=0),"",LN(AT454)-LN(AU454))</f>
        <v/>
      </c>
      <c r="AZ454" s="46" t="n">
        <v>7.8</v>
      </c>
      <c r="BA454" s="46" t="n">
        <v>21.46</v>
      </c>
      <c r="BB454" s="47" t="n">
        <v>2.9</v>
      </c>
    </row>
    <row r="455">
      <c r="A455" s="48" t="n">
        <v>45745</v>
      </c>
      <c r="B455" s="49" t="n">
        <v>63569</v>
      </c>
      <c r="C455" s="50" t="n">
        <v>9.68</v>
      </c>
      <c r="D455" s="51" t="inlineStr">
        <is>
          <t>Good</t>
        </is>
      </c>
      <c r="E455" s="52" t="n">
        <v>3.3</v>
      </c>
      <c r="F455" s="52" t="n">
        <v>0</v>
      </c>
      <c r="G455" s="51" t="inlineStr">
        <is>
          <t>Sat</t>
        </is>
      </c>
      <c r="H455" s="51" t="inlineStr">
        <is>
          <t>Weekend</t>
        </is>
      </c>
      <c r="I455" s="51" t="inlineStr">
        <is>
          <t>Spring</t>
        </is>
      </c>
      <c r="J455" s="51" t="n">
        <v>25</v>
      </c>
      <c r="K455" s="51" t="inlineStr">
        <is>
          <t>OK</t>
        </is>
      </c>
      <c r="L455" s="46" t="n">
        <v>23.36</v>
      </c>
      <c r="M455" t="inlineStr">
        <is>
          <t>Good</t>
        </is>
      </c>
      <c r="N455" s="87" t="n">
        <v>25</v>
      </c>
      <c r="O455" s="87" t="n">
        <v>0</v>
      </c>
      <c r="P455" s="87" t="n">
        <v>0</v>
      </c>
      <c r="Q455" s="87" t="n">
        <v>0</v>
      </c>
      <c r="R455" s="87" t="n">
        <v>0</v>
      </c>
      <c r="S455" s="47" t="n">
        <v>3.6</v>
      </c>
      <c r="T455" s="47" t="n">
        <v>40.8</v>
      </c>
      <c r="U455" s="47" t="n"/>
      <c r="V455" s="87" t="n">
        <v>1</v>
      </c>
      <c r="W455" s="87" t="n">
        <v>0</v>
      </c>
      <c r="Y455" t="inlineStr">
        <is>
          <t>Mar</t>
        </is>
      </c>
      <c r="Z455" s="87" t="n">
        <v>2025</v>
      </c>
      <c r="AA455" s="47">
        <f>IF(F455="",0,F455)</f>
        <v/>
      </c>
      <c r="AB455" s="87">
        <f>IF(AA455&gt;=0.1,1,0)</f>
        <v/>
      </c>
      <c r="AC455" s="87" t="n">
        <v>1</v>
      </c>
      <c r="AD455" s="47">
        <f>IF(U455="",0,U455)</f>
        <v/>
      </c>
      <c r="AE455" s="87">
        <f>IF(OR(V455=1,W455=1),1,0)</f>
        <v/>
      </c>
      <c r="AF455" s="87" t="n">
        <v>0</v>
      </c>
      <c r="AG455" t="n">
        <v>3394</v>
      </c>
      <c r="AH455" t="n">
        <v>60175</v>
      </c>
      <c r="AI455" t="n">
        <v>0</v>
      </c>
      <c r="AJ455" s="88">
        <f>IF(OR(AG455&lt;=0,AH455&lt;=0),"",LN(AG455)-LN(AH455))</f>
        <v/>
      </c>
      <c r="AK455" t="n">
        <v>9162</v>
      </c>
      <c r="AL455" t="n">
        <v>54407</v>
      </c>
      <c r="AM455" s="88">
        <f>IF(OR(AK455&lt;=0,AL455&lt;=0),"",LN(AK455)-LN(AL455))</f>
        <v/>
      </c>
      <c r="AN455" t="n">
        <v>3297</v>
      </c>
      <c r="AO455" t="n">
        <v>58172</v>
      </c>
      <c r="AP455" s="88">
        <f>IF(OR(AN455&lt;=0,AO455&lt;=0),"",LN(AN455)-LN(AO455))</f>
        <v/>
      </c>
      <c r="AQ455" t="n">
        <v>3254</v>
      </c>
      <c r="AR455" t="n">
        <v>60175</v>
      </c>
      <c r="AS455" s="88">
        <f>IF(OR(AQ455&lt;=0,AR455&lt;=0),"",LN(AQ455)-LN(AR455))</f>
        <v/>
      </c>
      <c r="AT455" t="n">
        <v>4960</v>
      </c>
      <c r="AU455" t="n">
        <v>58143</v>
      </c>
      <c r="AV455" t="n">
        <v>466</v>
      </c>
      <c r="AW455" t="n">
        <v>425</v>
      </c>
      <c r="AX455" t="n">
        <v>2928</v>
      </c>
      <c r="AY455" s="88">
        <f>IF(OR(AT455&lt;=0,AU455&lt;=0),"",LN(AT455)-LN(AU455))</f>
        <v/>
      </c>
      <c r="AZ455" s="46" t="n">
        <v>7.3</v>
      </c>
      <c r="BA455" s="46" t="n">
        <v>15.68</v>
      </c>
      <c r="BB455" s="47" t="n">
        <v>2.9</v>
      </c>
    </row>
    <row r="456">
      <c r="A456" s="48" t="n">
        <v>45746</v>
      </c>
      <c r="B456" s="49" t="n">
        <v>57013</v>
      </c>
      <c r="C456" s="50" t="n">
        <v>9.640000000000001</v>
      </c>
      <c r="D456" s="51" t="inlineStr">
        <is>
          <t>Good</t>
        </is>
      </c>
      <c r="E456" s="52" t="n">
        <v>3.3</v>
      </c>
      <c r="F456" s="52" t="n">
        <v>0</v>
      </c>
      <c r="G456" s="51" t="inlineStr">
        <is>
          <t>Sun</t>
        </is>
      </c>
      <c r="H456" s="51" t="inlineStr">
        <is>
          <t>Weekend</t>
        </is>
      </c>
      <c r="I456" s="51" t="inlineStr">
        <is>
          <t>Spring</t>
        </is>
      </c>
      <c r="J456" s="51" t="n">
        <v>25</v>
      </c>
      <c r="K456" s="51" t="inlineStr">
        <is>
          <t>OK</t>
        </is>
      </c>
      <c r="L456" s="46" t="n">
        <v>23.28</v>
      </c>
      <c r="M456" t="inlineStr">
        <is>
          <t>Good</t>
        </is>
      </c>
      <c r="N456" s="87" t="n">
        <v>25</v>
      </c>
      <c r="O456" s="87" t="n">
        <v>0</v>
      </c>
      <c r="P456" s="87" t="n">
        <v>0</v>
      </c>
      <c r="Q456" s="87" t="n">
        <v>0</v>
      </c>
      <c r="R456" s="87" t="n">
        <v>0</v>
      </c>
      <c r="S456" s="47" t="n">
        <v>2.8</v>
      </c>
      <c r="T456" s="47" t="n">
        <v>51.1</v>
      </c>
      <c r="U456" s="47" t="n"/>
      <c r="V456" s="87" t="n">
        <v>1</v>
      </c>
      <c r="W456" s="87" t="n">
        <v>0</v>
      </c>
      <c r="Y456" t="inlineStr">
        <is>
          <t>Mar</t>
        </is>
      </c>
      <c r="Z456" s="87" t="n">
        <v>2025</v>
      </c>
      <c r="AA456" s="47">
        <f>IF(F456="",0,F456)</f>
        <v/>
      </c>
      <c r="AB456" s="87">
        <f>IF(AA456&gt;=0.1,1,0)</f>
        <v/>
      </c>
      <c r="AC456" s="87" t="n">
        <v>1</v>
      </c>
      <c r="AD456" s="47">
        <f>IF(U456="",0,U456)</f>
        <v/>
      </c>
      <c r="AE456" s="87">
        <f>IF(OR(V456=1,W456=1),1,0)</f>
        <v/>
      </c>
      <c r="AF456" s="87" t="n">
        <v>0</v>
      </c>
      <c r="AG456" t="n">
        <v>3643</v>
      </c>
      <c r="AH456" t="n">
        <v>53370</v>
      </c>
      <c r="AI456" t="n">
        <v>0</v>
      </c>
      <c r="AJ456" s="88">
        <f>IF(OR(AG456&lt;=0,AH456&lt;=0),"",LN(AG456)-LN(AH456))</f>
        <v/>
      </c>
      <c r="AK456" t="n">
        <v>9053</v>
      </c>
      <c r="AL456" t="n">
        <v>47960</v>
      </c>
      <c r="AM456" s="88">
        <f>IF(OR(AK456&lt;=0,AL456&lt;=0),"",LN(AK456)-LN(AL456))</f>
        <v/>
      </c>
      <c r="AN456" t="n">
        <v>3541</v>
      </c>
      <c r="AO456" t="n">
        <v>51602</v>
      </c>
      <c r="AP456" s="88">
        <f>IF(OR(AN456&lt;=0,AO456&lt;=0),"",LN(AN456)-LN(AO456))</f>
        <v/>
      </c>
      <c r="AQ456" t="n">
        <v>3516</v>
      </c>
      <c r="AR456" t="n">
        <v>53370</v>
      </c>
      <c r="AS456" s="88">
        <f>IF(OR(AQ456&lt;=0,AR456&lt;=0),"",LN(AQ456)-LN(AR456))</f>
        <v/>
      </c>
      <c r="AT456" t="n">
        <v>4933</v>
      </c>
      <c r="AU456" t="n">
        <v>51709</v>
      </c>
      <c r="AV456" t="n">
        <v>368</v>
      </c>
      <c r="AW456" t="n">
        <v>493</v>
      </c>
      <c r="AX456" t="n">
        <v>3120</v>
      </c>
      <c r="AY456" s="88">
        <f>IF(OR(AT456&lt;=0,AU456&lt;=0),"",LN(AT456)-LN(AU456))</f>
        <v/>
      </c>
      <c r="AZ456" s="46" t="n">
        <v>7.1</v>
      </c>
      <c r="BA456" s="46" t="n">
        <v>14.39</v>
      </c>
      <c r="BB456" s="47" t="n">
        <v>2.9</v>
      </c>
    </row>
    <row r="457">
      <c r="A457" s="48" t="n">
        <v>45747</v>
      </c>
      <c r="B457" s="49" t="n">
        <v>115322</v>
      </c>
      <c r="C457" s="50" t="n">
        <v>16.56</v>
      </c>
      <c r="D457" s="51" t="inlineStr">
        <is>
          <t>Moderate</t>
        </is>
      </c>
      <c r="E457" s="52" t="n">
        <v>7.7</v>
      </c>
      <c r="F457" s="52" t="n"/>
      <c r="G457" s="51" t="inlineStr">
        <is>
          <t>Mon</t>
        </is>
      </c>
      <c r="H457" s="51" t="inlineStr">
        <is>
          <t>Weekday</t>
        </is>
      </c>
      <c r="I457" s="51" t="inlineStr">
        <is>
          <t>Spring</t>
        </is>
      </c>
      <c r="J457" s="51" t="n">
        <v>25</v>
      </c>
      <c r="K457" s="51" t="inlineStr">
        <is>
          <t>강수량 공란</t>
        </is>
      </c>
      <c r="L457" s="46" t="n">
        <v>32.88</v>
      </c>
      <c r="M457" t="inlineStr">
        <is>
          <t>Moderate</t>
        </is>
      </c>
      <c r="N457" s="87" t="n">
        <v>25</v>
      </c>
      <c r="O457" s="87" t="n">
        <v>0</v>
      </c>
      <c r="P457" s="87" t="n">
        <v>0</v>
      </c>
      <c r="Q457" s="87" t="n">
        <v>0</v>
      </c>
      <c r="R457" s="87" t="n">
        <v>0</v>
      </c>
      <c r="S457" s="47" t="n">
        <v>2.2</v>
      </c>
      <c r="T457" s="47" t="n">
        <v>50.5</v>
      </c>
      <c r="U457" s="47" t="n"/>
      <c r="V457" s="87" t="n">
        <v>0</v>
      </c>
      <c r="W457" s="87" t="n">
        <v>0</v>
      </c>
      <c r="Y457" t="inlineStr">
        <is>
          <t>Mar</t>
        </is>
      </c>
      <c r="Z457" s="87" t="n">
        <v>2025</v>
      </c>
      <c r="AA457" s="47">
        <f>IF(F457="",0,F457)</f>
        <v/>
      </c>
      <c r="AB457" s="87">
        <f>IF(AA457&gt;=0.1,1,0)</f>
        <v/>
      </c>
      <c r="AC457" s="87" t="n">
        <v>0</v>
      </c>
      <c r="AD457" s="47">
        <f>IF(U457="",0,U457)</f>
        <v/>
      </c>
      <c r="AE457" s="87">
        <f>IF(OR(V457=1,W457=1),1,0)</f>
        <v/>
      </c>
      <c r="AF457" s="87" t="n">
        <v>0</v>
      </c>
      <c r="AG457" t="n">
        <v>6244</v>
      </c>
      <c r="AH457" t="n">
        <v>109077</v>
      </c>
      <c r="AI457" t="n">
        <v>1</v>
      </c>
      <c r="AJ457" s="88">
        <f>IF(OR(AG457&lt;=0,AH457&lt;=0),"",LN(AG457)-LN(AH457))</f>
        <v/>
      </c>
      <c r="AK457" t="n">
        <v>17063</v>
      </c>
      <c r="AL457" t="n">
        <v>98258</v>
      </c>
      <c r="AM457" s="88">
        <f>IF(OR(AK457&lt;=0,AL457&lt;=0),"",LN(AK457)-LN(AL457))</f>
        <v/>
      </c>
      <c r="AN457" t="n">
        <v>6120</v>
      </c>
      <c r="AO457" t="n">
        <v>105248</v>
      </c>
      <c r="AP457" s="88">
        <f>IF(OR(AN457&lt;=0,AO457&lt;=0),"",LN(AN457)-LN(AO457))</f>
        <v/>
      </c>
      <c r="AQ457" t="n">
        <v>6012</v>
      </c>
      <c r="AR457" t="n">
        <v>109077</v>
      </c>
      <c r="AS457" s="88">
        <f>IF(OR(AQ457&lt;=0,AR457&lt;=0),"",LN(AQ457)-LN(AR457))</f>
        <v/>
      </c>
      <c r="AT457" t="n">
        <v>6887</v>
      </c>
      <c r="AU457" t="n">
        <v>107632</v>
      </c>
      <c r="AV457" t="n">
        <v>800</v>
      </c>
      <c r="AW457" t="n">
        <v>558</v>
      </c>
      <c r="AX457" t="n">
        <v>5646</v>
      </c>
      <c r="AY457" s="88">
        <f>IF(OR(AT457&lt;=0,AU457&lt;=0),"",LN(AT457)-LN(AU457))</f>
        <v/>
      </c>
      <c r="AZ457" s="46" t="n">
        <v>10.8</v>
      </c>
      <c r="BA457" s="46" t="n">
        <v>23.15</v>
      </c>
      <c r="BB457" s="47" t="n">
        <v>1.6</v>
      </c>
    </row>
    <row r="458">
      <c r="A458" s="48" t="n">
        <v>45748</v>
      </c>
      <c r="B458" s="49" t="n">
        <v>128599</v>
      </c>
      <c r="C458" s="50" t="n">
        <v>34.64</v>
      </c>
      <c r="D458" s="51" t="inlineStr">
        <is>
          <t>Moderate</t>
        </is>
      </c>
      <c r="E458" s="52" t="n">
        <v>10.1</v>
      </c>
      <c r="F458" s="52" t="n"/>
      <c r="G458" s="51" t="inlineStr">
        <is>
          <t>Tue</t>
        </is>
      </c>
      <c r="H458" s="51" t="inlineStr">
        <is>
          <t>Weekday</t>
        </is>
      </c>
      <c r="I458" s="51" t="inlineStr">
        <is>
          <t>Spring</t>
        </is>
      </c>
      <c r="J458" s="51" t="n">
        <v>25</v>
      </c>
      <c r="K458" s="51" t="inlineStr">
        <is>
          <t>강수량 공란</t>
        </is>
      </c>
      <c r="L458" s="46" t="n">
        <v>60</v>
      </c>
      <c r="M458" t="inlineStr">
        <is>
          <t>Moderate</t>
        </is>
      </c>
      <c r="N458" s="87" t="n">
        <v>25</v>
      </c>
      <c r="O458" s="87" t="n">
        <v>0</v>
      </c>
      <c r="P458" s="87" t="n">
        <v>0</v>
      </c>
      <c r="Q458" s="87" t="n">
        <v>0</v>
      </c>
      <c r="R458" s="87" t="n">
        <v>0</v>
      </c>
      <c r="S458" s="47" t="n">
        <v>1.8</v>
      </c>
      <c r="T458" s="47" t="n">
        <v>53</v>
      </c>
      <c r="U458" s="47" t="n"/>
      <c r="V458" s="87" t="n">
        <v>0</v>
      </c>
      <c r="W458" s="87" t="n">
        <v>0</v>
      </c>
      <c r="Y458" t="inlineStr">
        <is>
          <t>Apr</t>
        </is>
      </c>
      <c r="Z458" s="87" t="n">
        <v>2025</v>
      </c>
      <c r="AA458" s="47">
        <f>IF(F458="",0,F458)</f>
        <v/>
      </c>
      <c r="AB458" s="87">
        <f>IF(AA458&gt;=0.1,1,0)</f>
        <v/>
      </c>
      <c r="AC458" s="87" t="n">
        <v>0</v>
      </c>
      <c r="AD458" s="47">
        <f>IF(U458="",0,U458)</f>
        <v/>
      </c>
      <c r="AE458" s="87">
        <f>IF(OR(V458=1,W458=1),1,0)</f>
        <v/>
      </c>
      <c r="AF458" s="87" t="n">
        <v>0</v>
      </c>
      <c r="AG458" t="n">
        <v>7419</v>
      </c>
      <c r="AH458" t="n">
        <v>121180</v>
      </c>
      <c r="AI458" t="n">
        <v>0</v>
      </c>
      <c r="AJ458" s="88">
        <f>IF(OR(AG458&lt;=0,AH458&lt;=0),"",LN(AG458)-LN(AH458))</f>
        <v/>
      </c>
      <c r="AK458" t="n">
        <v>19542</v>
      </c>
      <c r="AL458" t="n">
        <v>109057</v>
      </c>
      <c r="AM458" s="88">
        <f>IF(OR(AK458&lt;=0,AL458&lt;=0),"",LN(AK458)-LN(AL458))</f>
        <v/>
      </c>
      <c r="AN458" t="n">
        <v>7266</v>
      </c>
      <c r="AO458" t="n">
        <v>116866</v>
      </c>
      <c r="AP458" s="88">
        <f>IF(OR(AN458&lt;=0,AO458&lt;=0),"",LN(AN458)-LN(AO458))</f>
        <v/>
      </c>
      <c r="AQ458" t="n">
        <v>7143</v>
      </c>
      <c r="AR458" t="n">
        <v>121180</v>
      </c>
      <c r="AS458" s="88">
        <f>IF(OR(AQ458&lt;=0,AR458&lt;=0),"",LN(AQ458)-LN(AR458))</f>
        <v/>
      </c>
      <c r="AT458" t="n">
        <v>7697</v>
      </c>
      <c r="AU458" t="n">
        <v>119977</v>
      </c>
      <c r="AV458" t="n">
        <v>922</v>
      </c>
      <c r="AW458" t="n">
        <v>740</v>
      </c>
      <c r="AX458" t="n">
        <v>6612</v>
      </c>
      <c r="AY458" s="88">
        <f>IF(OR(AT458&lt;=0,AU458&lt;=0),"",LN(AT458)-LN(AU458))</f>
        <v/>
      </c>
      <c r="AZ458" s="46" t="n">
        <v>10.2</v>
      </c>
      <c r="BA458" s="46" t="n">
        <v>22.77</v>
      </c>
      <c r="BB458" s="47" t="n">
        <v>0.6</v>
      </c>
    </row>
    <row r="459">
      <c r="A459" s="48" t="n">
        <v>45749</v>
      </c>
      <c r="B459" s="49" t="n">
        <v>113270</v>
      </c>
      <c r="C459" s="50" t="n">
        <v>31.56</v>
      </c>
      <c r="D459" s="51" t="inlineStr">
        <is>
          <t>Moderate</t>
        </is>
      </c>
      <c r="E459" s="52" t="n">
        <v>8.9</v>
      </c>
      <c r="F459" s="52" t="n">
        <v>0</v>
      </c>
      <c r="G459" s="51" t="inlineStr">
        <is>
          <t>Wed</t>
        </is>
      </c>
      <c r="H459" s="51" t="inlineStr">
        <is>
          <t>Weekday</t>
        </is>
      </c>
      <c r="I459" s="51" t="inlineStr">
        <is>
          <t>Spring</t>
        </is>
      </c>
      <c r="J459" s="51" t="n">
        <v>25</v>
      </c>
      <c r="K459" s="51" t="inlineStr">
        <is>
          <t>OK</t>
        </is>
      </c>
      <c r="L459" s="46" t="n">
        <v>50.6</v>
      </c>
      <c r="M459" t="inlineStr">
        <is>
          <t>Moderate</t>
        </is>
      </c>
      <c r="N459" s="87" t="n">
        <v>25</v>
      </c>
      <c r="O459" s="87" t="n">
        <v>0</v>
      </c>
      <c r="P459" s="87" t="n">
        <v>0</v>
      </c>
      <c r="Q459" s="87" t="n">
        <v>0</v>
      </c>
      <c r="R459" s="87" t="n">
        <v>0</v>
      </c>
      <c r="S459" s="47" t="n">
        <v>2.4</v>
      </c>
      <c r="T459" s="47" t="n">
        <v>55.4</v>
      </c>
      <c r="U459" s="47" t="n"/>
      <c r="V459" s="87" t="n">
        <v>0</v>
      </c>
      <c r="W459" s="87" t="n">
        <v>0</v>
      </c>
      <c r="Y459" t="inlineStr">
        <is>
          <t>Apr</t>
        </is>
      </c>
      <c r="Z459" s="87" t="n">
        <v>2025</v>
      </c>
      <c r="AA459" s="47">
        <f>IF(F459="",0,F459)</f>
        <v/>
      </c>
      <c r="AB459" s="87">
        <f>IF(AA459&gt;=0.1,1,0)</f>
        <v/>
      </c>
      <c r="AC459" s="87" t="n">
        <v>1</v>
      </c>
      <c r="AD459" s="47">
        <f>IF(U459="",0,U459)</f>
        <v/>
      </c>
      <c r="AE459" s="87">
        <f>IF(OR(V459=1,W459=1),1,0)</f>
        <v/>
      </c>
      <c r="AF459" s="87" t="n">
        <v>0</v>
      </c>
      <c r="AG459" t="n">
        <v>5544</v>
      </c>
      <c r="AH459" t="n">
        <v>107726</v>
      </c>
      <c r="AI459" t="n">
        <v>0</v>
      </c>
      <c r="AJ459" s="88">
        <f>IF(OR(AG459&lt;=0,AH459&lt;=0),"",LN(AG459)-LN(AH459))</f>
        <v/>
      </c>
      <c r="AK459" t="n">
        <v>16014</v>
      </c>
      <c r="AL459" t="n">
        <v>97256</v>
      </c>
      <c r="AM459" s="88">
        <f>IF(OR(AK459&lt;=0,AL459&lt;=0),"",LN(AK459)-LN(AL459))</f>
        <v/>
      </c>
      <c r="AN459" t="n">
        <v>5436</v>
      </c>
      <c r="AO459" t="n">
        <v>103922</v>
      </c>
      <c r="AP459" s="88">
        <f>IF(OR(AN459&lt;=0,AO459&lt;=0),"",LN(AN459)-LN(AO459))</f>
        <v/>
      </c>
      <c r="AQ459" t="n">
        <v>5356</v>
      </c>
      <c r="AR459" t="n">
        <v>107726</v>
      </c>
      <c r="AS459" s="88">
        <f>IF(OR(AQ459&lt;=0,AR459&lt;=0),"",LN(AQ459)-LN(AR459))</f>
        <v/>
      </c>
      <c r="AT459" t="n">
        <v>5910</v>
      </c>
      <c r="AU459" t="n">
        <v>106579</v>
      </c>
      <c r="AV459" t="n">
        <v>777</v>
      </c>
      <c r="AW459" t="n">
        <v>406</v>
      </c>
      <c r="AX459" t="n">
        <v>5095</v>
      </c>
      <c r="AY459" s="88">
        <f>IF(OR(AT459&lt;=0,AU459&lt;=0),"",LN(AT459)-LN(AU459))</f>
        <v/>
      </c>
      <c r="AZ459" s="46" t="n">
        <v>4.6</v>
      </c>
      <c r="BA459" s="46" t="n">
        <v>12.07</v>
      </c>
      <c r="BB459" s="47" t="n">
        <v>6.3</v>
      </c>
    </row>
    <row r="460">
      <c r="A460" s="48" t="n">
        <v>45750</v>
      </c>
      <c r="B460" s="49" t="n">
        <v>127763</v>
      </c>
      <c r="C460" s="50" t="n">
        <v>27.52</v>
      </c>
      <c r="D460" s="51" t="inlineStr">
        <is>
          <t>Moderate</t>
        </is>
      </c>
      <c r="E460" s="52" t="n">
        <v>9.800000000000001</v>
      </c>
      <c r="F460" s="52" t="n"/>
      <c r="G460" s="51" t="inlineStr">
        <is>
          <t>Thu</t>
        </is>
      </c>
      <c r="H460" s="51" t="inlineStr">
        <is>
          <t>Weekday</t>
        </is>
      </c>
      <c r="I460" s="51" t="inlineStr">
        <is>
          <t>Spring</t>
        </is>
      </c>
      <c r="J460" s="51" t="n">
        <v>25</v>
      </c>
      <c r="K460" s="51" t="inlineStr">
        <is>
          <t>강수량 공란</t>
        </is>
      </c>
      <c r="L460" s="46" t="n">
        <v>39.88</v>
      </c>
      <c r="M460" t="inlineStr">
        <is>
          <t>Moderate</t>
        </is>
      </c>
      <c r="N460" s="87" t="n">
        <v>25</v>
      </c>
      <c r="O460" s="87" t="n">
        <v>0</v>
      </c>
      <c r="P460" s="87" t="n">
        <v>0</v>
      </c>
      <c r="Q460" s="87" t="n">
        <v>0</v>
      </c>
      <c r="R460" s="87" t="n">
        <v>0</v>
      </c>
      <c r="S460" s="47" t="n">
        <v>2.4</v>
      </c>
      <c r="T460" s="47" t="n">
        <v>58.6</v>
      </c>
      <c r="U460" s="47" t="n"/>
      <c r="V460" s="87" t="n">
        <v>0</v>
      </c>
      <c r="W460" s="87" t="n">
        <v>0</v>
      </c>
      <c r="Y460" t="inlineStr">
        <is>
          <t>Apr</t>
        </is>
      </c>
      <c r="Z460" s="87" t="n">
        <v>2025</v>
      </c>
      <c r="AA460" s="47">
        <f>IF(F460="",0,F460)</f>
        <v/>
      </c>
      <c r="AB460" s="87">
        <f>IF(AA460&gt;=0.1,1,0)</f>
        <v/>
      </c>
      <c r="AC460" s="87" t="n">
        <v>0</v>
      </c>
      <c r="AD460" s="47">
        <f>IF(U460="",0,U460)</f>
        <v/>
      </c>
      <c r="AE460" s="87">
        <f>IF(OR(V460=1,W460=1),1,0)</f>
        <v/>
      </c>
      <c r="AF460" s="87" t="n">
        <v>0</v>
      </c>
      <c r="AG460" t="n">
        <v>6980</v>
      </c>
      <c r="AH460" t="n">
        <v>120783</v>
      </c>
      <c r="AI460" t="n">
        <v>0</v>
      </c>
      <c r="AJ460" s="88">
        <f>IF(OR(AG460&lt;=0,AH460&lt;=0),"",LN(AG460)-LN(AH460))</f>
        <v/>
      </c>
      <c r="AK460" t="n">
        <v>19089</v>
      </c>
      <c r="AL460" t="n">
        <v>108674</v>
      </c>
      <c r="AM460" s="88">
        <f>IF(OR(AK460&lt;=0,AL460&lt;=0),"",LN(AK460)-LN(AL460))</f>
        <v/>
      </c>
      <c r="AN460" t="n">
        <v>6849</v>
      </c>
      <c r="AO460" t="n">
        <v>116742</v>
      </c>
      <c r="AP460" s="88">
        <f>IF(OR(AN460&lt;=0,AO460&lt;=0),"",LN(AN460)-LN(AO460))</f>
        <v/>
      </c>
      <c r="AQ460" t="n">
        <v>6723</v>
      </c>
      <c r="AR460" t="n">
        <v>120783</v>
      </c>
      <c r="AS460" s="88">
        <f>IF(OR(AQ460&lt;=0,AR460&lt;=0),"",LN(AQ460)-LN(AR460))</f>
        <v/>
      </c>
      <c r="AT460" t="n">
        <v>7442</v>
      </c>
      <c r="AU460" t="n">
        <v>119265</v>
      </c>
      <c r="AV460" t="n">
        <v>1050</v>
      </c>
      <c r="AW460" t="n">
        <v>643</v>
      </c>
      <c r="AX460" t="n">
        <v>6250</v>
      </c>
      <c r="AY460" s="88">
        <f>IF(OR(AT460&lt;=0,AU460&lt;=0),"",LN(AT460)-LN(AU460))</f>
        <v/>
      </c>
      <c r="AZ460" s="46" t="n">
        <v>11.6</v>
      </c>
      <c r="BA460" s="46" t="n">
        <v>23.81</v>
      </c>
      <c r="BB460" s="47" t="n">
        <v>0.1</v>
      </c>
    </row>
    <row r="461">
      <c r="A461" s="48" t="n">
        <v>45751</v>
      </c>
      <c r="B461" s="49" t="n">
        <v>130771</v>
      </c>
      <c r="C461" s="50" t="n">
        <v>30.92</v>
      </c>
      <c r="D461" s="51" t="inlineStr">
        <is>
          <t>Moderate</t>
        </is>
      </c>
      <c r="E461" s="52" t="n">
        <v>10.6</v>
      </c>
      <c r="F461" s="52" t="n"/>
      <c r="G461" s="51" t="inlineStr">
        <is>
          <t>Fri</t>
        </is>
      </c>
      <c r="H461" s="51" t="inlineStr">
        <is>
          <t>Weekday</t>
        </is>
      </c>
      <c r="I461" s="51" t="inlineStr">
        <is>
          <t>Spring</t>
        </is>
      </c>
      <c r="J461" s="51" t="n">
        <v>25</v>
      </c>
      <c r="K461" s="51" t="inlineStr">
        <is>
          <t>강수량 공란</t>
        </is>
      </c>
      <c r="L461" s="46" t="n">
        <v>43.8</v>
      </c>
      <c r="M461" t="inlineStr">
        <is>
          <t>Moderate</t>
        </is>
      </c>
      <c r="N461" s="87" t="n">
        <v>25</v>
      </c>
      <c r="O461" s="87" t="n">
        <v>0</v>
      </c>
      <c r="P461" s="87" t="n">
        <v>0</v>
      </c>
      <c r="Q461" s="87" t="n">
        <v>0</v>
      </c>
      <c r="R461" s="87" t="n">
        <v>0</v>
      </c>
      <c r="S461" s="47" t="n">
        <v>2.2</v>
      </c>
      <c r="T461" s="47" t="n">
        <v>54.5</v>
      </c>
      <c r="U461" s="47" t="n"/>
      <c r="V461" s="87" t="n">
        <v>0</v>
      </c>
      <c r="W461" s="87" t="n">
        <v>0</v>
      </c>
      <c r="Y461" t="inlineStr">
        <is>
          <t>Apr</t>
        </is>
      </c>
      <c r="Z461" s="87" t="n">
        <v>2025</v>
      </c>
      <c r="AA461" s="47">
        <f>IF(F461="",0,F461)</f>
        <v/>
      </c>
      <c r="AB461" s="87">
        <f>IF(AA461&gt;=0.1,1,0)</f>
        <v/>
      </c>
      <c r="AC461" s="87" t="n">
        <v>0</v>
      </c>
      <c r="AD461" s="47">
        <f>IF(U461="",0,U461)</f>
        <v/>
      </c>
      <c r="AE461" s="87">
        <f>IF(OR(V461=1,W461=1),1,0)</f>
        <v/>
      </c>
      <c r="AF461" s="87" t="n">
        <v>0</v>
      </c>
      <c r="AG461" t="n">
        <v>7737</v>
      </c>
      <c r="AH461" t="n">
        <v>123034</v>
      </c>
      <c r="AI461" t="n">
        <v>0</v>
      </c>
      <c r="AJ461" s="88">
        <f>IF(OR(AG461&lt;=0,AH461&lt;=0),"",LN(AG461)-LN(AH461))</f>
        <v/>
      </c>
      <c r="AK461" t="n">
        <v>20247</v>
      </c>
      <c r="AL461" t="n">
        <v>110524</v>
      </c>
      <c r="AM461" s="88">
        <f>IF(OR(AK461&lt;=0,AL461&lt;=0),"",LN(AK461)-LN(AL461))</f>
        <v/>
      </c>
      <c r="AN461" t="n">
        <v>7619</v>
      </c>
      <c r="AO461" t="n">
        <v>118929</v>
      </c>
      <c r="AP461" s="88">
        <f>IF(OR(AN461&lt;=0,AO461&lt;=0),"",LN(AN461)-LN(AO461))</f>
        <v/>
      </c>
      <c r="AQ461" t="n">
        <v>7431</v>
      </c>
      <c r="AR461" t="n">
        <v>123034</v>
      </c>
      <c r="AS461" s="88">
        <f>IF(OR(AQ461&lt;=0,AR461&lt;=0),"",LN(AQ461)-LN(AR461))</f>
        <v/>
      </c>
      <c r="AT461" t="n">
        <v>7706</v>
      </c>
      <c r="AU461" t="n">
        <v>122155</v>
      </c>
      <c r="AV461" t="n">
        <v>910</v>
      </c>
      <c r="AW461" t="n">
        <v>773</v>
      </c>
      <c r="AX461" t="n">
        <v>6895</v>
      </c>
      <c r="AY461" s="88">
        <f>IF(OR(AT461&lt;=0,AU461&lt;=0),"",LN(AT461)-LN(AU461))</f>
        <v/>
      </c>
      <c r="AZ461" s="46" t="n">
        <v>10.4</v>
      </c>
      <c r="BA461" s="46" t="n">
        <v>23.53</v>
      </c>
      <c r="BB461" s="47" t="n">
        <v>2.1</v>
      </c>
    </row>
    <row r="462">
      <c r="A462" s="48" t="n">
        <v>45752</v>
      </c>
      <c r="B462" s="49" t="n">
        <v>17053</v>
      </c>
      <c r="C462" s="50" t="n">
        <v>19.04</v>
      </c>
      <c r="D462" s="51" t="inlineStr">
        <is>
          <t>Moderate</t>
        </is>
      </c>
      <c r="E462" s="52" t="n">
        <v>8</v>
      </c>
      <c r="F462" s="52" t="n">
        <v>22.8</v>
      </c>
      <c r="G462" s="51" t="inlineStr">
        <is>
          <t>Sat</t>
        </is>
      </c>
      <c r="H462" s="51" t="inlineStr">
        <is>
          <t>Weekend</t>
        </is>
      </c>
      <c r="I462" s="51" t="inlineStr">
        <is>
          <t>Spring</t>
        </is>
      </c>
      <c r="J462" s="51" t="n">
        <v>25</v>
      </c>
      <c r="K462" s="51" t="inlineStr">
        <is>
          <t>OK</t>
        </is>
      </c>
      <c r="L462" s="46" t="n">
        <v>27.08</v>
      </c>
      <c r="M462" t="inlineStr">
        <is>
          <t>Good</t>
        </is>
      </c>
      <c r="N462" s="87" t="n">
        <v>25</v>
      </c>
      <c r="O462" s="87" t="n">
        <v>0</v>
      </c>
      <c r="P462" s="87" t="n">
        <v>0</v>
      </c>
      <c r="Q462" s="87" t="n">
        <v>0</v>
      </c>
      <c r="R462" s="87" t="n">
        <v>0</v>
      </c>
      <c r="S462" s="47" t="n">
        <v>1.9</v>
      </c>
      <c r="T462" s="47" t="n">
        <v>86.09999999999999</v>
      </c>
      <c r="U462" s="47" t="n"/>
      <c r="V462" s="87" t="n">
        <v>1</v>
      </c>
      <c r="W462" s="87" t="n">
        <v>0</v>
      </c>
      <c r="Y462" t="inlineStr">
        <is>
          <t>Apr</t>
        </is>
      </c>
      <c r="Z462" s="87" t="n">
        <v>2025</v>
      </c>
      <c r="AA462" s="47">
        <f>IF(F462="",0,F462)</f>
        <v/>
      </c>
      <c r="AB462" s="87">
        <f>IF(AA462&gt;=0.1,1,0)</f>
        <v/>
      </c>
      <c r="AC462" s="87" t="n">
        <v>0</v>
      </c>
      <c r="AD462" s="47">
        <f>IF(U462="",0,U462)</f>
        <v/>
      </c>
      <c r="AE462" s="87">
        <f>IF(OR(V462=1,W462=1),1,0)</f>
        <v/>
      </c>
      <c r="AF462" s="87" t="n">
        <v>0</v>
      </c>
      <c r="AG462" t="n">
        <v>745</v>
      </c>
      <c r="AH462" t="n">
        <v>16308</v>
      </c>
      <c r="AI462" t="n">
        <v>0</v>
      </c>
      <c r="AJ462" s="88">
        <f>IF(OR(AG462&lt;=0,AH462&lt;=0),"",LN(AG462)-LN(AH462))</f>
        <v/>
      </c>
      <c r="AK462" t="n">
        <v>2238</v>
      </c>
      <c r="AL462" t="n">
        <v>14815</v>
      </c>
      <c r="AM462" s="88">
        <f>IF(OR(AK462&lt;=0,AL462&lt;=0),"",LN(AK462)-LN(AL462))</f>
        <v/>
      </c>
      <c r="AN462" t="n">
        <v>727</v>
      </c>
      <c r="AO462" t="n">
        <v>15738</v>
      </c>
      <c r="AP462" s="88">
        <f>IF(OR(AN462&lt;=0,AO462&lt;=0),"",LN(AN462)-LN(AO462))</f>
        <v/>
      </c>
      <c r="AQ462" t="n">
        <v>718</v>
      </c>
      <c r="AR462" t="n">
        <v>16308</v>
      </c>
      <c r="AS462" s="88">
        <f>IF(OR(AQ462&lt;=0,AR462&lt;=0),"",LN(AQ462)-LN(AR462))</f>
        <v/>
      </c>
      <c r="AT462" t="n">
        <v>1059</v>
      </c>
      <c r="AU462" t="n">
        <v>15891</v>
      </c>
      <c r="AV462" t="n">
        <v>103</v>
      </c>
      <c r="AW462" t="n">
        <v>61</v>
      </c>
      <c r="AX462" t="n">
        <v>675</v>
      </c>
      <c r="AY462" s="88">
        <f>IF(OR(AT462&lt;=0,AU462&lt;=0),"",LN(AT462)-LN(AU462))</f>
        <v/>
      </c>
      <c r="AZ462" s="46" t="n">
        <v>0</v>
      </c>
      <c r="BA462" s="46" t="n">
        <v>2.17</v>
      </c>
      <c r="BB462" s="47" t="n">
        <v>10</v>
      </c>
    </row>
    <row r="463">
      <c r="A463" s="48" t="n">
        <v>45753</v>
      </c>
      <c r="B463" s="49" t="n">
        <v>104881</v>
      </c>
      <c r="C463" s="50" t="n">
        <v>18.32</v>
      </c>
      <c r="D463" s="51" t="inlineStr">
        <is>
          <t>Moderate</t>
        </is>
      </c>
      <c r="E463" s="52" t="n">
        <v>10.3</v>
      </c>
      <c r="F463" s="52" t="n">
        <v>0</v>
      </c>
      <c r="G463" s="51" t="inlineStr">
        <is>
          <t>Sun</t>
        </is>
      </c>
      <c r="H463" s="51" t="inlineStr">
        <is>
          <t>Weekend</t>
        </is>
      </c>
      <c r="I463" s="51" t="inlineStr">
        <is>
          <t>Spring</t>
        </is>
      </c>
      <c r="J463" s="51" t="n">
        <v>25</v>
      </c>
      <c r="K463" s="51" t="inlineStr">
        <is>
          <t>OK</t>
        </is>
      </c>
      <c r="L463" s="46" t="n">
        <v>32.4</v>
      </c>
      <c r="M463" t="inlineStr">
        <is>
          <t>Moderate</t>
        </is>
      </c>
      <c r="N463" s="87" t="n">
        <v>25</v>
      </c>
      <c r="O463" s="87" t="n">
        <v>0</v>
      </c>
      <c r="P463" s="87" t="n">
        <v>0</v>
      </c>
      <c r="Q463" s="87" t="n">
        <v>0</v>
      </c>
      <c r="R463" s="87" t="n">
        <v>0</v>
      </c>
      <c r="S463" s="47" t="n">
        <v>2.8</v>
      </c>
      <c r="T463" s="47" t="n">
        <v>67.3</v>
      </c>
      <c r="U463" s="47" t="n"/>
      <c r="V463" s="87" t="n">
        <v>1</v>
      </c>
      <c r="W463" s="87" t="n">
        <v>0</v>
      </c>
      <c r="Y463" t="inlineStr">
        <is>
          <t>Apr</t>
        </is>
      </c>
      <c r="Z463" s="87" t="n">
        <v>2025</v>
      </c>
      <c r="AA463" s="47">
        <f>IF(F463="",0,F463)</f>
        <v/>
      </c>
      <c r="AB463" s="87">
        <f>IF(AA463&gt;=0.1,1,0)</f>
        <v/>
      </c>
      <c r="AC463" s="87" t="n">
        <v>1</v>
      </c>
      <c r="AD463" s="47">
        <f>IF(U463="",0,U463)</f>
        <v/>
      </c>
      <c r="AE463" s="87">
        <f>IF(OR(V463=1,W463=1),1,0)</f>
        <v/>
      </c>
      <c r="AF463" s="87" t="n">
        <v>0</v>
      </c>
      <c r="AG463" t="n">
        <v>10237</v>
      </c>
      <c r="AH463" t="n">
        <v>94644</v>
      </c>
      <c r="AI463" t="n">
        <v>0</v>
      </c>
      <c r="AJ463" s="88">
        <f>IF(OR(AG463&lt;=0,AH463&lt;=0),"",LN(AG463)-LN(AH463))</f>
        <v/>
      </c>
      <c r="AK463" t="n">
        <v>21170</v>
      </c>
      <c r="AL463" t="n">
        <v>83711</v>
      </c>
      <c r="AM463" s="88">
        <f>IF(OR(AK463&lt;=0,AL463&lt;=0),"",LN(AK463)-LN(AL463))</f>
        <v/>
      </c>
      <c r="AN463" t="n">
        <v>10061</v>
      </c>
      <c r="AO463" t="n">
        <v>91568</v>
      </c>
      <c r="AP463" s="88">
        <f>IF(OR(AN463&lt;=0,AO463&lt;=0),"",LN(AN463)-LN(AO463))</f>
        <v/>
      </c>
      <c r="AQ463" t="n">
        <v>9728</v>
      </c>
      <c r="AR463" t="n">
        <v>94644</v>
      </c>
      <c r="AS463" s="88">
        <f>IF(OR(AQ463&lt;=0,AR463&lt;=0),"",LN(AQ463)-LN(AR463))</f>
        <v/>
      </c>
      <c r="AT463" t="n">
        <v>10653</v>
      </c>
      <c r="AU463" t="n">
        <v>93419</v>
      </c>
      <c r="AV463" t="n">
        <v>806</v>
      </c>
      <c r="AW463" t="n">
        <v>1767</v>
      </c>
      <c r="AX463" t="n">
        <v>8346</v>
      </c>
      <c r="AY463" s="88">
        <f>IF(OR(AT463&lt;=0,AU463&lt;=0),"",LN(AT463)-LN(AU463))</f>
        <v/>
      </c>
      <c r="AZ463" s="46" t="n">
        <v>9.6</v>
      </c>
      <c r="BA463" s="46" t="n">
        <v>22.7</v>
      </c>
      <c r="BB463" s="47" t="n">
        <v>3.1</v>
      </c>
    </row>
    <row r="464">
      <c r="A464" s="48" t="n">
        <v>45754</v>
      </c>
      <c r="B464" s="49" t="n">
        <v>139288</v>
      </c>
      <c r="C464" s="50" t="n">
        <v>27.8</v>
      </c>
      <c r="D464" s="51" t="inlineStr">
        <is>
          <t>Moderate</t>
        </is>
      </c>
      <c r="E464" s="52" t="n">
        <v>13.5</v>
      </c>
      <c r="F464" s="52" t="n"/>
      <c r="G464" s="51" t="inlineStr">
        <is>
          <t>Mon</t>
        </is>
      </c>
      <c r="H464" s="51" t="inlineStr">
        <is>
          <t>Weekday</t>
        </is>
      </c>
      <c r="I464" s="51" t="inlineStr">
        <is>
          <t>Spring</t>
        </is>
      </c>
      <c r="J464" s="51" t="n">
        <v>25</v>
      </c>
      <c r="K464" s="51" t="inlineStr">
        <is>
          <t>강수량 공란</t>
        </is>
      </c>
      <c r="L464" s="46" t="n">
        <v>54.28</v>
      </c>
      <c r="M464" t="inlineStr">
        <is>
          <t>Moderate</t>
        </is>
      </c>
      <c r="N464" s="87" t="n">
        <v>25</v>
      </c>
      <c r="O464" s="87" t="n">
        <v>0</v>
      </c>
      <c r="P464" s="87" t="n">
        <v>0</v>
      </c>
      <c r="Q464" s="87" t="n">
        <v>0</v>
      </c>
      <c r="R464" s="87" t="n">
        <v>0</v>
      </c>
      <c r="S464" s="47" t="n">
        <v>2.7</v>
      </c>
      <c r="T464" s="47" t="n">
        <v>54.5</v>
      </c>
      <c r="U464" s="47" t="n"/>
      <c r="V464" s="87" t="n">
        <v>0</v>
      </c>
      <c r="W464" s="87" t="n">
        <v>0</v>
      </c>
      <c r="Y464" t="inlineStr">
        <is>
          <t>Apr</t>
        </is>
      </c>
      <c r="Z464" s="87" t="n">
        <v>2025</v>
      </c>
      <c r="AA464" s="47">
        <f>IF(F464="",0,F464)</f>
        <v/>
      </c>
      <c r="AB464" s="87">
        <f>IF(AA464&gt;=0.1,1,0)</f>
        <v/>
      </c>
      <c r="AC464" s="87" t="n">
        <v>0</v>
      </c>
      <c r="AD464" s="47">
        <f>IF(U464="",0,U464)</f>
        <v/>
      </c>
      <c r="AE464" s="87">
        <f>IF(OR(V464=1,W464=1),1,0)</f>
        <v/>
      </c>
      <c r="AF464" s="87" t="n">
        <v>0</v>
      </c>
      <c r="AG464" t="n">
        <v>8754</v>
      </c>
      <c r="AH464" t="n">
        <v>130534</v>
      </c>
      <c r="AI464" t="n">
        <v>0</v>
      </c>
      <c r="AJ464" s="88">
        <f>IF(OR(AG464&lt;=0,AH464&lt;=0),"",LN(AG464)-LN(AH464))</f>
        <v/>
      </c>
      <c r="AK464" t="n">
        <v>22227</v>
      </c>
      <c r="AL464" t="n">
        <v>117061</v>
      </c>
      <c r="AM464" s="88">
        <f>IF(OR(AK464&lt;=0,AL464&lt;=0),"",LN(AK464)-LN(AL464))</f>
        <v/>
      </c>
      <c r="AN464" t="n">
        <v>8614</v>
      </c>
      <c r="AO464" t="n">
        <v>126119</v>
      </c>
      <c r="AP464" s="88">
        <f>IF(OR(AN464&lt;=0,AO464&lt;=0),"",LN(AN464)-LN(AO464))</f>
        <v/>
      </c>
      <c r="AQ464" t="n">
        <v>8435</v>
      </c>
      <c r="AR464" t="n">
        <v>130534</v>
      </c>
      <c r="AS464" s="88">
        <f>IF(OR(AQ464&lt;=0,AR464&lt;=0),"",LN(AQ464)-LN(AR464))</f>
        <v/>
      </c>
      <c r="AT464" t="n">
        <v>8731</v>
      </c>
      <c r="AU464" t="n">
        <v>129542</v>
      </c>
      <c r="AV464" t="n">
        <v>1015</v>
      </c>
      <c r="AW464" t="n">
        <v>952</v>
      </c>
      <c r="AX464" t="n">
        <v>7701</v>
      </c>
      <c r="AY464" s="88">
        <f>IF(OR(AT464&lt;=0,AU464&lt;=0),"",LN(AT464)-LN(AU464))</f>
        <v/>
      </c>
      <c r="AZ464" s="46" t="n">
        <v>11.3</v>
      </c>
      <c r="BA464" s="46" t="n">
        <v>23.67</v>
      </c>
      <c r="BB464" s="47" t="n">
        <v>0.9</v>
      </c>
    </row>
    <row r="465">
      <c r="A465" s="48" t="n">
        <v>45755</v>
      </c>
      <c r="B465" s="49" t="n">
        <v>147585</v>
      </c>
      <c r="C465" s="50" t="n">
        <v>29.48</v>
      </c>
      <c r="D465" s="51" t="inlineStr">
        <is>
          <t>Moderate</t>
        </is>
      </c>
      <c r="E465" s="52" t="n">
        <v>13.8</v>
      </c>
      <c r="F465" s="52" t="n"/>
      <c r="G465" s="51" t="inlineStr">
        <is>
          <t>Tue</t>
        </is>
      </c>
      <c r="H465" s="51" t="inlineStr">
        <is>
          <t>Weekday</t>
        </is>
      </c>
      <c r="I465" s="51" t="inlineStr">
        <is>
          <t>Spring</t>
        </is>
      </c>
      <c r="J465" s="51" t="n">
        <v>25</v>
      </c>
      <c r="K465" s="51" t="inlineStr">
        <is>
          <t>강수량 공란</t>
        </is>
      </c>
      <c r="L465" s="46" t="n">
        <v>66.84</v>
      </c>
      <c r="M465" t="inlineStr">
        <is>
          <t>Moderate</t>
        </is>
      </c>
      <c r="N465" s="87" t="n">
        <v>25</v>
      </c>
      <c r="O465" s="87" t="n">
        <v>0</v>
      </c>
      <c r="P465" s="87" t="n">
        <v>0</v>
      </c>
      <c r="Q465" s="87" t="n">
        <v>0</v>
      </c>
      <c r="R465" s="87" t="n">
        <v>0</v>
      </c>
      <c r="S465" s="47" t="n">
        <v>3.1</v>
      </c>
      <c r="T465" s="47" t="n">
        <v>55</v>
      </c>
      <c r="U465" s="47" t="n"/>
      <c r="V465" s="87" t="n">
        <v>0</v>
      </c>
      <c r="W465" s="87" t="n">
        <v>0</v>
      </c>
      <c r="Y465" t="inlineStr">
        <is>
          <t>Apr</t>
        </is>
      </c>
      <c r="Z465" s="87" t="n">
        <v>2025</v>
      </c>
      <c r="AA465" s="47">
        <f>IF(F465="",0,F465)</f>
        <v/>
      </c>
      <c r="AB465" s="87">
        <f>IF(AA465&gt;=0.1,1,0)</f>
        <v/>
      </c>
      <c r="AC465" s="87" t="n">
        <v>0</v>
      </c>
      <c r="AD465" s="47">
        <f>IF(U465="",0,U465)</f>
        <v/>
      </c>
      <c r="AE465" s="87">
        <f>IF(OR(V465=1,W465=1),1,0)</f>
        <v/>
      </c>
      <c r="AF465" s="87" t="n">
        <v>0</v>
      </c>
      <c r="AG465" t="n">
        <v>9291</v>
      </c>
      <c r="AH465" t="n">
        <v>138294</v>
      </c>
      <c r="AI465" t="n">
        <v>0</v>
      </c>
      <c r="AJ465" s="88">
        <f>IF(OR(AG465&lt;=0,AH465&lt;=0),"",LN(AG465)-LN(AH465))</f>
        <v/>
      </c>
      <c r="AK465" t="n">
        <v>23495</v>
      </c>
      <c r="AL465" t="n">
        <v>124090</v>
      </c>
      <c r="AM465" s="88">
        <f>IF(OR(AK465&lt;=0,AL465&lt;=0),"",LN(AK465)-LN(AL465))</f>
        <v/>
      </c>
      <c r="AN465" t="n">
        <v>9163</v>
      </c>
      <c r="AO465" t="n">
        <v>133459</v>
      </c>
      <c r="AP465" s="88">
        <f>IF(OR(AN465&lt;=0,AO465&lt;=0),"",LN(AN465)-LN(AO465))</f>
        <v/>
      </c>
      <c r="AQ465" t="n">
        <v>8954</v>
      </c>
      <c r="AR465" t="n">
        <v>138294</v>
      </c>
      <c r="AS465" s="88">
        <f>IF(OR(AQ465&lt;=0,AR465&lt;=0),"",LN(AQ465)-LN(AR465))</f>
        <v/>
      </c>
      <c r="AT465" t="n">
        <v>9001</v>
      </c>
      <c r="AU465" t="n">
        <v>137528</v>
      </c>
      <c r="AV465" t="n">
        <v>1053</v>
      </c>
      <c r="AW465" t="n">
        <v>925</v>
      </c>
      <c r="AX465" t="n">
        <v>8286</v>
      </c>
      <c r="AY465" s="88">
        <f>IF(OR(AT465&lt;=0,AU465&lt;=0),"",LN(AT465)-LN(AU465))</f>
        <v/>
      </c>
      <c r="AZ465" s="46" t="n">
        <v>9.199999999999999</v>
      </c>
      <c r="BA465" s="46" t="n">
        <v>23.34</v>
      </c>
      <c r="BB465" s="47" t="n">
        <v>3.5</v>
      </c>
    </row>
    <row r="466">
      <c r="A466" s="48" t="n">
        <v>45756</v>
      </c>
      <c r="B466" s="49" t="n">
        <v>124364</v>
      </c>
      <c r="C466" s="50" t="n">
        <v>25.44</v>
      </c>
      <c r="D466" s="51" t="inlineStr">
        <is>
          <t>Moderate</t>
        </is>
      </c>
      <c r="E466" s="52" t="n">
        <v>12.7</v>
      </c>
      <c r="F466" s="52" t="n">
        <v>0.8</v>
      </c>
      <c r="G466" s="51" t="inlineStr">
        <is>
          <t>Wed</t>
        </is>
      </c>
      <c r="H466" s="51" t="inlineStr">
        <is>
          <t>Weekday</t>
        </is>
      </c>
      <c r="I466" s="51" t="inlineStr">
        <is>
          <t>Spring</t>
        </is>
      </c>
      <c r="J466" s="51" t="n">
        <v>25</v>
      </c>
      <c r="K466" s="51" t="inlineStr">
        <is>
          <t>OK</t>
        </is>
      </c>
      <c r="L466" s="46" t="n">
        <v>47.48</v>
      </c>
      <c r="M466" t="inlineStr">
        <is>
          <t>Moderate</t>
        </is>
      </c>
      <c r="N466" s="87" t="n">
        <v>25</v>
      </c>
      <c r="O466" s="87" t="n">
        <v>0</v>
      </c>
      <c r="P466" s="87" t="n">
        <v>0</v>
      </c>
      <c r="Q466" s="87" t="n">
        <v>0</v>
      </c>
      <c r="R466" s="87" t="n">
        <v>0</v>
      </c>
      <c r="S466" s="47" t="n">
        <v>2</v>
      </c>
      <c r="T466" s="47" t="n">
        <v>51.6</v>
      </c>
      <c r="U466" s="47" t="n"/>
      <c r="V466" s="87" t="n">
        <v>0</v>
      </c>
      <c r="W466" s="87" t="n">
        <v>0</v>
      </c>
      <c r="Y466" t="inlineStr">
        <is>
          <t>Apr</t>
        </is>
      </c>
      <c r="Z466" s="87" t="n">
        <v>2025</v>
      </c>
      <c r="AA466" s="47">
        <f>IF(F466="",0,F466)</f>
        <v/>
      </c>
      <c r="AB466" s="87">
        <f>IF(AA466&gt;=0.1,1,0)</f>
        <v/>
      </c>
      <c r="AC466" s="87" t="n">
        <v>0</v>
      </c>
      <c r="AD466" s="47">
        <f>IF(U466="",0,U466)</f>
        <v/>
      </c>
      <c r="AE466" s="87">
        <f>IF(OR(V466=1,W466=1),1,0)</f>
        <v/>
      </c>
      <c r="AF466" s="87" t="n">
        <v>0</v>
      </c>
      <c r="AG466" t="n">
        <v>6715</v>
      </c>
      <c r="AH466" t="n">
        <v>117649</v>
      </c>
      <c r="AI466" t="n">
        <v>0</v>
      </c>
      <c r="AJ466" s="88">
        <f>IF(OR(AG466&lt;=0,AH466&lt;=0),"",LN(AG466)-LN(AH466))</f>
        <v/>
      </c>
      <c r="AK466" t="n">
        <v>18258</v>
      </c>
      <c r="AL466" t="n">
        <v>106106</v>
      </c>
      <c r="AM466" s="88">
        <f>IF(OR(AK466&lt;=0,AL466&lt;=0),"",LN(AK466)-LN(AL466))</f>
        <v/>
      </c>
      <c r="AN466" t="n">
        <v>6617</v>
      </c>
      <c r="AO466" t="n">
        <v>113466</v>
      </c>
      <c r="AP466" s="88">
        <f>IF(OR(AN466&lt;=0,AO466&lt;=0),"",LN(AN466)-LN(AO466))</f>
        <v/>
      </c>
      <c r="AQ466" t="n">
        <v>6463</v>
      </c>
      <c r="AR466" t="n">
        <v>117649</v>
      </c>
      <c r="AS466" s="88">
        <f>IF(OR(AQ466&lt;=0,AR466&lt;=0),"",LN(AQ466)-LN(AR466))</f>
        <v/>
      </c>
      <c r="AT466" t="n">
        <v>7064</v>
      </c>
      <c r="AU466" t="n">
        <v>116520</v>
      </c>
      <c r="AV466" t="n">
        <v>783</v>
      </c>
      <c r="AW466" t="n">
        <v>585</v>
      </c>
      <c r="AX466" t="n">
        <v>6088</v>
      </c>
      <c r="AY466" s="88">
        <f>IF(OR(AT466&lt;=0,AU466&lt;=0),"",LN(AT466)-LN(AU466))</f>
        <v/>
      </c>
      <c r="AZ466" s="46" t="n">
        <v>2.2</v>
      </c>
      <c r="BA466" s="46" t="n">
        <v>12.49</v>
      </c>
      <c r="BB466" s="47" t="n">
        <v>9</v>
      </c>
    </row>
    <row r="467">
      <c r="A467" s="48" t="n">
        <v>45757</v>
      </c>
      <c r="B467" s="49" t="n">
        <v>149693</v>
      </c>
      <c r="C467" s="50" t="n">
        <v>30.88</v>
      </c>
      <c r="D467" s="51" t="inlineStr">
        <is>
          <t>Moderate</t>
        </is>
      </c>
      <c r="E467" s="52" t="n">
        <v>13.2</v>
      </c>
      <c r="F467" s="52" t="n">
        <v>0</v>
      </c>
      <c r="G467" s="51" t="inlineStr">
        <is>
          <t>Thu</t>
        </is>
      </c>
      <c r="H467" s="51" t="inlineStr">
        <is>
          <t>Weekday</t>
        </is>
      </c>
      <c r="I467" s="51" t="inlineStr">
        <is>
          <t>Spring</t>
        </is>
      </c>
      <c r="J467" s="51" t="n">
        <v>25</v>
      </c>
      <c r="K467" s="51" t="inlineStr">
        <is>
          <t>OK</t>
        </is>
      </c>
      <c r="L467" s="46" t="n">
        <v>46.36</v>
      </c>
      <c r="M467" t="inlineStr">
        <is>
          <t>Moderate</t>
        </is>
      </c>
      <c r="N467" s="87" t="n">
        <v>25</v>
      </c>
      <c r="O467" s="87" t="n">
        <v>0</v>
      </c>
      <c r="P467" s="87" t="n">
        <v>0</v>
      </c>
      <c r="Q467" s="87" t="n">
        <v>0</v>
      </c>
      <c r="R467" s="87" t="n">
        <v>0</v>
      </c>
      <c r="S467" s="47" t="n">
        <v>2.2</v>
      </c>
      <c r="T467" s="47" t="n">
        <v>60.6</v>
      </c>
      <c r="U467" s="47" t="n"/>
      <c r="V467" s="87" t="n">
        <v>0</v>
      </c>
      <c r="W467" s="87" t="n">
        <v>0</v>
      </c>
      <c r="Y467" t="inlineStr">
        <is>
          <t>Apr</t>
        </is>
      </c>
      <c r="Z467" s="87" t="n">
        <v>2025</v>
      </c>
      <c r="AA467" s="47">
        <f>IF(F467="",0,F467)</f>
        <v/>
      </c>
      <c r="AB467" s="87">
        <f>IF(AA467&gt;=0.1,1,0)</f>
        <v/>
      </c>
      <c r="AC467" s="87" t="n">
        <v>1</v>
      </c>
      <c r="AD467" s="47">
        <f>IF(U467="",0,U467)</f>
        <v/>
      </c>
      <c r="AE467" s="87">
        <f>IF(OR(V467=1,W467=1),1,0)</f>
        <v/>
      </c>
      <c r="AF467" s="87" t="n">
        <v>0</v>
      </c>
      <c r="AG467" t="n">
        <v>9097</v>
      </c>
      <c r="AH467" t="n">
        <v>140596</v>
      </c>
      <c r="AI467" t="n">
        <v>0</v>
      </c>
      <c r="AJ467" s="88">
        <f>IF(OR(AG467&lt;=0,AH467&lt;=0),"",LN(AG467)-LN(AH467))</f>
        <v/>
      </c>
      <c r="AK467" t="n">
        <v>23321</v>
      </c>
      <c r="AL467" t="n">
        <v>126372</v>
      </c>
      <c r="AM467" s="88">
        <f>IF(OR(AK467&lt;=0,AL467&lt;=0),"",LN(AK467)-LN(AL467))</f>
        <v/>
      </c>
      <c r="AN467" t="n">
        <v>8980</v>
      </c>
      <c r="AO467" t="n">
        <v>135440</v>
      </c>
      <c r="AP467" s="88">
        <f>IF(OR(AN467&lt;=0,AO467&lt;=0),"",LN(AN467)-LN(AO467))</f>
        <v/>
      </c>
      <c r="AQ467" t="n">
        <v>8734</v>
      </c>
      <c r="AR467" t="n">
        <v>140596</v>
      </c>
      <c r="AS467" s="88">
        <f>IF(OR(AQ467&lt;=0,AR467&lt;=0),"",LN(AQ467)-LN(AR467))</f>
        <v/>
      </c>
      <c r="AT467" t="n">
        <v>8986</v>
      </c>
      <c r="AU467" t="n">
        <v>139684</v>
      </c>
      <c r="AV467" t="n">
        <v>1022</v>
      </c>
      <c r="AW467" t="n">
        <v>872</v>
      </c>
      <c r="AX467" t="n">
        <v>8166</v>
      </c>
      <c r="AY467" s="88">
        <f>IF(OR(AT467&lt;=0,AU467&lt;=0),"",LN(AT467)-LN(AU467))</f>
        <v/>
      </c>
      <c r="AZ467" s="46" t="n">
        <v>9.699999999999999</v>
      </c>
      <c r="BA467" s="46" t="n">
        <v>22.16</v>
      </c>
      <c r="BB467" s="47" t="n">
        <v>2</v>
      </c>
    </row>
    <row r="468">
      <c r="A468" s="48" t="n">
        <v>45758</v>
      </c>
      <c r="B468" s="49" t="n">
        <v>167343</v>
      </c>
      <c r="C468" s="50" t="n">
        <v>37.32</v>
      </c>
      <c r="D468" s="51" t="inlineStr">
        <is>
          <t>Bad</t>
        </is>
      </c>
      <c r="E468" s="52" t="n">
        <v>16.2</v>
      </c>
      <c r="F468" s="52" t="n"/>
      <c r="G468" s="51" t="inlineStr">
        <is>
          <t>Fri</t>
        </is>
      </c>
      <c r="H468" s="51" t="inlineStr">
        <is>
          <t>Weekday</t>
        </is>
      </c>
      <c r="I468" s="51" t="inlineStr">
        <is>
          <t>Spring</t>
        </is>
      </c>
      <c r="J468" s="51" t="n">
        <v>25</v>
      </c>
      <c r="K468" s="51" t="inlineStr">
        <is>
          <t>강수량 공란</t>
        </is>
      </c>
      <c r="L468" s="46" t="n">
        <v>55.76</v>
      </c>
      <c r="M468" t="inlineStr">
        <is>
          <t>Moderate</t>
        </is>
      </c>
      <c r="N468" s="87" t="n">
        <v>25</v>
      </c>
      <c r="O468" s="87" t="n">
        <v>0</v>
      </c>
      <c r="P468" s="87" t="n">
        <v>0</v>
      </c>
      <c r="Q468" s="87" t="n">
        <v>0</v>
      </c>
      <c r="R468" s="87" t="n">
        <v>0</v>
      </c>
      <c r="S468" s="47" t="n">
        <v>2</v>
      </c>
      <c r="T468" s="47" t="n">
        <v>51.8</v>
      </c>
      <c r="U468" s="47" t="n"/>
      <c r="V468" s="87" t="n">
        <v>0</v>
      </c>
      <c r="W468" s="87" t="n">
        <v>0</v>
      </c>
      <c r="Y468" t="inlineStr">
        <is>
          <t>Apr</t>
        </is>
      </c>
      <c r="Z468" s="87" t="n">
        <v>2025</v>
      </c>
      <c r="AA468" s="47">
        <f>IF(F468="",0,F468)</f>
        <v/>
      </c>
      <c r="AB468" s="87">
        <f>IF(AA468&gt;=0.1,1,0)</f>
        <v/>
      </c>
      <c r="AC468" s="87" t="n">
        <v>0</v>
      </c>
      <c r="AD468" s="47">
        <f>IF(U468="",0,U468)</f>
        <v/>
      </c>
      <c r="AE468" s="87">
        <f>IF(OR(V468=1,W468=1),1,0)</f>
        <v/>
      </c>
      <c r="AF468" s="87" t="n">
        <v>0</v>
      </c>
      <c r="AG468" t="n">
        <v>12533</v>
      </c>
      <c r="AH468" t="n">
        <v>154810</v>
      </c>
      <c r="AI468" t="n">
        <v>0</v>
      </c>
      <c r="AJ468" s="88">
        <f>IF(OR(AG468&lt;=0,AH468&lt;=0),"",LN(AG468)-LN(AH468))</f>
        <v/>
      </c>
      <c r="AK468" t="n">
        <v>29335</v>
      </c>
      <c r="AL468" t="n">
        <v>138008</v>
      </c>
      <c r="AM468" s="88">
        <f>IF(OR(AK468&lt;=0,AL468&lt;=0),"",LN(AK468)-LN(AL468))</f>
        <v/>
      </c>
      <c r="AN468" t="n">
        <v>12333</v>
      </c>
      <c r="AO468" t="n">
        <v>149353</v>
      </c>
      <c r="AP468" s="88">
        <f>IF(OR(AN468&lt;=0,AO468&lt;=0),"",LN(AN468)-LN(AO468))</f>
        <v/>
      </c>
      <c r="AQ468" t="n">
        <v>12004</v>
      </c>
      <c r="AR468" t="n">
        <v>154810</v>
      </c>
      <c r="AS468" s="88">
        <f>IF(OR(AQ468&lt;=0,AR468&lt;=0),"",LN(AQ468)-LN(AR468))</f>
        <v/>
      </c>
      <c r="AT468" t="n">
        <v>11204</v>
      </c>
      <c r="AU468" t="n">
        <v>154895</v>
      </c>
      <c r="AV468" t="n">
        <v>1247</v>
      </c>
      <c r="AW468" t="n">
        <v>1394</v>
      </c>
      <c r="AX468" t="n">
        <v>11025</v>
      </c>
      <c r="AY468" s="88">
        <f>IF(OR(AT468&lt;=0,AU468&lt;=0),"",LN(AT468)-LN(AU468))</f>
        <v/>
      </c>
      <c r="AZ468" s="46" t="n">
        <v>11.8</v>
      </c>
      <c r="BA468" s="46" t="n">
        <v>25.16</v>
      </c>
      <c r="BB468" s="47" t="n">
        <v>1.9</v>
      </c>
    </row>
    <row r="469">
      <c r="A469" s="48" t="n">
        <v>45759</v>
      </c>
      <c r="B469" s="49" t="n">
        <v>53027</v>
      </c>
      <c r="C469" s="50" t="n">
        <v>22.28</v>
      </c>
      <c r="D469" s="51" t="inlineStr">
        <is>
          <t>Moderate</t>
        </is>
      </c>
      <c r="E469" s="52" t="n">
        <v>12.9</v>
      </c>
      <c r="F469" s="52" t="n">
        <v>15.4</v>
      </c>
      <c r="G469" s="51" t="inlineStr">
        <is>
          <t>Sat</t>
        </is>
      </c>
      <c r="H469" s="51" t="inlineStr">
        <is>
          <t>Weekend</t>
        </is>
      </c>
      <c r="I469" s="51" t="inlineStr">
        <is>
          <t>Spring</t>
        </is>
      </c>
      <c r="J469" s="51" t="n">
        <v>25</v>
      </c>
      <c r="K469" s="51" t="inlineStr">
        <is>
          <t>OK</t>
        </is>
      </c>
      <c r="L469" s="46" t="n">
        <v>36.8</v>
      </c>
      <c r="M469" t="inlineStr">
        <is>
          <t>Moderate</t>
        </is>
      </c>
      <c r="N469" s="87" t="n">
        <v>25</v>
      </c>
      <c r="O469" s="87" t="n">
        <v>0</v>
      </c>
      <c r="P469" s="87" t="n">
        <v>0</v>
      </c>
      <c r="Q469" s="87" t="n">
        <v>0</v>
      </c>
      <c r="R469" s="87" t="n">
        <v>0</v>
      </c>
      <c r="S469" s="47" t="n">
        <v>3.1</v>
      </c>
      <c r="T469" s="47" t="n">
        <v>66.5</v>
      </c>
      <c r="U469" s="47" t="n">
        <v>0.2</v>
      </c>
      <c r="V469" s="87" t="n">
        <v>1</v>
      </c>
      <c r="W469" s="87" t="n">
        <v>0</v>
      </c>
      <c r="Y469" t="inlineStr">
        <is>
          <t>Apr</t>
        </is>
      </c>
      <c r="Z469" s="87" t="n">
        <v>2025</v>
      </c>
      <c r="AA469" s="47">
        <f>IF(F469="",0,F469)</f>
        <v/>
      </c>
      <c r="AB469" s="87">
        <f>IF(AA469&gt;=0.1,1,0)</f>
        <v/>
      </c>
      <c r="AC469" s="87" t="n">
        <v>0</v>
      </c>
      <c r="AD469" s="47">
        <f>IF(U469="",0,U469)</f>
        <v/>
      </c>
      <c r="AE469" s="87">
        <f>IF(OR(V469=1,W469=1),1,0)</f>
        <v/>
      </c>
      <c r="AF469" s="87" t="n">
        <v>0</v>
      </c>
      <c r="AG469" t="n">
        <v>3349</v>
      </c>
      <c r="AH469" t="n">
        <v>49678</v>
      </c>
      <c r="AI469" t="n">
        <v>0</v>
      </c>
      <c r="AJ469" s="88">
        <f>IF(OR(AG469&lt;=0,AH469&lt;=0),"",LN(AG469)-LN(AH469))</f>
        <v/>
      </c>
      <c r="AK469" t="n">
        <v>8248</v>
      </c>
      <c r="AL469" t="n">
        <v>44779</v>
      </c>
      <c r="AM469" s="88">
        <f>IF(OR(AK469&lt;=0,AL469&lt;=0),"",LN(AK469)-LN(AL469))</f>
        <v/>
      </c>
      <c r="AN469" t="n">
        <v>3304</v>
      </c>
      <c r="AO469" t="n">
        <v>47945</v>
      </c>
      <c r="AP469" s="88">
        <f>IF(OR(AN469&lt;=0,AO469&lt;=0),"",LN(AN469)-LN(AO469))</f>
        <v/>
      </c>
      <c r="AQ469" t="n">
        <v>3208</v>
      </c>
      <c r="AR469" t="n">
        <v>49678</v>
      </c>
      <c r="AS469" s="88">
        <f>IF(OR(AQ469&lt;=0,AR469&lt;=0),"",LN(AQ469)-LN(AR469))</f>
        <v/>
      </c>
      <c r="AT469" t="n">
        <v>4363</v>
      </c>
      <c r="AU469" t="n">
        <v>48299</v>
      </c>
      <c r="AV469" t="n">
        <v>365</v>
      </c>
      <c r="AW469" t="n">
        <v>434</v>
      </c>
      <c r="AX469" t="n">
        <v>2888</v>
      </c>
      <c r="AY469" s="88">
        <f>IF(OR(AT469&lt;=0,AU469&lt;=0),"",LN(AT469)-LN(AU469))</f>
        <v/>
      </c>
      <c r="AZ469" s="46" t="n">
        <v>1.5</v>
      </c>
      <c r="BA469" s="46" t="n">
        <v>8.09</v>
      </c>
      <c r="BB469" s="47" t="n">
        <v>9.5</v>
      </c>
    </row>
    <row r="470">
      <c r="A470" s="48" t="n">
        <v>45760</v>
      </c>
      <c r="B470" s="49" t="n">
        <v>41925</v>
      </c>
      <c r="C470" s="50" t="n">
        <v>9.039999999999999</v>
      </c>
      <c r="D470" s="51" t="inlineStr">
        <is>
          <t>Good</t>
        </is>
      </c>
      <c r="E470" s="52" t="n">
        <v>5.5</v>
      </c>
      <c r="F470" s="52" t="n">
        <v>4.2</v>
      </c>
      <c r="G470" s="51" t="inlineStr">
        <is>
          <t>Sun</t>
        </is>
      </c>
      <c r="H470" s="51" t="inlineStr">
        <is>
          <t>Weekend</t>
        </is>
      </c>
      <c r="I470" s="51" t="inlineStr">
        <is>
          <t>Spring</t>
        </is>
      </c>
      <c r="J470" s="51" t="n">
        <v>25</v>
      </c>
      <c r="K470" s="51" t="inlineStr">
        <is>
          <t>OK</t>
        </is>
      </c>
      <c r="L470" s="46" t="n">
        <v>44.12</v>
      </c>
      <c r="M470" t="inlineStr">
        <is>
          <t>Moderate</t>
        </is>
      </c>
      <c r="N470" s="87" t="n">
        <v>25</v>
      </c>
      <c r="O470" s="87" t="n">
        <v>0</v>
      </c>
      <c r="P470" s="87" t="n">
        <v>0</v>
      </c>
      <c r="Q470" s="87" t="n">
        <v>0</v>
      </c>
      <c r="R470" s="87" t="n">
        <v>0</v>
      </c>
      <c r="S470" s="47" t="n">
        <v>4.2</v>
      </c>
      <c r="T470" s="47" t="n">
        <v>71.09999999999999</v>
      </c>
      <c r="U470" s="47" t="n">
        <v>0.4</v>
      </c>
      <c r="V470" s="87" t="n">
        <v>1</v>
      </c>
      <c r="W470" s="87" t="n">
        <v>0</v>
      </c>
      <c r="Y470" t="inlineStr">
        <is>
          <t>Apr</t>
        </is>
      </c>
      <c r="Z470" s="87" t="n">
        <v>2025</v>
      </c>
      <c r="AA470" s="47">
        <f>IF(F470="",0,F470)</f>
        <v/>
      </c>
      <c r="AB470" s="87">
        <f>IF(AA470&gt;=0.1,1,0)</f>
        <v/>
      </c>
      <c r="AC470" s="87" t="n">
        <v>0</v>
      </c>
      <c r="AD470" s="47">
        <f>IF(U470="",0,U470)</f>
        <v/>
      </c>
      <c r="AE470" s="87">
        <f>IF(OR(V470=1,W470=1),1,0)</f>
        <v/>
      </c>
      <c r="AF470" s="87" t="n">
        <v>0</v>
      </c>
      <c r="AG470" t="n">
        <v>2212</v>
      </c>
      <c r="AH470" t="n">
        <v>39713</v>
      </c>
      <c r="AI470" t="n">
        <v>0</v>
      </c>
      <c r="AJ470" s="88">
        <f>IF(OR(AG470&lt;=0,AH470&lt;=0),"",LN(AG470)-LN(AH470))</f>
        <v/>
      </c>
      <c r="AK470" t="n">
        <v>5922</v>
      </c>
      <c r="AL470" t="n">
        <v>36003</v>
      </c>
      <c r="AM470" s="88">
        <f>IF(OR(AK470&lt;=0,AL470&lt;=0),"",LN(AK470)-LN(AL470))</f>
        <v/>
      </c>
      <c r="AN470" t="n">
        <v>2174</v>
      </c>
      <c r="AO470" t="n">
        <v>38348</v>
      </c>
      <c r="AP470" s="88">
        <f>IF(OR(AN470&lt;=0,AO470&lt;=0),"",LN(AN470)-LN(AO470))</f>
        <v/>
      </c>
      <c r="AQ470" t="n">
        <v>2101</v>
      </c>
      <c r="AR470" t="n">
        <v>39713</v>
      </c>
      <c r="AS470" s="88">
        <f>IF(OR(AQ470&lt;=0,AR470&lt;=0),"",LN(AQ470)-LN(AR470))</f>
        <v/>
      </c>
      <c r="AT470" t="n">
        <v>4002</v>
      </c>
      <c r="AU470" t="n">
        <v>37639</v>
      </c>
      <c r="AV470" t="n">
        <v>284</v>
      </c>
      <c r="AW470" t="n">
        <v>310</v>
      </c>
      <c r="AX470" t="n">
        <v>1885</v>
      </c>
      <c r="AY470" s="88">
        <f>IF(OR(AT470&lt;=0,AU470&lt;=0),"",LN(AT470)-LN(AU470))</f>
        <v/>
      </c>
      <c r="AZ470" s="46" t="n">
        <v>3.7</v>
      </c>
      <c r="BA470" s="46" t="n">
        <v>12.47</v>
      </c>
      <c r="BB470" s="47" t="n">
        <v>7</v>
      </c>
    </row>
    <row r="471">
      <c r="A471" s="48" t="n">
        <v>45761</v>
      </c>
      <c r="B471" s="49" t="n">
        <v>41889</v>
      </c>
      <c r="C471" s="50" t="n">
        <v>9.32</v>
      </c>
      <c r="D471" s="51" t="inlineStr">
        <is>
          <t>Good</t>
        </is>
      </c>
      <c r="E471" s="52" t="n">
        <v>4.4</v>
      </c>
      <c r="F471" s="52" t="n">
        <v>7.4</v>
      </c>
      <c r="G471" s="51" t="inlineStr">
        <is>
          <t>Mon</t>
        </is>
      </c>
      <c r="H471" s="51" t="inlineStr">
        <is>
          <t>Weekday</t>
        </is>
      </c>
      <c r="I471" s="51" t="inlineStr">
        <is>
          <t>Spring</t>
        </is>
      </c>
      <c r="J471" s="51" t="n">
        <v>25</v>
      </c>
      <c r="K471" s="51" t="inlineStr">
        <is>
          <t>OK</t>
        </is>
      </c>
      <c r="L471" s="46" t="n">
        <v>16.72</v>
      </c>
      <c r="M471" t="inlineStr">
        <is>
          <t>Good</t>
        </is>
      </c>
      <c r="N471" s="87" t="n">
        <v>25</v>
      </c>
      <c r="O471" s="87" t="n">
        <v>0</v>
      </c>
      <c r="P471" s="87" t="n">
        <v>0</v>
      </c>
      <c r="Q471" s="87" t="n">
        <v>0</v>
      </c>
      <c r="R471" s="87" t="n">
        <v>0</v>
      </c>
      <c r="S471" s="47" t="n">
        <v>2.5</v>
      </c>
      <c r="T471" s="47" t="n">
        <v>87.40000000000001</v>
      </c>
      <c r="U471" s="47" t="n"/>
      <c r="V471" s="87" t="n">
        <v>0</v>
      </c>
      <c r="W471" s="87" t="n">
        <v>0</v>
      </c>
      <c r="Y471" t="inlineStr">
        <is>
          <t>Apr</t>
        </is>
      </c>
      <c r="Z471" s="87" t="n">
        <v>2025</v>
      </c>
      <c r="AA471" s="47">
        <f>IF(F471="",0,F471)</f>
        <v/>
      </c>
      <c r="AB471" s="87">
        <f>IF(AA471&gt;=0.1,1,0)</f>
        <v/>
      </c>
      <c r="AC471" s="87" t="n">
        <v>0</v>
      </c>
      <c r="AD471" s="47">
        <f>IF(U471="",0,U471)</f>
        <v/>
      </c>
      <c r="AE471" s="87">
        <f>IF(OR(V471=1,W471=1),1,0)</f>
        <v/>
      </c>
      <c r="AF471" s="87" t="n">
        <v>0</v>
      </c>
      <c r="AG471" t="n">
        <v>1964</v>
      </c>
      <c r="AH471" t="n">
        <v>39925</v>
      </c>
      <c r="AI471" t="n">
        <v>0</v>
      </c>
      <c r="AJ471" s="88">
        <f>IF(OR(AG471&lt;=0,AH471&lt;=0),"",LN(AG471)-LN(AH471))</f>
        <v/>
      </c>
      <c r="AK471" t="n">
        <v>5668</v>
      </c>
      <c r="AL471" t="n">
        <v>36221</v>
      </c>
      <c r="AM471" s="88">
        <f>IF(OR(AK471&lt;=0,AL471&lt;=0),"",LN(AK471)-LN(AL471))</f>
        <v/>
      </c>
      <c r="AN471" t="n">
        <v>1935</v>
      </c>
      <c r="AO471" t="n">
        <v>38476</v>
      </c>
      <c r="AP471" s="88">
        <f>IF(OR(AN471&lt;=0,AO471&lt;=0),"",LN(AN471)-LN(AO471))</f>
        <v/>
      </c>
      <c r="AQ471" t="n">
        <v>1910</v>
      </c>
      <c r="AR471" t="n">
        <v>39925</v>
      </c>
      <c r="AS471" s="88">
        <f>IF(OR(AQ471&lt;=0,AR471&lt;=0),"",LN(AQ471)-LN(AR471))</f>
        <v/>
      </c>
      <c r="AT471" t="n">
        <v>1743</v>
      </c>
      <c r="AU471" t="n">
        <v>39872</v>
      </c>
      <c r="AV471" t="n">
        <v>275</v>
      </c>
      <c r="AW471" t="n">
        <v>97</v>
      </c>
      <c r="AX471" t="n">
        <v>1845</v>
      </c>
      <c r="AY471" s="88">
        <f>IF(OR(AT471&lt;=0,AU471&lt;=0),"",LN(AT471)-LN(AU471))</f>
        <v/>
      </c>
      <c r="AZ471" s="46" t="n">
        <v>0.3</v>
      </c>
      <c r="BA471" s="46" t="n">
        <v>5.6</v>
      </c>
      <c r="BB471" s="47" t="n">
        <v>7.3</v>
      </c>
    </row>
    <row r="472">
      <c r="A472" s="48" t="n">
        <v>45762</v>
      </c>
      <c r="B472" s="49" t="n">
        <v>124284</v>
      </c>
      <c r="C472" s="50" t="n">
        <v>14.92</v>
      </c>
      <c r="D472" s="51" t="inlineStr">
        <is>
          <t>Good</t>
        </is>
      </c>
      <c r="E472" s="52" t="n">
        <v>8.199999999999999</v>
      </c>
      <c r="F472" s="52" t="n"/>
      <c r="G472" s="51" t="inlineStr">
        <is>
          <t>Tue</t>
        </is>
      </c>
      <c r="H472" s="51" t="inlineStr">
        <is>
          <t>Weekday</t>
        </is>
      </c>
      <c r="I472" s="51" t="inlineStr">
        <is>
          <t>Spring</t>
        </is>
      </c>
      <c r="J472" s="51" t="n">
        <v>25</v>
      </c>
      <c r="K472" s="51" t="inlineStr">
        <is>
          <t>강수량 공란</t>
        </is>
      </c>
      <c r="L472" s="46" t="n">
        <v>24.04</v>
      </c>
      <c r="M472" t="inlineStr">
        <is>
          <t>Good</t>
        </is>
      </c>
      <c r="N472" s="87" t="n">
        <v>25</v>
      </c>
      <c r="O472" s="87" t="n">
        <v>0</v>
      </c>
      <c r="P472" s="87" t="n">
        <v>0</v>
      </c>
      <c r="Q472" s="87" t="n">
        <v>0</v>
      </c>
      <c r="R472" s="87" t="n">
        <v>0</v>
      </c>
      <c r="S472" s="47" t="n">
        <v>2.7</v>
      </c>
      <c r="T472" s="47" t="n">
        <v>70.3</v>
      </c>
      <c r="U472" s="47" t="n"/>
      <c r="V472" s="87" t="n">
        <v>0</v>
      </c>
      <c r="W472" s="87" t="n">
        <v>0</v>
      </c>
      <c r="Y472" t="inlineStr">
        <is>
          <t>Apr</t>
        </is>
      </c>
      <c r="Z472" s="87" t="n">
        <v>2025</v>
      </c>
      <c r="AA472" s="47">
        <f>IF(F472="",0,F472)</f>
        <v/>
      </c>
      <c r="AB472" s="87">
        <f>IF(AA472&gt;=0.1,1,0)</f>
        <v/>
      </c>
      <c r="AC472" s="87" t="n">
        <v>0</v>
      </c>
      <c r="AD472" s="47">
        <f>IF(U472="",0,U472)</f>
        <v/>
      </c>
      <c r="AE472" s="87">
        <f>IF(OR(V472=1,W472=1),1,0)</f>
        <v/>
      </c>
      <c r="AF472" s="87" t="n">
        <v>0</v>
      </c>
      <c r="AG472" t="n">
        <v>6804</v>
      </c>
      <c r="AH472" t="n">
        <v>117480</v>
      </c>
      <c r="AI472" t="n">
        <v>0</v>
      </c>
      <c r="AJ472" s="88">
        <f>IF(OR(AG472&lt;=0,AH472&lt;=0),"",LN(AG472)-LN(AH472))</f>
        <v/>
      </c>
      <c r="AK472" t="n">
        <v>18635</v>
      </c>
      <c r="AL472" t="n">
        <v>105649</v>
      </c>
      <c r="AM472" s="88">
        <f>IF(OR(AK472&lt;=0,AL472&lt;=0),"",LN(AK472)-LN(AL472))</f>
        <v/>
      </c>
      <c r="AN472" t="n">
        <v>6675</v>
      </c>
      <c r="AO472" t="n">
        <v>113249</v>
      </c>
      <c r="AP472" s="88">
        <f>IF(OR(AN472&lt;=0,AO472&lt;=0),"",LN(AN472)-LN(AO472))</f>
        <v/>
      </c>
      <c r="AQ472" t="n">
        <v>6580</v>
      </c>
      <c r="AR472" t="n">
        <v>117480</v>
      </c>
      <c r="AS472" s="88">
        <f>IF(OR(AQ472&lt;=0,AR472&lt;=0),"",LN(AQ472)-LN(AR472))</f>
        <v/>
      </c>
      <c r="AT472" t="n">
        <v>7300</v>
      </c>
      <c r="AU472" t="n">
        <v>116110</v>
      </c>
      <c r="AV472" t="n">
        <v>880</v>
      </c>
      <c r="AW472" t="n">
        <v>600</v>
      </c>
      <c r="AX472" t="n">
        <v>6141</v>
      </c>
      <c r="AY472" s="88">
        <f>IF(OR(AT472&lt;=0,AU472&lt;=0),"",LN(AT472)-LN(AU472))</f>
        <v/>
      </c>
      <c r="AZ472" s="46" t="n">
        <v>12.1</v>
      </c>
      <c r="BA472" s="46" t="n">
        <v>26.94</v>
      </c>
      <c r="BB472" s="47" t="n">
        <v>2.1</v>
      </c>
    </row>
    <row r="473">
      <c r="A473" s="48" t="n">
        <v>45763</v>
      </c>
      <c r="B473" s="49" t="n">
        <v>148385</v>
      </c>
      <c r="C473" s="50" t="n">
        <v>23.84</v>
      </c>
      <c r="D473" s="51" t="inlineStr">
        <is>
          <t>Moderate</t>
        </is>
      </c>
      <c r="E473" s="52" t="n">
        <v>14.6</v>
      </c>
      <c r="F473" s="52" t="n"/>
      <c r="G473" s="51" t="inlineStr">
        <is>
          <t>Wed</t>
        </is>
      </c>
      <c r="H473" s="51" t="inlineStr">
        <is>
          <t>Weekday</t>
        </is>
      </c>
      <c r="I473" s="51" t="inlineStr">
        <is>
          <t>Spring</t>
        </is>
      </c>
      <c r="J473" s="51" t="n">
        <v>25</v>
      </c>
      <c r="K473" s="51" t="inlineStr">
        <is>
          <t>강수량 공란</t>
        </is>
      </c>
      <c r="L473" s="46" t="n">
        <v>40.64</v>
      </c>
      <c r="M473" t="inlineStr">
        <is>
          <t>Moderate</t>
        </is>
      </c>
      <c r="N473" s="87" t="n">
        <v>25</v>
      </c>
      <c r="O473" s="87" t="n">
        <v>0</v>
      </c>
      <c r="P473" s="87" t="n">
        <v>0</v>
      </c>
      <c r="Q473" s="87" t="n">
        <v>0</v>
      </c>
      <c r="R473" s="87" t="n">
        <v>0</v>
      </c>
      <c r="S473" s="47" t="n">
        <v>2.5</v>
      </c>
      <c r="T473" s="47" t="n">
        <v>58</v>
      </c>
      <c r="U473" s="47" t="n"/>
      <c r="V473" s="87" t="n">
        <v>0</v>
      </c>
      <c r="W473" s="87" t="n">
        <v>0</v>
      </c>
      <c r="Y473" t="inlineStr">
        <is>
          <t>Apr</t>
        </is>
      </c>
      <c r="Z473" s="87" t="n">
        <v>2025</v>
      </c>
      <c r="AA473" s="47">
        <f>IF(F473="",0,F473)</f>
        <v/>
      </c>
      <c r="AB473" s="87">
        <f>IF(AA473&gt;=0.1,1,0)</f>
        <v/>
      </c>
      <c r="AC473" s="87" t="n">
        <v>0</v>
      </c>
      <c r="AD473" s="47">
        <f>IF(U473="",0,U473)</f>
        <v/>
      </c>
      <c r="AE473" s="87">
        <f>IF(OR(V473=1,W473=1),1,0)</f>
        <v/>
      </c>
      <c r="AF473" s="87" t="n">
        <v>0</v>
      </c>
      <c r="AG473" t="n">
        <v>8860</v>
      </c>
      <c r="AH473" t="n">
        <v>139525</v>
      </c>
      <c r="AI473" t="n">
        <v>0</v>
      </c>
      <c r="AJ473" s="88">
        <f>IF(OR(AG473&lt;=0,AH473&lt;=0),"",LN(AG473)-LN(AH473))</f>
        <v/>
      </c>
      <c r="AK473" t="n">
        <v>23148</v>
      </c>
      <c r="AL473" t="n">
        <v>125237</v>
      </c>
      <c r="AM473" s="88">
        <f>IF(OR(AK473&lt;=0,AL473&lt;=0),"",LN(AK473)-LN(AL473))</f>
        <v/>
      </c>
      <c r="AN473" t="n">
        <v>8682</v>
      </c>
      <c r="AO473" t="n">
        <v>134419</v>
      </c>
      <c r="AP473" s="88">
        <f>IF(OR(AN473&lt;=0,AO473&lt;=0),"",LN(AN473)-LN(AO473))</f>
        <v/>
      </c>
      <c r="AQ473" t="n">
        <v>8583</v>
      </c>
      <c r="AR473" t="n">
        <v>139525</v>
      </c>
      <c r="AS473" s="88">
        <f>IF(OR(AQ473&lt;=0,AR473&lt;=0),"",LN(AQ473)-LN(AR473))</f>
        <v/>
      </c>
      <c r="AT473" t="n">
        <v>8691</v>
      </c>
      <c r="AU473" t="n">
        <v>138684</v>
      </c>
      <c r="AV473" t="n">
        <v>1012</v>
      </c>
      <c r="AW473" t="n">
        <v>833</v>
      </c>
      <c r="AX473" t="n">
        <v>7958</v>
      </c>
      <c r="AY473" s="88">
        <f>IF(OR(AT473&lt;=0,AU473&lt;=0),"",LN(AT473)-LN(AU473))</f>
        <v/>
      </c>
      <c r="AZ473" s="46" t="n">
        <v>9.699999999999999</v>
      </c>
      <c r="BA473" s="46" t="n">
        <v>22.26</v>
      </c>
      <c r="BB473" s="47" t="n">
        <v>5.5</v>
      </c>
    </row>
    <row r="474">
      <c r="A474" s="48" t="n">
        <v>45764</v>
      </c>
      <c r="B474" s="49" t="n">
        <v>152474</v>
      </c>
      <c r="C474" s="50" t="n">
        <v>24.64</v>
      </c>
      <c r="D474" s="51" t="inlineStr">
        <is>
          <t>Moderate</t>
        </is>
      </c>
      <c r="E474" s="52" t="n">
        <v>19.7</v>
      </c>
      <c r="F474" s="52" t="n"/>
      <c r="G474" s="51" t="inlineStr">
        <is>
          <t>Thu</t>
        </is>
      </c>
      <c r="H474" s="51" t="inlineStr">
        <is>
          <t>Weekday</t>
        </is>
      </c>
      <c r="I474" s="51" t="inlineStr">
        <is>
          <t>Spring</t>
        </is>
      </c>
      <c r="J474" s="51" t="n">
        <v>25</v>
      </c>
      <c r="K474" s="51" t="inlineStr">
        <is>
          <t>강수량 공란</t>
        </is>
      </c>
      <c r="L474" s="46" t="n">
        <v>61.04</v>
      </c>
      <c r="M474" t="inlineStr">
        <is>
          <t>Moderate</t>
        </is>
      </c>
      <c r="N474" s="87" t="n">
        <v>25</v>
      </c>
      <c r="O474" s="87" t="n">
        <v>0</v>
      </c>
      <c r="P474" s="87" t="n">
        <v>0</v>
      </c>
      <c r="Q474" s="87" t="n">
        <v>0</v>
      </c>
      <c r="R474" s="87" t="n">
        <v>0</v>
      </c>
      <c r="S474" s="47" t="n">
        <v>2.6</v>
      </c>
      <c r="T474" s="47" t="n">
        <v>63.5</v>
      </c>
      <c r="U474" s="47" t="n"/>
      <c r="V474" s="87" t="n">
        <v>0</v>
      </c>
      <c r="W474" s="87" t="n">
        <v>0</v>
      </c>
      <c r="Y474" t="inlineStr">
        <is>
          <t>Apr</t>
        </is>
      </c>
      <c r="Z474" s="87" t="n">
        <v>2025</v>
      </c>
      <c r="AA474" s="47">
        <f>IF(F474="",0,F474)</f>
        <v/>
      </c>
      <c r="AB474" s="87">
        <f>IF(AA474&gt;=0.1,1,0)</f>
        <v/>
      </c>
      <c r="AC474" s="87" t="n">
        <v>0</v>
      </c>
      <c r="AD474" s="47">
        <f>IF(U474="",0,U474)</f>
        <v/>
      </c>
      <c r="AE474" s="87">
        <f>IF(OR(V474=1,W474=1),1,0)</f>
        <v/>
      </c>
      <c r="AF474" s="87" t="n">
        <v>0</v>
      </c>
      <c r="AG474" t="n">
        <v>9111</v>
      </c>
      <c r="AH474" t="n">
        <v>143363</v>
      </c>
      <c r="AI474" t="n">
        <v>0</v>
      </c>
      <c r="AJ474" s="88">
        <f>IF(OR(AG474&lt;=0,AH474&lt;=0),"",LN(AG474)-LN(AH474))</f>
        <v/>
      </c>
      <c r="AK474" t="n">
        <v>23677</v>
      </c>
      <c r="AL474" t="n">
        <v>128797</v>
      </c>
      <c r="AM474" s="88">
        <f>IF(OR(AK474&lt;=0,AL474&lt;=0),"",LN(AK474)-LN(AL474))</f>
        <v/>
      </c>
      <c r="AN474" t="n">
        <v>8955</v>
      </c>
      <c r="AO474" t="n">
        <v>137986</v>
      </c>
      <c r="AP474" s="88">
        <f>IF(OR(AN474&lt;=0,AO474&lt;=0),"",LN(AN474)-LN(AO474))</f>
        <v/>
      </c>
      <c r="AQ474" t="n">
        <v>8842</v>
      </c>
      <c r="AR474" t="n">
        <v>143363</v>
      </c>
      <c r="AS474" s="88">
        <f>IF(OR(AQ474&lt;=0,AR474&lt;=0),"",LN(AQ474)-LN(AR474))</f>
        <v/>
      </c>
      <c r="AT474" t="n">
        <v>9071</v>
      </c>
      <c r="AU474" t="n">
        <v>142310</v>
      </c>
      <c r="AV474" t="n">
        <v>1096</v>
      </c>
      <c r="AW474" t="n">
        <v>851</v>
      </c>
      <c r="AX474" t="n">
        <v>8174</v>
      </c>
      <c r="AY474" s="88">
        <f>IF(OR(AT474&lt;=0,AU474&lt;=0),"",LN(AT474)-LN(AU474))</f>
        <v/>
      </c>
      <c r="AZ474" s="46" t="n">
        <v>2.9</v>
      </c>
      <c r="BA474" s="46" t="n">
        <v>15</v>
      </c>
      <c r="BB474" s="47" t="n">
        <v>6.1</v>
      </c>
    </row>
    <row r="475">
      <c r="A475" s="48" t="n">
        <v>45765</v>
      </c>
      <c r="B475" s="49" t="n">
        <v>154988</v>
      </c>
      <c r="C475" s="50" t="n">
        <v>32.88</v>
      </c>
      <c r="D475" s="51" t="inlineStr">
        <is>
          <t>Moderate</t>
        </is>
      </c>
      <c r="E475" s="52" t="n">
        <v>18.6</v>
      </c>
      <c r="F475" s="52" t="n">
        <v>0</v>
      </c>
      <c r="G475" s="51" t="inlineStr">
        <is>
          <t>Fri</t>
        </is>
      </c>
      <c r="H475" s="51" t="inlineStr">
        <is>
          <t>Weekday</t>
        </is>
      </c>
      <c r="I475" s="51" t="inlineStr">
        <is>
          <t>Spring</t>
        </is>
      </c>
      <c r="J475" s="51" t="n">
        <v>25</v>
      </c>
      <c r="K475" s="51" t="inlineStr">
        <is>
          <t>OK</t>
        </is>
      </c>
      <c r="L475" s="46" t="n">
        <v>71.16</v>
      </c>
      <c r="M475" t="inlineStr">
        <is>
          <t>Moderate</t>
        </is>
      </c>
      <c r="N475" s="87" t="n">
        <v>25</v>
      </c>
      <c r="O475" s="87" t="n">
        <v>0</v>
      </c>
      <c r="P475" s="87" t="n">
        <v>0</v>
      </c>
      <c r="Q475" s="87" t="n">
        <v>0</v>
      </c>
      <c r="R475" s="87" t="n">
        <v>0</v>
      </c>
      <c r="S475" s="47" t="n">
        <v>2.4</v>
      </c>
      <c r="T475" s="47" t="n">
        <v>67.90000000000001</v>
      </c>
      <c r="U475" s="47" t="n"/>
      <c r="V475" s="87" t="n">
        <v>0</v>
      </c>
      <c r="W475" s="87" t="n">
        <v>0</v>
      </c>
      <c r="Y475" t="inlineStr">
        <is>
          <t>Apr</t>
        </is>
      </c>
      <c r="Z475" s="87" t="n">
        <v>2025</v>
      </c>
      <c r="AA475" s="47">
        <f>IF(F475="",0,F475)</f>
        <v/>
      </c>
      <c r="AB475" s="87">
        <f>IF(AA475&gt;=0.1,1,0)</f>
        <v/>
      </c>
      <c r="AC475" s="87" t="n">
        <v>1</v>
      </c>
      <c r="AD475" s="47">
        <f>IF(U475="",0,U475)</f>
        <v/>
      </c>
      <c r="AE475" s="87">
        <f>IF(OR(V475=1,W475=1),1,0)</f>
        <v/>
      </c>
      <c r="AF475" s="87" t="n">
        <v>0</v>
      </c>
      <c r="AG475" t="n">
        <v>9822</v>
      </c>
      <c r="AH475" t="n">
        <v>145166</v>
      </c>
      <c r="AI475" t="n">
        <v>0</v>
      </c>
      <c r="AJ475" s="88">
        <f>IF(OR(AG475&lt;=0,AH475&lt;=0),"",LN(AG475)-LN(AH475))</f>
        <v/>
      </c>
      <c r="AK475" t="n">
        <v>24942</v>
      </c>
      <c r="AL475" t="n">
        <v>130046</v>
      </c>
      <c r="AM475" s="88">
        <f>IF(OR(AK475&lt;=0,AL475&lt;=0),"",LN(AK475)-LN(AL475))</f>
        <v/>
      </c>
      <c r="AN475" t="n">
        <v>9659</v>
      </c>
      <c r="AO475" t="n">
        <v>139764</v>
      </c>
      <c r="AP475" s="88">
        <f>IF(OR(AN475&lt;=0,AO475&lt;=0),"",LN(AN475)-LN(AO475))</f>
        <v/>
      </c>
      <c r="AQ475" t="n">
        <v>9538</v>
      </c>
      <c r="AR475" t="n">
        <v>145166</v>
      </c>
      <c r="AS475" s="88">
        <f>IF(OR(AQ475&lt;=0,AR475&lt;=0),"",LN(AQ475)-LN(AR475))</f>
        <v/>
      </c>
      <c r="AT475" t="n">
        <v>9715</v>
      </c>
      <c r="AU475" t="n">
        <v>144157</v>
      </c>
      <c r="AV475" t="n">
        <v>1117</v>
      </c>
      <c r="AW475" t="n">
        <v>996</v>
      </c>
      <c r="AX475" t="n">
        <v>8726</v>
      </c>
      <c r="AY475" s="88">
        <f>IF(OR(AT475&lt;=0,AU475&lt;=0),"",LN(AT475)-LN(AU475))</f>
        <v/>
      </c>
      <c r="AZ475" s="46" t="n">
        <v>5</v>
      </c>
      <c r="BA475" s="46" t="n">
        <v>15.19</v>
      </c>
      <c r="BB475" s="47" t="n">
        <v>6</v>
      </c>
    </row>
    <row r="476">
      <c r="A476" s="48" t="n">
        <v>45766</v>
      </c>
      <c r="B476" s="49" t="n">
        <v>41988</v>
      </c>
      <c r="C476" s="50" t="n">
        <v>19.6</v>
      </c>
      <c r="D476" s="51" t="inlineStr">
        <is>
          <t>Moderate</t>
        </is>
      </c>
      <c r="E476" s="52" t="n">
        <v>15.3</v>
      </c>
      <c r="F476" s="52" t="n">
        <v>9.199999999999999</v>
      </c>
      <c r="G476" s="51" t="inlineStr">
        <is>
          <t>Sat</t>
        </is>
      </c>
      <c r="H476" s="51" t="inlineStr">
        <is>
          <t>Weekend</t>
        </is>
      </c>
      <c r="I476" s="51" t="inlineStr">
        <is>
          <t>Spring</t>
        </is>
      </c>
      <c r="J476" s="51" t="n">
        <v>25</v>
      </c>
      <c r="K476" s="51" t="inlineStr">
        <is>
          <t>OK</t>
        </is>
      </c>
      <c r="L476" s="46" t="n">
        <v>39.12</v>
      </c>
      <c r="M476" t="inlineStr">
        <is>
          <t>Moderate</t>
        </is>
      </c>
      <c r="N476" s="87" t="n">
        <v>25</v>
      </c>
      <c r="O476" s="87" t="n">
        <v>0</v>
      </c>
      <c r="P476" s="87" t="n">
        <v>0</v>
      </c>
      <c r="Q476" s="87" t="n">
        <v>0</v>
      </c>
      <c r="R476" s="87" t="n">
        <v>0</v>
      </c>
      <c r="S476" s="47" t="n">
        <v>3</v>
      </c>
      <c r="T476" s="47" t="n">
        <v>89.09999999999999</v>
      </c>
      <c r="U476" s="47" t="n"/>
      <c r="V476" s="87" t="n">
        <v>1</v>
      </c>
      <c r="W476" s="87" t="n">
        <v>0</v>
      </c>
      <c r="Y476" t="inlineStr">
        <is>
          <t>Apr</t>
        </is>
      </c>
      <c r="Z476" s="87" t="n">
        <v>2025</v>
      </c>
      <c r="AA476" s="47">
        <f>IF(F476="",0,F476)</f>
        <v/>
      </c>
      <c r="AB476" s="87">
        <f>IF(AA476&gt;=0.1,1,0)</f>
        <v/>
      </c>
      <c r="AC476" s="87" t="n">
        <v>0</v>
      </c>
      <c r="AD476" s="47">
        <f>IF(U476="",0,U476)</f>
        <v/>
      </c>
      <c r="AE476" s="87">
        <f>IF(OR(V476=1,W476=1),1,0)</f>
        <v/>
      </c>
      <c r="AF476" s="87" t="n">
        <v>0</v>
      </c>
      <c r="AG476" t="n">
        <v>2258</v>
      </c>
      <c r="AH476" t="n">
        <v>39730</v>
      </c>
      <c r="AI476" t="n">
        <v>0</v>
      </c>
      <c r="AJ476" s="88">
        <f>IF(OR(AG476&lt;=0,AH476&lt;=0),"",LN(AG476)-LN(AH476))</f>
        <v/>
      </c>
      <c r="AK476" t="n">
        <v>6143</v>
      </c>
      <c r="AL476" t="n">
        <v>35845</v>
      </c>
      <c r="AM476" s="88">
        <f>IF(OR(AK476&lt;=0,AL476&lt;=0),"",LN(AK476)-LN(AL476))</f>
        <v/>
      </c>
      <c r="AN476" t="n">
        <v>2229</v>
      </c>
      <c r="AO476" t="n">
        <v>38256</v>
      </c>
      <c r="AP476" s="88">
        <f>IF(OR(AN476&lt;=0,AO476&lt;=0),"",LN(AN476)-LN(AO476))</f>
        <v/>
      </c>
      <c r="AQ476" t="n">
        <v>2204</v>
      </c>
      <c r="AR476" t="n">
        <v>39730</v>
      </c>
      <c r="AS476" s="88">
        <f>IF(OR(AQ476&lt;=0,AR476&lt;=0),"",LN(AQ476)-LN(AR476))</f>
        <v/>
      </c>
      <c r="AT476" t="n">
        <v>3180</v>
      </c>
      <c r="AU476" t="n">
        <v>38536</v>
      </c>
      <c r="AV476" t="n">
        <v>272</v>
      </c>
      <c r="AW476" t="n">
        <v>273</v>
      </c>
      <c r="AX476" t="n">
        <v>1968</v>
      </c>
      <c r="AY476" s="88">
        <f>IF(OR(AT476&lt;=0,AU476&lt;=0),"",LN(AT476)-LN(AU476))</f>
        <v/>
      </c>
      <c r="AZ476" s="46" t="n">
        <v>0</v>
      </c>
      <c r="BA476" s="46" t="n">
        <v>2.93</v>
      </c>
      <c r="BB476" s="47" t="n">
        <v>8.6</v>
      </c>
    </row>
    <row r="477">
      <c r="A477" s="48" t="n">
        <v>45767</v>
      </c>
      <c r="B477" s="49" t="n">
        <v>136745</v>
      </c>
      <c r="C477" s="50" t="n">
        <v>14.04</v>
      </c>
      <c r="D477" s="51" t="inlineStr">
        <is>
          <t>Good</t>
        </is>
      </c>
      <c r="E477" s="52" t="n">
        <v>16.7</v>
      </c>
      <c r="F477" s="52" t="n"/>
      <c r="G477" s="51" t="inlineStr">
        <is>
          <t>Sun</t>
        </is>
      </c>
      <c r="H477" s="51" t="inlineStr">
        <is>
          <t>Weekend</t>
        </is>
      </c>
      <c r="I477" s="51" t="inlineStr">
        <is>
          <t>Spring</t>
        </is>
      </c>
      <c r="J477" s="51" t="n">
        <v>25</v>
      </c>
      <c r="K477" s="51" t="inlineStr">
        <is>
          <t>강수량 공란</t>
        </is>
      </c>
      <c r="L477" s="46" t="n">
        <v>21.92</v>
      </c>
      <c r="M477" t="inlineStr">
        <is>
          <t>Good</t>
        </is>
      </c>
      <c r="N477" s="87" t="n">
        <v>25</v>
      </c>
      <c r="O477" s="87" t="n">
        <v>0</v>
      </c>
      <c r="P477" s="87" t="n">
        <v>0</v>
      </c>
      <c r="Q477" s="87" t="n">
        <v>0</v>
      </c>
      <c r="R477" s="87" t="n">
        <v>0</v>
      </c>
      <c r="S477" s="47" t="n">
        <v>1.7</v>
      </c>
      <c r="T477" s="47" t="n">
        <v>70</v>
      </c>
      <c r="U477" s="47" t="n"/>
      <c r="V477" s="87" t="n">
        <v>1</v>
      </c>
      <c r="W477" s="87" t="n">
        <v>0</v>
      </c>
      <c r="Y477" t="inlineStr">
        <is>
          <t>Apr</t>
        </is>
      </c>
      <c r="Z477" s="87" t="n">
        <v>2025</v>
      </c>
      <c r="AA477" s="47">
        <f>IF(F477="",0,F477)</f>
        <v/>
      </c>
      <c r="AB477" s="87">
        <f>IF(AA477&gt;=0.1,1,0)</f>
        <v/>
      </c>
      <c r="AC477" s="87" t="n">
        <v>0</v>
      </c>
      <c r="AD477" s="47">
        <f>IF(U477="",0,U477)</f>
        <v/>
      </c>
      <c r="AE477" s="87">
        <f>IF(OR(V477=1,W477=1),1,0)</f>
        <v/>
      </c>
      <c r="AF477" s="87" t="n">
        <v>0</v>
      </c>
      <c r="AG477" t="n">
        <v>15068</v>
      </c>
      <c r="AH477" t="n">
        <v>121677</v>
      </c>
      <c r="AI477" t="n">
        <v>0</v>
      </c>
      <c r="AJ477" s="88">
        <f>IF(OR(AG477&lt;=0,AH477&lt;=0),"",LN(AG477)-LN(AH477))</f>
        <v/>
      </c>
      <c r="AK477" t="n">
        <v>29976</v>
      </c>
      <c r="AL477" t="n">
        <v>106769</v>
      </c>
      <c r="AM477" s="88">
        <f>IF(OR(AK477&lt;=0,AL477&lt;=0),"",LN(AK477)-LN(AL477))</f>
        <v/>
      </c>
      <c r="AN477" t="n">
        <v>14792</v>
      </c>
      <c r="AO477" t="n">
        <v>117239</v>
      </c>
      <c r="AP477" s="88">
        <f>IF(OR(AN477&lt;=0,AO477&lt;=0),"",LN(AN477)-LN(AO477))</f>
        <v/>
      </c>
      <c r="AQ477" t="n">
        <v>14545</v>
      </c>
      <c r="AR477" t="n">
        <v>121677</v>
      </c>
      <c r="AS477" s="88">
        <f>IF(OR(AQ477&lt;=0,AR477&lt;=0),"",LN(AQ477)-LN(AR477))</f>
        <v/>
      </c>
      <c r="AT477" t="n">
        <v>14552</v>
      </c>
      <c r="AU477" t="n">
        <v>121196</v>
      </c>
      <c r="AV477" t="n">
        <v>998</v>
      </c>
      <c r="AW477" t="n">
        <v>2639</v>
      </c>
      <c r="AX477" t="n">
        <v>12278</v>
      </c>
      <c r="AY477" s="88">
        <f>IF(OR(AT477&lt;=0,AU477&lt;=0),"",LN(AT477)-LN(AU477))</f>
        <v/>
      </c>
      <c r="AZ477" s="46" t="n">
        <v>11.6</v>
      </c>
      <c r="BA477" s="46" t="n">
        <v>26.74</v>
      </c>
      <c r="BB477" s="47" t="n">
        <v>2.1</v>
      </c>
    </row>
    <row r="478">
      <c r="A478" s="48" t="n">
        <v>45768</v>
      </c>
      <c r="B478" s="49" t="n">
        <v>158263</v>
      </c>
      <c r="C478" s="50" t="n">
        <v>14.48</v>
      </c>
      <c r="D478" s="51" t="inlineStr">
        <is>
          <t>Good</t>
        </is>
      </c>
      <c r="E478" s="52" t="n">
        <v>20.7</v>
      </c>
      <c r="F478" s="52" t="n"/>
      <c r="G478" s="51" t="inlineStr">
        <is>
          <t>Mon</t>
        </is>
      </c>
      <c r="H478" s="51" t="inlineStr">
        <is>
          <t>Weekday</t>
        </is>
      </c>
      <c r="I478" s="51" t="inlineStr">
        <is>
          <t>Spring</t>
        </is>
      </c>
      <c r="J478" s="51" t="n">
        <v>25</v>
      </c>
      <c r="K478" s="51" t="inlineStr">
        <is>
          <t>강수량 공란</t>
        </is>
      </c>
      <c r="L478" s="46" t="n">
        <v>26.52</v>
      </c>
      <c r="M478" t="inlineStr">
        <is>
          <t>Good</t>
        </is>
      </c>
      <c r="N478" s="87" t="n">
        <v>25</v>
      </c>
      <c r="O478" s="87" t="n">
        <v>0</v>
      </c>
      <c r="P478" s="87" t="n">
        <v>0</v>
      </c>
      <c r="Q478" s="87" t="n">
        <v>0</v>
      </c>
      <c r="R478" s="87" t="n">
        <v>0</v>
      </c>
      <c r="S478" s="47" t="n">
        <v>2.2</v>
      </c>
      <c r="T478" s="47" t="n">
        <v>65.3</v>
      </c>
      <c r="U478" s="47" t="n"/>
      <c r="V478" s="87" t="n">
        <v>0</v>
      </c>
      <c r="W478" s="87" t="n">
        <v>0</v>
      </c>
      <c r="Y478" t="inlineStr">
        <is>
          <t>Apr</t>
        </is>
      </c>
      <c r="Z478" s="87" t="n">
        <v>2025</v>
      </c>
      <c r="AA478" s="47">
        <f>IF(F478="",0,F478)</f>
        <v/>
      </c>
      <c r="AB478" s="87">
        <f>IF(AA478&gt;=0.1,1,0)</f>
        <v/>
      </c>
      <c r="AC478" s="87" t="n">
        <v>0</v>
      </c>
      <c r="AD478" s="47">
        <f>IF(U478="",0,U478)</f>
        <v/>
      </c>
      <c r="AE478" s="87">
        <f>IF(OR(V478=1,W478=1),1,0)</f>
        <v/>
      </c>
      <c r="AF478" s="87" t="n">
        <v>0</v>
      </c>
      <c r="AG478" t="n">
        <v>10594</v>
      </c>
      <c r="AH478" t="n">
        <v>147668</v>
      </c>
      <c r="AI478" t="n">
        <v>1</v>
      </c>
      <c r="AJ478" s="88">
        <f>IF(OR(AG478&lt;=0,AH478&lt;=0),"",LN(AG478)-LN(AH478))</f>
        <v/>
      </c>
      <c r="AK478" t="n">
        <v>26115</v>
      </c>
      <c r="AL478" t="n">
        <v>132147</v>
      </c>
      <c r="AM478" s="88">
        <f>IF(OR(AK478&lt;=0,AL478&lt;=0),"",LN(AK478)-LN(AL478))</f>
        <v/>
      </c>
      <c r="AN478" t="n">
        <v>10413</v>
      </c>
      <c r="AO478" t="n">
        <v>142291</v>
      </c>
      <c r="AP478" s="88">
        <f>IF(OR(AN478&lt;=0,AO478&lt;=0),"",LN(AN478)-LN(AO478))</f>
        <v/>
      </c>
      <c r="AQ478" t="n">
        <v>10276</v>
      </c>
      <c r="AR478" t="n">
        <v>147668</v>
      </c>
      <c r="AS478" s="88">
        <f>IF(OR(AQ478&lt;=0,AR478&lt;=0),"",LN(AQ478)-LN(AR478))</f>
        <v/>
      </c>
      <c r="AT478" t="n">
        <v>10205</v>
      </c>
      <c r="AU478" t="n">
        <v>146987</v>
      </c>
      <c r="AV478" t="n">
        <v>1075</v>
      </c>
      <c r="AW478" t="n">
        <v>1185</v>
      </c>
      <c r="AX478" t="n">
        <v>9320</v>
      </c>
      <c r="AY478" s="88">
        <f>IF(OR(AT478&lt;=0,AU478&lt;=0),"",LN(AT478)-LN(AU478))</f>
        <v/>
      </c>
      <c r="AZ478" s="46" t="n">
        <v>7.7</v>
      </c>
      <c r="BA478" s="46" t="n">
        <v>22.78</v>
      </c>
      <c r="BB478" s="47" t="n">
        <v>5</v>
      </c>
    </row>
    <row r="479">
      <c r="A479" s="48" t="n">
        <v>45769</v>
      </c>
      <c r="B479" s="49" t="n">
        <v>45307</v>
      </c>
      <c r="C479" s="50" t="n">
        <v>10.76</v>
      </c>
      <c r="D479" s="51" t="inlineStr">
        <is>
          <t>Good</t>
        </is>
      </c>
      <c r="E479" s="52" t="n">
        <v>17.8</v>
      </c>
      <c r="F479" s="52" t="n">
        <v>34.8</v>
      </c>
      <c r="G479" s="51" t="inlineStr">
        <is>
          <t>Tue</t>
        </is>
      </c>
      <c r="H479" s="51" t="inlineStr">
        <is>
          <t>Weekday</t>
        </is>
      </c>
      <c r="I479" s="51" t="inlineStr">
        <is>
          <t>Spring</t>
        </is>
      </c>
      <c r="J479" s="51" t="n">
        <v>25</v>
      </c>
      <c r="K479" s="51" t="inlineStr">
        <is>
          <t>OK</t>
        </is>
      </c>
      <c r="L479" s="46" t="n">
        <v>17.8</v>
      </c>
      <c r="M479" t="inlineStr">
        <is>
          <t>Good</t>
        </is>
      </c>
      <c r="N479" s="87" t="n">
        <v>25</v>
      </c>
      <c r="O479" s="87" t="n">
        <v>0</v>
      </c>
      <c r="P479" s="87" t="n">
        <v>0</v>
      </c>
      <c r="Q479" s="87" t="n">
        <v>0</v>
      </c>
      <c r="R479" s="87" t="n">
        <v>0</v>
      </c>
      <c r="S479" s="47" t="n">
        <v>1.5</v>
      </c>
      <c r="T479" s="47" t="n">
        <v>87.8</v>
      </c>
      <c r="U479" s="47" t="n"/>
      <c r="V479" s="87" t="n">
        <v>0</v>
      </c>
      <c r="W479" s="87" t="n">
        <v>0</v>
      </c>
      <c r="Y479" t="inlineStr">
        <is>
          <t>Apr</t>
        </is>
      </c>
      <c r="Z479" s="87" t="n">
        <v>2025</v>
      </c>
      <c r="AA479" s="47">
        <f>IF(F479="",0,F479)</f>
        <v/>
      </c>
      <c r="AB479" s="87">
        <f>IF(AA479&gt;=0.1,1,0)</f>
        <v/>
      </c>
      <c r="AC479" s="87" t="n">
        <v>0</v>
      </c>
      <c r="AD479" s="47">
        <f>IF(U479="",0,U479)</f>
        <v/>
      </c>
      <c r="AE479" s="87">
        <f>IF(OR(V479=1,W479=1),1,0)</f>
        <v/>
      </c>
      <c r="AF479" s="87" t="n">
        <v>0</v>
      </c>
      <c r="AG479" t="n">
        <v>2277</v>
      </c>
      <c r="AH479" t="n">
        <v>43030</v>
      </c>
      <c r="AI479" t="n">
        <v>0</v>
      </c>
      <c r="AJ479" s="88">
        <f>IF(OR(AG479&lt;=0,AH479&lt;=0),"",LN(AG479)-LN(AH479))</f>
        <v/>
      </c>
      <c r="AK479" t="n">
        <v>6342</v>
      </c>
      <c r="AL479" t="n">
        <v>38965</v>
      </c>
      <c r="AM479" s="88">
        <f>IF(OR(AK479&lt;=0,AL479&lt;=0),"",LN(AK479)-LN(AL479))</f>
        <v/>
      </c>
      <c r="AN479" t="n">
        <v>2231</v>
      </c>
      <c r="AO479" t="n">
        <v>41467</v>
      </c>
      <c r="AP479" s="88">
        <f>IF(OR(AN479&lt;=0,AO479&lt;=0),"",LN(AN479)-LN(AO479))</f>
        <v/>
      </c>
      <c r="AQ479" t="n">
        <v>2218</v>
      </c>
      <c r="AR479" t="n">
        <v>43030</v>
      </c>
      <c r="AS479" s="88">
        <f>IF(OR(AQ479&lt;=0,AR479&lt;=0),"",LN(AQ479)-LN(AR479))</f>
        <v/>
      </c>
      <c r="AT479" t="n">
        <v>2812</v>
      </c>
      <c r="AU479" t="n">
        <v>42167</v>
      </c>
      <c r="AV479" t="n">
        <v>328</v>
      </c>
      <c r="AW479" t="n">
        <v>220</v>
      </c>
      <c r="AX479" t="n">
        <v>2033</v>
      </c>
      <c r="AY479" s="88">
        <f>IF(OR(AT479&lt;=0,AU479&lt;=0),"",LN(AT479)-LN(AU479))</f>
        <v/>
      </c>
      <c r="AZ479" s="46" t="n">
        <v>0</v>
      </c>
      <c r="BA479" s="46" t="n">
        <v>3.12</v>
      </c>
      <c r="BB479" s="47" t="n">
        <v>7.4</v>
      </c>
    </row>
    <row r="480">
      <c r="A480" s="48" t="n">
        <v>45770</v>
      </c>
      <c r="B480" s="49" t="n">
        <v>158598</v>
      </c>
      <c r="C480" s="50" t="n">
        <v>6.6</v>
      </c>
      <c r="D480" s="51" t="inlineStr">
        <is>
          <t>Good</t>
        </is>
      </c>
      <c r="E480" s="52" t="n">
        <v>16.8</v>
      </c>
      <c r="F480" s="52" t="n"/>
      <c r="G480" s="51" t="inlineStr">
        <is>
          <t>Wed</t>
        </is>
      </c>
      <c r="H480" s="51" t="inlineStr">
        <is>
          <t>Weekday</t>
        </is>
      </c>
      <c r="I480" s="51" t="inlineStr">
        <is>
          <t>Spring</t>
        </is>
      </c>
      <c r="J480" s="51" t="n">
        <v>25</v>
      </c>
      <c r="K480" s="51" t="inlineStr">
        <is>
          <t>강수량 공란</t>
        </is>
      </c>
      <c r="L480" s="46" t="n">
        <v>15.64</v>
      </c>
      <c r="M480" t="inlineStr">
        <is>
          <t>Good</t>
        </is>
      </c>
      <c r="N480" s="87" t="n">
        <v>25</v>
      </c>
      <c r="O480" s="87" t="n">
        <v>0</v>
      </c>
      <c r="P480" s="87" t="n">
        <v>0</v>
      </c>
      <c r="Q480" s="87" t="n">
        <v>0</v>
      </c>
      <c r="R480" s="87" t="n">
        <v>0</v>
      </c>
      <c r="S480" s="47" t="n">
        <v>2.5</v>
      </c>
      <c r="T480" s="47" t="n">
        <v>62.4</v>
      </c>
      <c r="U480" s="47" t="n"/>
      <c r="V480" s="87" t="n">
        <v>0</v>
      </c>
      <c r="W480" s="87" t="n">
        <v>0</v>
      </c>
      <c r="Y480" t="inlineStr">
        <is>
          <t>Apr</t>
        </is>
      </c>
      <c r="Z480" s="87" t="n">
        <v>2025</v>
      </c>
      <c r="AA480" s="47">
        <f>IF(F480="",0,F480)</f>
        <v/>
      </c>
      <c r="AB480" s="87">
        <f>IF(AA480&gt;=0.1,1,0)</f>
        <v/>
      </c>
      <c r="AC480" s="87" t="n">
        <v>0</v>
      </c>
      <c r="AD480" s="47">
        <f>IF(U480="",0,U480)</f>
        <v/>
      </c>
      <c r="AE480" s="87">
        <f>IF(OR(V480=1,W480=1),1,0)</f>
        <v/>
      </c>
      <c r="AF480" s="87" t="n">
        <v>0</v>
      </c>
      <c r="AG480" t="n">
        <v>10652</v>
      </c>
      <c r="AH480" t="n">
        <v>147946</v>
      </c>
      <c r="AI480" t="n">
        <v>0</v>
      </c>
      <c r="AJ480" s="88">
        <f>IF(OR(AG480&lt;=0,AH480&lt;=0),"",LN(AG480)-LN(AH480))</f>
        <v/>
      </c>
      <c r="AK480" t="n">
        <v>26183</v>
      </c>
      <c r="AL480" t="n">
        <v>132415</v>
      </c>
      <c r="AM480" s="88">
        <f>IF(OR(AK480&lt;=0,AL480&lt;=0),"",LN(AK480)-LN(AL480))</f>
        <v/>
      </c>
      <c r="AN480" t="n">
        <v>10470</v>
      </c>
      <c r="AO480" t="n">
        <v>142562</v>
      </c>
      <c r="AP480" s="88">
        <f>IF(OR(AN480&lt;=0,AO480&lt;=0),"",LN(AN480)-LN(AO480))</f>
        <v/>
      </c>
      <c r="AQ480" t="n">
        <v>10361</v>
      </c>
      <c r="AR480" t="n">
        <v>147946</v>
      </c>
      <c r="AS480" s="88">
        <f>IF(OR(AQ480&lt;=0,AR480&lt;=0),"",LN(AQ480)-LN(AR480))</f>
        <v/>
      </c>
      <c r="AT480" t="n">
        <v>10329</v>
      </c>
      <c r="AU480" t="n">
        <v>146880</v>
      </c>
      <c r="AV480" t="n">
        <v>1393</v>
      </c>
      <c r="AW480" t="n">
        <v>1148</v>
      </c>
      <c r="AX480" t="n">
        <v>9392</v>
      </c>
      <c r="AY480" s="88">
        <f>IF(OR(AT480&lt;=0,AU480&lt;=0),"",LN(AT480)-LN(AU480))</f>
        <v/>
      </c>
      <c r="AZ480" s="46" t="n">
        <v>12.5</v>
      </c>
      <c r="BA480" s="46" t="n">
        <v>26.28</v>
      </c>
      <c r="BB480" s="47" t="n">
        <v>3.5</v>
      </c>
    </row>
    <row r="481">
      <c r="A481" s="48" t="n">
        <v>45771</v>
      </c>
      <c r="B481" s="49" t="n">
        <v>150523</v>
      </c>
      <c r="C481" s="50" t="n">
        <v>27.24</v>
      </c>
      <c r="D481" s="51" t="inlineStr">
        <is>
          <t>Moderate</t>
        </is>
      </c>
      <c r="E481" s="52" t="n">
        <v>14.7</v>
      </c>
      <c r="F481" s="52" t="n"/>
      <c r="G481" s="51" t="inlineStr">
        <is>
          <t>Thu</t>
        </is>
      </c>
      <c r="H481" s="51" t="inlineStr">
        <is>
          <t>Weekday</t>
        </is>
      </c>
      <c r="I481" s="51" t="inlineStr">
        <is>
          <t>Spring</t>
        </is>
      </c>
      <c r="J481" s="51" t="n">
        <v>25</v>
      </c>
      <c r="K481" s="51" t="inlineStr">
        <is>
          <t>강수량 공란</t>
        </is>
      </c>
      <c r="L481" s="46" t="n">
        <v>46.88</v>
      </c>
      <c r="M481" t="inlineStr">
        <is>
          <t>Moderate</t>
        </is>
      </c>
      <c r="N481" s="87" t="n">
        <v>25</v>
      </c>
      <c r="O481" s="87" t="n">
        <v>0</v>
      </c>
      <c r="P481" s="87" t="n">
        <v>0</v>
      </c>
      <c r="Q481" s="87" t="n">
        <v>0</v>
      </c>
      <c r="R481" s="87" t="n">
        <v>0</v>
      </c>
      <c r="S481" s="47" t="n">
        <v>3.1</v>
      </c>
      <c r="T481" s="47" t="n">
        <v>52.4</v>
      </c>
      <c r="U481" s="47" t="n"/>
      <c r="V481" s="87" t="n">
        <v>0</v>
      </c>
      <c r="W481" s="87" t="n">
        <v>0</v>
      </c>
      <c r="Y481" t="inlineStr">
        <is>
          <t>Apr</t>
        </is>
      </c>
      <c r="Z481" s="87" t="n">
        <v>2025</v>
      </c>
      <c r="AA481" s="47">
        <f>IF(F481="",0,F481)</f>
        <v/>
      </c>
      <c r="AB481" s="87">
        <f>IF(AA481&gt;=0.1,1,0)</f>
        <v/>
      </c>
      <c r="AC481" s="87" t="n">
        <v>0</v>
      </c>
      <c r="AD481" s="47">
        <f>IF(U481="",0,U481)</f>
        <v/>
      </c>
      <c r="AE481" s="87">
        <f>IF(OR(V481=1,W481=1),1,0)</f>
        <v/>
      </c>
      <c r="AF481" s="87" t="n">
        <v>0</v>
      </c>
      <c r="AG481" t="n">
        <v>9403</v>
      </c>
      <c r="AH481" t="n">
        <v>141120</v>
      </c>
      <c r="AI481" t="n">
        <v>0</v>
      </c>
      <c r="AJ481" s="88">
        <f>IF(OR(AG481&lt;=0,AH481&lt;=0),"",LN(AG481)-LN(AH481))</f>
        <v/>
      </c>
      <c r="AK481" t="n">
        <v>23989</v>
      </c>
      <c r="AL481" t="n">
        <v>126534</v>
      </c>
      <c r="AM481" s="88">
        <f>IF(OR(AK481&lt;=0,AL481&lt;=0),"",LN(AK481)-LN(AL481))</f>
        <v/>
      </c>
      <c r="AN481" t="n">
        <v>9244</v>
      </c>
      <c r="AO481" t="n">
        <v>135930</v>
      </c>
      <c r="AP481" s="88">
        <f>IF(OR(AN481&lt;=0,AO481&lt;=0),"",LN(AN481)-LN(AO481))</f>
        <v/>
      </c>
      <c r="AQ481" t="n">
        <v>9167</v>
      </c>
      <c r="AR481" t="n">
        <v>141120</v>
      </c>
      <c r="AS481" s="88">
        <f>IF(OR(AQ481&lt;=0,AR481&lt;=0),"",LN(AQ481)-LN(AR481))</f>
        <v/>
      </c>
      <c r="AT481" t="n">
        <v>9364</v>
      </c>
      <c r="AU481" t="n">
        <v>140082</v>
      </c>
      <c r="AV481" t="n">
        <v>1080</v>
      </c>
      <c r="AW481" t="n">
        <v>975</v>
      </c>
      <c r="AX481" t="n">
        <v>8347</v>
      </c>
      <c r="AY481" s="88">
        <f>IF(OR(AT481&lt;=0,AU481&lt;=0),"",LN(AT481)-LN(AU481))</f>
        <v/>
      </c>
      <c r="AZ481" s="46" t="n">
        <v>12.2</v>
      </c>
      <c r="BA481" s="46" t="n">
        <v>27.27</v>
      </c>
      <c r="BB481" s="47" t="n">
        <v>0.9</v>
      </c>
    </row>
    <row r="482">
      <c r="A482" s="48" t="n">
        <v>45772</v>
      </c>
      <c r="B482" s="49" t="n">
        <v>148019</v>
      </c>
      <c r="C482" s="50" t="n">
        <v>24.28</v>
      </c>
      <c r="D482" s="51" t="inlineStr">
        <is>
          <t>Moderate</t>
        </is>
      </c>
      <c r="E482" s="52" t="n">
        <v>12.5</v>
      </c>
      <c r="F482" s="52" t="n"/>
      <c r="G482" s="51" t="inlineStr">
        <is>
          <t>Fri</t>
        </is>
      </c>
      <c r="H482" s="51" t="inlineStr">
        <is>
          <t>Weekday</t>
        </is>
      </c>
      <c r="I482" s="51" t="inlineStr">
        <is>
          <t>Spring</t>
        </is>
      </c>
      <c r="J482" s="51" t="n">
        <v>25</v>
      </c>
      <c r="K482" s="51" t="inlineStr">
        <is>
          <t>강수량 공란</t>
        </is>
      </c>
      <c r="L482" s="46" t="n">
        <v>52.04</v>
      </c>
      <c r="M482" t="inlineStr">
        <is>
          <t>Moderate</t>
        </is>
      </c>
      <c r="N482" s="87" t="n">
        <v>25</v>
      </c>
      <c r="O482" s="87" t="n">
        <v>0</v>
      </c>
      <c r="P482" s="87" t="n">
        <v>0</v>
      </c>
      <c r="Q482" s="87" t="n">
        <v>0</v>
      </c>
      <c r="R482" s="87" t="n">
        <v>0</v>
      </c>
      <c r="S482" s="47" t="n">
        <v>3</v>
      </c>
      <c r="T482" s="47" t="n">
        <v>38.4</v>
      </c>
      <c r="U482" s="47" t="n"/>
      <c r="V482" s="87" t="n">
        <v>0</v>
      </c>
      <c r="W482" s="87" t="n">
        <v>0</v>
      </c>
      <c r="Y482" t="inlineStr">
        <is>
          <t>Apr</t>
        </is>
      </c>
      <c r="Z482" s="87" t="n">
        <v>2025</v>
      </c>
      <c r="AA482" s="47">
        <f>IF(F482="",0,F482)</f>
        <v/>
      </c>
      <c r="AB482" s="87">
        <f>IF(AA482&gt;=0.1,1,0)</f>
        <v/>
      </c>
      <c r="AC482" s="87" t="n">
        <v>0</v>
      </c>
      <c r="AD482" s="47">
        <f>IF(U482="",0,U482)</f>
        <v/>
      </c>
      <c r="AE482" s="87">
        <f>IF(OR(V482=1,W482=1),1,0)</f>
        <v/>
      </c>
      <c r="AF482" s="87" t="n">
        <v>0</v>
      </c>
      <c r="AG482" t="n">
        <v>9222</v>
      </c>
      <c r="AH482" t="n">
        <v>138797</v>
      </c>
      <c r="AI482" t="n">
        <v>0</v>
      </c>
      <c r="AJ482" s="88">
        <f>IF(OR(AG482&lt;=0,AH482&lt;=0),"",LN(AG482)-LN(AH482))</f>
        <v/>
      </c>
      <c r="AK482" t="n">
        <v>23450</v>
      </c>
      <c r="AL482" t="n">
        <v>124569</v>
      </c>
      <c r="AM482" s="88">
        <f>IF(OR(AK482&lt;=0,AL482&lt;=0),"",LN(AK482)-LN(AL482))</f>
        <v/>
      </c>
      <c r="AN482" t="n">
        <v>9094</v>
      </c>
      <c r="AO482" t="n">
        <v>133689</v>
      </c>
      <c r="AP482" s="88">
        <f>IF(OR(AN482&lt;=0,AO482&lt;=0),"",LN(AN482)-LN(AO482))</f>
        <v/>
      </c>
      <c r="AQ482" t="n">
        <v>8983</v>
      </c>
      <c r="AR482" t="n">
        <v>138797</v>
      </c>
      <c r="AS482" s="88">
        <f>IF(OR(AQ482&lt;=0,AR482&lt;=0),"",LN(AQ482)-LN(AR482))</f>
        <v/>
      </c>
      <c r="AT482" t="n">
        <v>9194</v>
      </c>
      <c r="AU482" t="n">
        <v>137705</v>
      </c>
      <c r="AV482" t="n">
        <v>1121</v>
      </c>
      <c r="AW482" t="n">
        <v>976</v>
      </c>
      <c r="AX482" t="n">
        <v>8168</v>
      </c>
      <c r="AY482" s="88">
        <f>IF(OR(AT482&lt;=0,AU482&lt;=0),"",LN(AT482)-LN(AU482))</f>
        <v/>
      </c>
      <c r="AZ482" s="46" t="n">
        <v>12.5</v>
      </c>
      <c r="BA482" s="46" t="n">
        <v>27.87</v>
      </c>
      <c r="BB482" s="47" t="n">
        <v>0</v>
      </c>
    </row>
    <row r="483">
      <c r="A483" s="48" t="n">
        <v>45773</v>
      </c>
      <c r="B483" s="49" t="n">
        <v>133576</v>
      </c>
      <c r="C483" s="50" t="n">
        <v>14</v>
      </c>
      <c r="D483" s="51" t="inlineStr">
        <is>
          <t>Good</t>
        </is>
      </c>
      <c r="E483" s="52" t="n">
        <v>13.8</v>
      </c>
      <c r="F483" s="52" t="n"/>
      <c r="G483" s="51" t="inlineStr">
        <is>
          <t>Sat</t>
        </is>
      </c>
      <c r="H483" s="51" t="inlineStr">
        <is>
          <t>Weekend</t>
        </is>
      </c>
      <c r="I483" s="51" t="inlineStr">
        <is>
          <t>Spring</t>
        </is>
      </c>
      <c r="J483" s="51" t="n">
        <v>25</v>
      </c>
      <c r="K483" s="51" t="inlineStr">
        <is>
          <t>강수량 공란</t>
        </is>
      </c>
      <c r="L483" s="46" t="n">
        <v>36.72</v>
      </c>
      <c r="M483" t="inlineStr">
        <is>
          <t>Moderate</t>
        </is>
      </c>
      <c r="N483" s="87" t="n">
        <v>25</v>
      </c>
      <c r="O483" s="87" t="n">
        <v>0</v>
      </c>
      <c r="P483" s="87" t="n">
        <v>0</v>
      </c>
      <c r="Q483" s="87" t="n">
        <v>0</v>
      </c>
      <c r="R483" s="87" t="n">
        <v>0</v>
      </c>
      <c r="S483" s="47" t="n">
        <v>2.8</v>
      </c>
      <c r="T483" s="47" t="n">
        <v>53.1</v>
      </c>
      <c r="U483" s="47" t="n"/>
      <c r="V483" s="87" t="n">
        <v>1</v>
      </c>
      <c r="W483" s="87" t="n">
        <v>0</v>
      </c>
      <c r="Y483" t="inlineStr">
        <is>
          <t>Apr</t>
        </is>
      </c>
      <c r="Z483" s="87" t="n">
        <v>2025</v>
      </c>
      <c r="AA483" s="47">
        <f>IF(F483="",0,F483)</f>
        <v/>
      </c>
      <c r="AB483" s="87">
        <f>IF(AA483&gt;=0.1,1,0)</f>
        <v/>
      </c>
      <c r="AC483" s="87" t="n">
        <v>0</v>
      </c>
      <c r="AD483" s="47">
        <f>IF(U483="",0,U483)</f>
        <v/>
      </c>
      <c r="AE483" s="87">
        <f>IF(OR(V483=1,W483=1),1,0)</f>
        <v/>
      </c>
      <c r="AF483" s="87" t="n">
        <v>0</v>
      </c>
      <c r="AG483" t="n">
        <v>12521</v>
      </c>
      <c r="AH483" t="n">
        <v>121055</v>
      </c>
      <c r="AI483" t="n">
        <v>0</v>
      </c>
      <c r="AJ483" s="88">
        <f>IF(OR(AG483&lt;=0,AH483&lt;=0),"",LN(AG483)-LN(AH483))</f>
        <v/>
      </c>
      <c r="AK483" t="n">
        <v>26620</v>
      </c>
      <c r="AL483" t="n">
        <v>106956</v>
      </c>
      <c r="AM483" s="88">
        <f>IF(OR(AK483&lt;=0,AL483&lt;=0),"",LN(AK483)-LN(AL483))</f>
        <v/>
      </c>
      <c r="AN483" t="n">
        <v>12314</v>
      </c>
      <c r="AO483" t="n">
        <v>116711</v>
      </c>
      <c r="AP483" s="88">
        <f>IF(OR(AN483&lt;=0,AO483&lt;=0),"",LN(AN483)-LN(AO483))</f>
        <v/>
      </c>
      <c r="AQ483" t="n">
        <v>12090</v>
      </c>
      <c r="AR483" t="n">
        <v>121055</v>
      </c>
      <c r="AS483" s="88">
        <f>IF(OR(AQ483&lt;=0,AR483&lt;=0),"",LN(AQ483)-LN(AR483))</f>
        <v/>
      </c>
      <c r="AT483" t="n">
        <v>12437</v>
      </c>
      <c r="AU483" t="n">
        <v>120116</v>
      </c>
      <c r="AV483" t="n">
        <v>1022</v>
      </c>
      <c r="AW483" t="n">
        <v>2012</v>
      </c>
      <c r="AX483" t="n">
        <v>10369</v>
      </c>
      <c r="AY483" s="88">
        <f>IF(OR(AT483&lt;=0,AU483&lt;=0),"",LN(AT483)-LN(AU483))</f>
        <v/>
      </c>
      <c r="AZ483" s="46" t="n">
        <v>12</v>
      </c>
      <c r="BA483" s="46" t="n">
        <v>27.29</v>
      </c>
      <c r="BB483" s="47" t="n">
        <v>0</v>
      </c>
    </row>
    <row r="484">
      <c r="A484" s="48" t="n">
        <v>45774</v>
      </c>
      <c r="B484" s="49" t="n">
        <v>116046</v>
      </c>
      <c r="C484" s="50" t="n">
        <v>9.92</v>
      </c>
      <c r="D484" s="51" t="inlineStr">
        <is>
          <t>Good</t>
        </is>
      </c>
      <c r="E484" s="52" t="n">
        <v>14.9</v>
      </c>
      <c r="F484" s="52" t="n"/>
      <c r="G484" s="51" t="inlineStr">
        <is>
          <t>Sun</t>
        </is>
      </c>
      <c r="H484" s="51" t="inlineStr">
        <is>
          <t>Weekend</t>
        </is>
      </c>
      <c r="I484" s="51" t="inlineStr">
        <is>
          <t>Spring</t>
        </is>
      </c>
      <c r="J484" s="51" t="n">
        <v>25</v>
      </c>
      <c r="K484" s="51" t="inlineStr">
        <is>
          <t>강수량 공란</t>
        </is>
      </c>
      <c r="L484" s="46" t="n">
        <v>26.44</v>
      </c>
      <c r="M484" t="inlineStr">
        <is>
          <t>Good</t>
        </is>
      </c>
      <c r="N484" s="87" t="n">
        <v>25</v>
      </c>
      <c r="O484" s="87" t="n">
        <v>0</v>
      </c>
      <c r="P484" s="87" t="n">
        <v>0</v>
      </c>
      <c r="Q484" s="87" t="n">
        <v>0</v>
      </c>
      <c r="R484" s="87" t="n">
        <v>0</v>
      </c>
      <c r="S484" s="47" t="n">
        <v>2.8</v>
      </c>
      <c r="T484" s="47" t="n">
        <v>46.4</v>
      </c>
      <c r="U484" s="47" t="n"/>
      <c r="V484" s="87" t="n">
        <v>1</v>
      </c>
      <c r="W484" s="87" t="n">
        <v>0</v>
      </c>
      <c r="Y484" t="inlineStr">
        <is>
          <t>Apr</t>
        </is>
      </c>
      <c r="Z484" s="87" t="n">
        <v>2025</v>
      </c>
      <c r="AA484" s="47">
        <f>IF(F484="",0,F484)</f>
        <v/>
      </c>
      <c r="AB484" s="87">
        <f>IF(AA484&gt;=0.1,1,0)</f>
        <v/>
      </c>
      <c r="AC484" s="87" t="n">
        <v>0</v>
      </c>
      <c r="AD484" s="47">
        <f>IF(U484="",0,U484)</f>
        <v/>
      </c>
      <c r="AE484" s="87">
        <f>IF(OR(V484=1,W484=1),1,0)</f>
        <v/>
      </c>
      <c r="AF484" s="87" t="n">
        <v>0</v>
      </c>
      <c r="AG484" t="n">
        <v>10791</v>
      </c>
      <c r="AH484" t="n">
        <v>105255</v>
      </c>
      <c r="AI484" t="n">
        <v>0</v>
      </c>
      <c r="AJ484" s="88">
        <f>IF(OR(AG484&lt;=0,AH484&lt;=0),"",LN(AG484)-LN(AH484))</f>
        <v/>
      </c>
      <c r="AK484" t="n">
        <v>22768</v>
      </c>
      <c r="AL484" t="n">
        <v>93278</v>
      </c>
      <c r="AM484" s="88">
        <f>IF(OR(AK484&lt;=0,AL484&lt;=0),"",LN(AK484)-LN(AL484))</f>
        <v/>
      </c>
      <c r="AN484" t="n">
        <v>10620</v>
      </c>
      <c r="AO484" t="n">
        <v>101646</v>
      </c>
      <c r="AP484" s="88">
        <f>IF(OR(AN484&lt;=0,AO484&lt;=0),"",LN(AN484)-LN(AO484))</f>
        <v/>
      </c>
      <c r="AQ484" t="n">
        <v>10441</v>
      </c>
      <c r="AR484" t="n">
        <v>105255</v>
      </c>
      <c r="AS484" s="88">
        <f>IF(OR(AQ484&lt;=0,AR484&lt;=0),"",LN(AQ484)-LN(AR484))</f>
        <v/>
      </c>
      <c r="AT484" t="n">
        <v>11821</v>
      </c>
      <c r="AU484" t="n">
        <v>103354</v>
      </c>
      <c r="AV484" t="n">
        <v>872</v>
      </c>
      <c r="AW484" t="n">
        <v>1801</v>
      </c>
      <c r="AX484" t="n">
        <v>8882</v>
      </c>
      <c r="AY484" s="88">
        <f>IF(OR(AT484&lt;=0,AU484&lt;=0),"",LN(AT484)-LN(AU484))</f>
        <v/>
      </c>
      <c r="AZ484" s="46" t="n">
        <v>6.3</v>
      </c>
      <c r="BA484" s="46" t="n">
        <v>18.58</v>
      </c>
      <c r="BB484" s="47" t="n">
        <v>6.5</v>
      </c>
    </row>
    <row r="485">
      <c r="A485" s="48" t="n">
        <v>45775</v>
      </c>
      <c r="B485" s="49" t="n">
        <v>151257</v>
      </c>
      <c r="C485" s="50" t="n">
        <v>15.52</v>
      </c>
      <c r="D485" s="51" t="inlineStr">
        <is>
          <t>Moderate</t>
        </is>
      </c>
      <c r="E485" s="52" t="n">
        <v>15.1</v>
      </c>
      <c r="F485" s="52" t="n"/>
      <c r="G485" s="51" t="inlineStr">
        <is>
          <t>Mon</t>
        </is>
      </c>
      <c r="H485" s="51" t="inlineStr">
        <is>
          <t>Weekday</t>
        </is>
      </c>
      <c r="I485" s="51" t="inlineStr">
        <is>
          <t>Spring</t>
        </is>
      </c>
      <c r="J485" s="51" t="n">
        <v>25</v>
      </c>
      <c r="K485" s="51" t="inlineStr">
        <is>
          <t>강수량 공란</t>
        </is>
      </c>
      <c r="L485" s="46" t="n">
        <v>36.68</v>
      </c>
      <c r="M485" t="inlineStr">
        <is>
          <t>Moderate</t>
        </is>
      </c>
      <c r="N485" s="87" t="n">
        <v>25</v>
      </c>
      <c r="O485" s="87" t="n">
        <v>0</v>
      </c>
      <c r="P485" s="87" t="n">
        <v>0</v>
      </c>
      <c r="Q485" s="87" t="n">
        <v>0</v>
      </c>
      <c r="R485" s="87" t="n">
        <v>0</v>
      </c>
      <c r="S485" s="47" t="n">
        <v>2.7</v>
      </c>
      <c r="T485" s="47" t="n">
        <v>45.6</v>
      </c>
      <c r="U485" s="47" t="n"/>
      <c r="V485" s="87" t="n">
        <v>0</v>
      </c>
      <c r="W485" s="87" t="n">
        <v>0</v>
      </c>
      <c r="Y485" t="inlineStr">
        <is>
          <t>Apr</t>
        </is>
      </c>
      <c r="Z485" s="87" t="n">
        <v>2025</v>
      </c>
      <c r="AA485" s="47">
        <f>IF(F485="",0,F485)</f>
        <v/>
      </c>
      <c r="AB485" s="87">
        <f>IF(AA485&gt;=0.1,1,0)</f>
        <v/>
      </c>
      <c r="AC485" s="87" t="n">
        <v>0</v>
      </c>
      <c r="AD485" s="47">
        <f>IF(U485="",0,U485)</f>
        <v/>
      </c>
      <c r="AE485" s="87">
        <f>IF(OR(V485=1,W485=1),1,0)</f>
        <v/>
      </c>
      <c r="AF485" s="87" t="n">
        <v>0</v>
      </c>
      <c r="AG485" t="n">
        <v>9421</v>
      </c>
      <c r="AH485" t="n">
        <v>141836</v>
      </c>
      <c r="AI485" t="n">
        <v>0</v>
      </c>
      <c r="AJ485" s="88">
        <f>IF(OR(AG485&lt;=0,AH485&lt;=0),"",LN(AG485)-LN(AH485))</f>
        <v/>
      </c>
      <c r="AK485" t="n">
        <v>24198</v>
      </c>
      <c r="AL485" t="n">
        <v>127059</v>
      </c>
      <c r="AM485" s="88">
        <f>IF(OR(AK485&lt;=0,AL485&lt;=0),"",LN(AK485)-LN(AL485))</f>
        <v/>
      </c>
      <c r="AN485" t="n">
        <v>9250</v>
      </c>
      <c r="AO485" t="n">
        <v>136474</v>
      </c>
      <c r="AP485" s="88">
        <f>IF(OR(AN485&lt;=0,AO485&lt;=0),"",LN(AN485)-LN(AO485))</f>
        <v/>
      </c>
      <c r="AQ485" t="n">
        <v>9174</v>
      </c>
      <c r="AR485" t="n">
        <v>141836</v>
      </c>
      <c r="AS485" s="88">
        <f>IF(OR(AQ485&lt;=0,AR485&lt;=0),"",LN(AQ485)-LN(AR485))</f>
        <v/>
      </c>
      <c r="AT485" t="n">
        <v>9514</v>
      </c>
      <c r="AU485" t="n">
        <v>140710</v>
      </c>
      <c r="AV485" t="n">
        <v>1036</v>
      </c>
      <c r="AW485" t="n">
        <v>1001</v>
      </c>
      <c r="AX485" t="n">
        <v>8331</v>
      </c>
      <c r="AY485" s="88">
        <f>IF(OR(AT485&lt;=0,AU485&lt;=0),"",LN(AT485)-LN(AU485))</f>
        <v/>
      </c>
      <c r="AZ485" s="46" t="n">
        <v>12.5</v>
      </c>
      <c r="BA485" s="46" t="n">
        <v>27.28</v>
      </c>
      <c r="BB485" s="47" t="n">
        <v>1</v>
      </c>
    </row>
    <row r="486">
      <c r="A486" s="48" t="n">
        <v>45776</v>
      </c>
      <c r="B486" s="49" t="n">
        <v>157192</v>
      </c>
      <c r="C486" s="50" t="n">
        <v>24.56</v>
      </c>
      <c r="D486" s="51" t="inlineStr">
        <is>
          <t>Moderate</t>
        </is>
      </c>
      <c r="E486" s="52" t="n">
        <v>14.8</v>
      </c>
      <c r="F486" s="52" t="n"/>
      <c r="G486" s="51" t="inlineStr">
        <is>
          <t>Tue</t>
        </is>
      </c>
      <c r="H486" s="51" t="inlineStr">
        <is>
          <t>Weekday</t>
        </is>
      </c>
      <c r="I486" s="51" t="inlineStr">
        <is>
          <t>Spring</t>
        </is>
      </c>
      <c r="J486" s="51" t="n">
        <v>25</v>
      </c>
      <c r="K486" s="51" t="inlineStr">
        <is>
          <t>강수량 공란</t>
        </is>
      </c>
      <c r="L486" s="46" t="n">
        <v>39.8</v>
      </c>
      <c r="M486" t="inlineStr">
        <is>
          <t>Moderate</t>
        </is>
      </c>
      <c r="N486" s="87" t="n">
        <v>25</v>
      </c>
      <c r="O486" s="87" t="n">
        <v>0</v>
      </c>
      <c r="P486" s="87" t="n">
        <v>0</v>
      </c>
      <c r="Q486" s="87" t="n">
        <v>0</v>
      </c>
      <c r="R486" s="87" t="n">
        <v>0</v>
      </c>
      <c r="S486" s="47" t="n">
        <v>2.3</v>
      </c>
      <c r="T486" s="47" t="n">
        <v>34.1</v>
      </c>
      <c r="U486" s="47" t="n"/>
      <c r="V486" s="87" t="n">
        <v>0</v>
      </c>
      <c r="W486" s="87" t="n">
        <v>0</v>
      </c>
      <c r="Y486" t="inlineStr">
        <is>
          <t>Apr</t>
        </is>
      </c>
      <c r="Z486" s="87" t="n">
        <v>2025</v>
      </c>
      <c r="AA486" s="47">
        <f>IF(F486="",0,F486)</f>
        <v/>
      </c>
      <c r="AB486" s="87">
        <f>IF(AA486&gt;=0.1,1,0)</f>
        <v/>
      </c>
      <c r="AC486" s="87" t="n">
        <v>0</v>
      </c>
      <c r="AD486" s="47">
        <f>IF(U486="",0,U486)</f>
        <v/>
      </c>
      <c r="AE486" s="87">
        <f>IF(OR(V486=1,W486=1),1,0)</f>
        <v/>
      </c>
      <c r="AF486" s="87" t="n">
        <v>0</v>
      </c>
      <c r="AG486" t="n">
        <v>9911</v>
      </c>
      <c r="AH486" t="n">
        <v>147281</v>
      </c>
      <c r="AI486" t="n">
        <v>0</v>
      </c>
      <c r="AJ486" s="88">
        <f>IF(OR(AG486&lt;=0,AH486&lt;=0),"",LN(AG486)-LN(AH486))</f>
        <v/>
      </c>
      <c r="AK486" t="n">
        <v>25299</v>
      </c>
      <c r="AL486" t="n">
        <v>131893</v>
      </c>
      <c r="AM486" s="88">
        <f>IF(OR(AK486&lt;=0,AL486&lt;=0),"",LN(AK486)-LN(AL486))</f>
        <v/>
      </c>
      <c r="AN486" t="n">
        <v>9742</v>
      </c>
      <c r="AO486" t="n">
        <v>141902</v>
      </c>
      <c r="AP486" s="88">
        <f>IF(OR(AN486&lt;=0,AO486&lt;=0),"",LN(AN486)-LN(AO486))</f>
        <v/>
      </c>
      <c r="AQ486" t="n">
        <v>9650</v>
      </c>
      <c r="AR486" t="n">
        <v>147281</v>
      </c>
      <c r="AS486" s="88">
        <f>IF(OR(AQ486&lt;=0,AR486&lt;=0),"",LN(AQ486)-LN(AR486))</f>
        <v/>
      </c>
      <c r="AT486" t="n">
        <v>9825</v>
      </c>
      <c r="AU486" t="n">
        <v>146294</v>
      </c>
      <c r="AV486" t="n">
        <v>1073</v>
      </c>
      <c r="AW486" t="n">
        <v>1105</v>
      </c>
      <c r="AX486" t="n">
        <v>8735</v>
      </c>
      <c r="AY486" s="88">
        <f>IF(OR(AT486&lt;=0,AU486&lt;=0),"",LN(AT486)-LN(AU486))</f>
        <v/>
      </c>
      <c r="AZ486" s="46" t="n">
        <v>12.8</v>
      </c>
      <c r="BA486" s="46" t="n">
        <v>28.09</v>
      </c>
      <c r="BB486" s="47" t="n">
        <v>0</v>
      </c>
    </row>
    <row r="487">
      <c r="A487" s="48" t="n">
        <v>45777</v>
      </c>
      <c r="B487" s="49" t="n">
        <v>165631</v>
      </c>
      <c r="C487" s="50" t="n">
        <v>20.52</v>
      </c>
      <c r="D487" s="51" t="inlineStr">
        <is>
          <t>Moderate</t>
        </is>
      </c>
      <c r="E487" s="52" t="n">
        <v>18.4</v>
      </c>
      <c r="F487" s="52" t="n"/>
      <c r="G487" s="51" t="inlineStr">
        <is>
          <t>Wed</t>
        </is>
      </c>
      <c r="H487" s="51" t="inlineStr">
        <is>
          <t>Weekday</t>
        </is>
      </c>
      <c r="I487" s="51" t="inlineStr">
        <is>
          <t>Spring</t>
        </is>
      </c>
      <c r="J487" s="51" t="n">
        <v>25</v>
      </c>
      <c r="K487" s="51" t="inlineStr">
        <is>
          <t>강수량 공란</t>
        </is>
      </c>
      <c r="L487" s="46" t="n">
        <v>41.88</v>
      </c>
      <c r="M487" t="inlineStr">
        <is>
          <t>Moderate</t>
        </is>
      </c>
      <c r="N487" s="87" t="n">
        <v>25</v>
      </c>
      <c r="O487" s="87" t="n">
        <v>0</v>
      </c>
      <c r="P487" s="87" t="n">
        <v>0</v>
      </c>
      <c r="Q487" s="87" t="n">
        <v>0</v>
      </c>
      <c r="R487" s="87" t="n">
        <v>0</v>
      </c>
      <c r="S487" s="47" t="n">
        <v>2.6</v>
      </c>
      <c r="T487" s="47" t="n">
        <v>36.3</v>
      </c>
      <c r="U487" s="47" t="n"/>
      <c r="V487" s="87" t="n">
        <v>0</v>
      </c>
      <c r="W487" s="87" t="n">
        <v>0</v>
      </c>
      <c r="Y487" t="inlineStr">
        <is>
          <t>Apr</t>
        </is>
      </c>
      <c r="Z487" s="87" t="n">
        <v>2025</v>
      </c>
      <c r="AA487" s="47">
        <f>IF(F487="",0,F487)</f>
        <v/>
      </c>
      <c r="AB487" s="87">
        <f>IF(AA487&gt;=0.1,1,0)</f>
        <v/>
      </c>
      <c r="AC487" s="87" t="n">
        <v>0</v>
      </c>
      <c r="AD487" s="47">
        <f>IF(U487="",0,U487)</f>
        <v/>
      </c>
      <c r="AE487" s="87">
        <f>IF(OR(V487=1,W487=1),1,0)</f>
        <v/>
      </c>
      <c r="AF487" s="87" t="n">
        <v>0</v>
      </c>
      <c r="AG487" t="n">
        <v>10797</v>
      </c>
      <c r="AH487" t="n">
        <v>154834</v>
      </c>
      <c r="AI487" t="n">
        <v>0</v>
      </c>
      <c r="AJ487" s="88">
        <f>IF(OR(AG487&lt;=0,AH487&lt;=0),"",LN(AG487)-LN(AH487))</f>
        <v/>
      </c>
      <c r="AK487" t="n">
        <v>27053</v>
      </c>
      <c r="AL487" t="n">
        <v>138578</v>
      </c>
      <c r="AM487" s="88">
        <f>IF(OR(AK487&lt;=0,AL487&lt;=0),"",LN(AK487)-LN(AL487))</f>
        <v/>
      </c>
      <c r="AN487" t="n">
        <v>10594</v>
      </c>
      <c r="AO487" t="n">
        <v>149048</v>
      </c>
      <c r="AP487" s="88">
        <f>IF(OR(AN487&lt;=0,AO487&lt;=0),"",LN(AN487)-LN(AO487))</f>
        <v/>
      </c>
      <c r="AQ487" t="n">
        <v>10519</v>
      </c>
      <c r="AR487" t="n">
        <v>154834</v>
      </c>
      <c r="AS487" s="88">
        <f>IF(OR(AQ487&lt;=0,AR487&lt;=0),"",LN(AQ487)-LN(AR487))</f>
        <v/>
      </c>
      <c r="AT487" t="n">
        <v>10253</v>
      </c>
      <c r="AU487" t="n">
        <v>154259</v>
      </c>
      <c r="AV487" t="n">
        <v>1126</v>
      </c>
      <c r="AW487" t="n">
        <v>1084</v>
      </c>
      <c r="AX487" t="n">
        <v>9624</v>
      </c>
      <c r="AY487" s="88">
        <f>IF(OR(AT487&lt;=0,AU487&lt;=0),"",LN(AT487)-LN(AU487))</f>
        <v/>
      </c>
      <c r="AZ487" s="46" t="n">
        <v>12</v>
      </c>
      <c r="BA487" s="46" t="n">
        <v>27.73</v>
      </c>
      <c r="BB487" s="47" t="n">
        <v>2.4</v>
      </c>
    </row>
    <row r="488">
      <c r="A488" s="48" t="n">
        <v>45778</v>
      </c>
      <c r="B488" s="49" t="n">
        <v>53546</v>
      </c>
      <c r="C488" s="50" t="n">
        <v>17.8</v>
      </c>
      <c r="D488" s="51" t="inlineStr">
        <is>
          <t>Moderate</t>
        </is>
      </c>
      <c r="E488" s="52" t="n">
        <v>14.7</v>
      </c>
      <c r="F488" s="52" t="n">
        <v>21.1</v>
      </c>
      <c r="G488" s="51" t="inlineStr">
        <is>
          <t>Thu</t>
        </is>
      </c>
      <c r="H488" s="51" t="inlineStr">
        <is>
          <t>Weekday</t>
        </is>
      </c>
      <c r="I488" s="51" t="inlineStr">
        <is>
          <t>Spring</t>
        </is>
      </c>
      <c r="J488" s="51" t="n">
        <v>25</v>
      </c>
      <c r="K488" s="51" t="inlineStr">
        <is>
          <t>OK</t>
        </is>
      </c>
      <c r="L488" s="46" t="n">
        <v>33.6</v>
      </c>
      <c r="M488" t="inlineStr">
        <is>
          <t>Moderate</t>
        </is>
      </c>
      <c r="N488" s="87" t="n">
        <v>25</v>
      </c>
      <c r="O488" s="87" t="n">
        <v>0</v>
      </c>
      <c r="P488" s="87" t="n">
        <v>0</v>
      </c>
      <c r="Q488" s="87" t="n">
        <v>0</v>
      </c>
      <c r="R488" s="87" t="n">
        <v>0</v>
      </c>
      <c r="S488" s="47" t="n">
        <v>2.2</v>
      </c>
      <c r="T488" s="47" t="n">
        <v>69.59999999999999</v>
      </c>
      <c r="U488" s="47" t="n"/>
      <c r="V488" s="87" t="n">
        <v>0</v>
      </c>
      <c r="W488" s="87" t="n">
        <v>0</v>
      </c>
      <c r="X488" t="inlineStr">
        <is>
          <t>근로자의날*</t>
        </is>
      </c>
      <c r="Y488" t="inlineStr">
        <is>
          <t>May</t>
        </is>
      </c>
      <c r="Z488" s="87" t="n">
        <v>2025</v>
      </c>
      <c r="AA488" s="47">
        <f>IF(F488="",0,F488)</f>
        <v/>
      </c>
      <c r="AB488" s="87">
        <f>IF(AA488&gt;=0.1,1,0)</f>
        <v/>
      </c>
      <c r="AC488" s="87" t="n">
        <v>0</v>
      </c>
      <c r="AD488" s="47">
        <f>IF(U488="",0,U488)</f>
        <v/>
      </c>
      <c r="AE488" s="87">
        <f>IF(OR(V488=1,W488=1),1,0)</f>
        <v/>
      </c>
      <c r="AF488" s="87" t="n">
        <v>0</v>
      </c>
      <c r="AG488" t="n">
        <v>2900</v>
      </c>
      <c r="AH488" t="n">
        <v>50646</v>
      </c>
      <c r="AI488" t="n">
        <v>0</v>
      </c>
      <c r="AJ488" s="88">
        <f>IF(OR(AG488&lt;=0,AH488&lt;=0),"",LN(AG488)-LN(AH488))</f>
        <v/>
      </c>
      <c r="AK488" t="n">
        <v>7469</v>
      </c>
      <c r="AL488" t="n">
        <v>46077</v>
      </c>
      <c r="AM488" s="88">
        <f>IF(OR(AK488&lt;=0,AL488&lt;=0),"",LN(AK488)-LN(AL488))</f>
        <v/>
      </c>
      <c r="AN488" t="n">
        <v>2852</v>
      </c>
      <c r="AO488" t="n">
        <v>48723</v>
      </c>
      <c r="AP488" s="88">
        <f>IF(OR(AN488&lt;=0,AO488&lt;=0),"",LN(AN488)-LN(AO488))</f>
        <v/>
      </c>
      <c r="AQ488" t="n">
        <v>2802</v>
      </c>
      <c r="AR488" t="n">
        <v>50646</v>
      </c>
      <c r="AS488" s="88">
        <f>IF(OR(AQ488&lt;=0,AR488&lt;=0),"",LN(AQ488)-LN(AR488))</f>
        <v/>
      </c>
      <c r="AT488" t="n">
        <v>3666</v>
      </c>
      <c r="AU488" t="n">
        <v>49531</v>
      </c>
      <c r="AV488" t="n">
        <v>351</v>
      </c>
      <c r="AW488" t="n">
        <v>347</v>
      </c>
      <c r="AX488" t="n">
        <v>2521</v>
      </c>
      <c r="AY488" s="88">
        <f>IF(OR(AT488&lt;=0,AU488&lt;=0),"",LN(AT488)-LN(AU488))</f>
        <v/>
      </c>
      <c r="AZ488" s="46" t="n">
        <v>0</v>
      </c>
      <c r="BA488" s="46" t="n">
        <v>2.15</v>
      </c>
      <c r="BB488" s="47" t="n">
        <v>7.3</v>
      </c>
    </row>
    <row r="489">
      <c r="A489" s="48" t="n">
        <v>45779</v>
      </c>
      <c r="B489" s="49" t="n">
        <v>144932</v>
      </c>
      <c r="C489" s="50" t="n">
        <v>11.88</v>
      </c>
      <c r="D489" s="51" t="inlineStr">
        <is>
          <t>Good</t>
        </is>
      </c>
      <c r="E489" s="52" t="n">
        <v>13.4</v>
      </c>
      <c r="F489" s="52" t="n">
        <v>0</v>
      </c>
      <c r="G489" s="51" t="inlineStr">
        <is>
          <t>Fri</t>
        </is>
      </c>
      <c r="H489" s="51" t="inlineStr">
        <is>
          <t>Weekday</t>
        </is>
      </c>
      <c r="I489" s="51" t="inlineStr">
        <is>
          <t>Spring</t>
        </is>
      </c>
      <c r="J489" s="51" t="n">
        <v>25</v>
      </c>
      <c r="K489" s="51" t="inlineStr">
        <is>
          <t>OK</t>
        </is>
      </c>
      <c r="L489" s="46" t="n">
        <v>23.88</v>
      </c>
      <c r="M489" t="inlineStr">
        <is>
          <t>Good</t>
        </is>
      </c>
      <c r="N489" s="87" t="n">
        <v>25</v>
      </c>
      <c r="O489" s="87" t="n">
        <v>0</v>
      </c>
      <c r="P489" s="87" t="n">
        <v>0</v>
      </c>
      <c r="Q489" s="87" t="n">
        <v>0</v>
      </c>
      <c r="R489" s="87" t="n">
        <v>0</v>
      </c>
      <c r="S489" s="47" t="n">
        <v>3.1</v>
      </c>
      <c r="T489" s="47" t="n">
        <v>59.3</v>
      </c>
      <c r="U489" s="47" t="n"/>
      <c r="V489" s="87" t="n">
        <v>0</v>
      </c>
      <c r="W489" s="87" t="n">
        <v>0</v>
      </c>
      <c r="Y489" t="inlineStr">
        <is>
          <t>May</t>
        </is>
      </c>
      <c r="Z489" s="87" t="n">
        <v>2025</v>
      </c>
      <c r="AA489" s="47">
        <f>IF(F489="",0,F489)</f>
        <v/>
      </c>
      <c r="AB489" s="87">
        <f>IF(AA489&gt;=0.1,1,0)</f>
        <v/>
      </c>
      <c r="AC489" s="87" t="n">
        <v>1</v>
      </c>
      <c r="AD489" s="47">
        <f>IF(U489="",0,U489)</f>
        <v/>
      </c>
      <c r="AE489" s="87">
        <f>IF(OR(V489=1,W489=1),1,0)</f>
        <v/>
      </c>
      <c r="AF489" s="87" t="n">
        <v>0</v>
      </c>
      <c r="AG489" t="n">
        <v>10172</v>
      </c>
      <c r="AH489" t="n">
        <v>134760</v>
      </c>
      <c r="AI489" t="n">
        <v>0</v>
      </c>
      <c r="AJ489" s="88">
        <f>IF(OR(AG489&lt;=0,AH489&lt;=0),"",LN(AG489)-LN(AH489))</f>
        <v/>
      </c>
      <c r="AK489" t="n">
        <v>24345</v>
      </c>
      <c r="AL489" t="n">
        <v>120587</v>
      </c>
      <c r="AM489" s="88">
        <f>IF(OR(AK489&lt;=0,AL489&lt;=0),"",LN(AK489)-LN(AL489))</f>
        <v/>
      </c>
      <c r="AN489" t="n">
        <v>9994</v>
      </c>
      <c r="AO489" t="n">
        <v>129727</v>
      </c>
      <c r="AP489" s="88">
        <f>IF(OR(AN489&lt;=0,AO489&lt;=0),"",LN(AN489)-LN(AO489))</f>
        <v/>
      </c>
      <c r="AQ489" t="n">
        <v>9892</v>
      </c>
      <c r="AR489" t="n">
        <v>134760</v>
      </c>
      <c r="AS489" s="88">
        <f>IF(OR(AQ489&lt;=0,AR489&lt;=0),"",LN(AQ489)-LN(AR489))</f>
        <v/>
      </c>
      <c r="AT489" t="n">
        <v>10521</v>
      </c>
      <c r="AU489" t="n">
        <v>133501</v>
      </c>
      <c r="AV489" t="n">
        <v>911</v>
      </c>
      <c r="AW489" t="n">
        <v>1277</v>
      </c>
      <c r="AX489" t="n">
        <v>8822</v>
      </c>
      <c r="AY489" s="88">
        <f>IF(OR(AT489&lt;=0,AU489&lt;=0),"",LN(AT489)-LN(AU489))</f>
        <v/>
      </c>
      <c r="AZ489" s="46" t="n">
        <v>9.1</v>
      </c>
      <c r="BA489" s="46" t="n">
        <v>24.67</v>
      </c>
      <c r="BB489" s="47" t="n">
        <v>5.6</v>
      </c>
    </row>
    <row r="490">
      <c r="A490" s="48" t="n">
        <v>45780</v>
      </c>
      <c r="B490" s="49" t="n">
        <v>62746</v>
      </c>
      <c r="C490" s="50" t="n">
        <v>10.24</v>
      </c>
      <c r="D490" s="51" t="inlineStr">
        <is>
          <t>Good</t>
        </is>
      </c>
      <c r="E490" s="52" t="n">
        <v>11.2</v>
      </c>
      <c r="F490" s="52" t="n">
        <v>7.3</v>
      </c>
      <c r="G490" s="51" t="inlineStr">
        <is>
          <t>Sat</t>
        </is>
      </c>
      <c r="H490" s="51" t="inlineStr">
        <is>
          <t>Weekend</t>
        </is>
      </c>
      <c r="I490" s="51" t="inlineStr">
        <is>
          <t>Spring</t>
        </is>
      </c>
      <c r="J490" s="51" t="n">
        <v>25</v>
      </c>
      <c r="K490" s="51" t="inlineStr">
        <is>
          <t>OK</t>
        </is>
      </c>
      <c r="L490" s="46" t="n">
        <v>17.8</v>
      </c>
      <c r="M490" t="inlineStr">
        <is>
          <t>Good</t>
        </is>
      </c>
      <c r="N490" s="87" t="n">
        <v>25</v>
      </c>
      <c r="O490" s="87" t="n">
        <v>0</v>
      </c>
      <c r="P490" s="87" t="n">
        <v>0</v>
      </c>
      <c r="Q490" s="87" t="n">
        <v>0</v>
      </c>
      <c r="R490" s="87" t="n">
        <v>0</v>
      </c>
      <c r="S490" s="47" t="n">
        <v>2.3</v>
      </c>
      <c r="T490" s="47" t="n">
        <v>80.5</v>
      </c>
      <c r="U490" s="47" t="n"/>
      <c r="V490" s="87" t="n">
        <v>1</v>
      </c>
      <c r="W490" s="87" t="n">
        <v>0</v>
      </c>
      <c r="Y490" t="inlineStr">
        <is>
          <t>May</t>
        </is>
      </c>
      <c r="Z490" s="87" t="n">
        <v>2025</v>
      </c>
      <c r="AA490" s="47">
        <f>IF(F490="",0,F490)</f>
        <v/>
      </c>
      <c r="AB490" s="87">
        <f>IF(AA490&gt;=0.1,1,0)</f>
        <v/>
      </c>
      <c r="AC490" s="87" t="n">
        <v>0</v>
      </c>
      <c r="AD490" s="47">
        <f>IF(U490="",0,U490)</f>
        <v/>
      </c>
      <c r="AE490" s="87">
        <f>IF(OR(V490=1,W490=1),1,0)</f>
        <v/>
      </c>
      <c r="AF490" s="87" t="n">
        <v>0</v>
      </c>
      <c r="AG490" t="n">
        <v>4570</v>
      </c>
      <c r="AH490" t="n">
        <v>58176</v>
      </c>
      <c r="AI490" t="n">
        <v>0</v>
      </c>
      <c r="AJ490" s="88">
        <f>IF(OR(AG490&lt;=0,AH490&lt;=0),"",LN(AG490)-LN(AH490))</f>
        <v/>
      </c>
      <c r="AK490" t="n">
        <v>10617</v>
      </c>
      <c r="AL490" t="n">
        <v>52129</v>
      </c>
      <c r="AM490" s="88">
        <f>IF(OR(AK490&lt;=0,AL490&lt;=0),"",LN(AK490)-LN(AL490))</f>
        <v/>
      </c>
      <c r="AN490" t="n">
        <v>4468</v>
      </c>
      <c r="AO490" t="n">
        <v>56038</v>
      </c>
      <c r="AP490" s="88">
        <f>IF(OR(AN490&lt;=0,AO490&lt;=0),"",LN(AN490)-LN(AO490))</f>
        <v/>
      </c>
      <c r="AQ490" t="n">
        <v>4439</v>
      </c>
      <c r="AR490" t="n">
        <v>58176</v>
      </c>
      <c r="AS490" s="88">
        <f>IF(OR(AQ490&lt;=0,AR490&lt;=0),"",LN(AQ490)-LN(AR490))</f>
        <v/>
      </c>
      <c r="AT490" t="n">
        <v>5592</v>
      </c>
      <c r="AU490" t="n">
        <v>56717</v>
      </c>
      <c r="AV490" t="n">
        <v>438</v>
      </c>
      <c r="AW490" t="n">
        <v>631</v>
      </c>
      <c r="AX490" t="n">
        <v>3899</v>
      </c>
      <c r="AY490" s="88">
        <f>IF(OR(AT490&lt;=0,AU490&lt;=0),"",LN(AT490)-LN(AU490))</f>
        <v/>
      </c>
      <c r="AZ490" s="46" t="n">
        <v>1.2</v>
      </c>
      <c r="BA490" s="46" t="n">
        <v>7.6</v>
      </c>
      <c r="BB490" s="47" t="n">
        <v>6.9</v>
      </c>
    </row>
    <row r="491">
      <c r="A491" s="48" t="n">
        <v>45781</v>
      </c>
      <c r="B491" s="49" t="n">
        <v>111340</v>
      </c>
      <c r="C491" s="50" t="n">
        <v>12.96</v>
      </c>
      <c r="D491" s="51" t="inlineStr">
        <is>
          <t>Good</t>
        </is>
      </c>
      <c r="E491" s="52" t="n">
        <v>13.7</v>
      </c>
      <c r="F491" s="52" t="n"/>
      <c r="G491" s="51" t="inlineStr">
        <is>
          <t>Sun</t>
        </is>
      </c>
      <c r="H491" s="51" t="inlineStr">
        <is>
          <t>Weekend</t>
        </is>
      </c>
      <c r="I491" s="51" t="inlineStr">
        <is>
          <t>Spring</t>
        </is>
      </c>
      <c r="J491" s="51" t="n">
        <v>25</v>
      </c>
      <c r="K491" s="51" t="inlineStr">
        <is>
          <t>강수량 공란</t>
        </is>
      </c>
      <c r="L491" s="46" t="n">
        <v>33.4</v>
      </c>
      <c r="M491" t="inlineStr">
        <is>
          <t>Moderate</t>
        </is>
      </c>
      <c r="N491" s="87" t="n">
        <v>25</v>
      </c>
      <c r="O491" s="87" t="n">
        <v>0</v>
      </c>
      <c r="P491" s="87" t="n">
        <v>0</v>
      </c>
      <c r="Q491" s="87" t="n">
        <v>0</v>
      </c>
      <c r="R491" s="87" t="n">
        <v>0</v>
      </c>
      <c r="S491" s="47" t="n">
        <v>2.8</v>
      </c>
      <c r="T491" s="47" t="n">
        <v>60.9</v>
      </c>
      <c r="U491" s="47" t="n"/>
      <c r="V491" s="87" t="n">
        <v>1</v>
      </c>
      <c r="W491" s="87" t="n">
        <v>0</v>
      </c>
      <c r="Y491" t="inlineStr">
        <is>
          <t>May</t>
        </is>
      </c>
      <c r="Z491" s="87" t="n">
        <v>2025</v>
      </c>
      <c r="AA491" s="47">
        <f>IF(F491="",0,F491)</f>
        <v/>
      </c>
      <c r="AB491" s="87">
        <f>IF(AA491&gt;=0.1,1,0)</f>
        <v/>
      </c>
      <c r="AC491" s="87" t="n">
        <v>0</v>
      </c>
      <c r="AD491" s="47">
        <f>IF(U491="",0,U491)</f>
        <v/>
      </c>
      <c r="AE491" s="87">
        <f>IF(OR(V491=1,W491=1),1,0)</f>
        <v/>
      </c>
      <c r="AF491" s="87" t="n">
        <v>0</v>
      </c>
      <c r="AG491" t="n">
        <v>12612</v>
      </c>
      <c r="AH491" t="n">
        <v>98728</v>
      </c>
      <c r="AI491" t="n">
        <v>0</v>
      </c>
      <c r="AJ491" s="88">
        <f>IF(OR(AG491&lt;=0,AH491&lt;=0),"",LN(AG491)-LN(AH491))</f>
        <v/>
      </c>
      <c r="AK491" t="n">
        <v>24465</v>
      </c>
      <c r="AL491" t="n">
        <v>86875</v>
      </c>
      <c r="AM491" s="88">
        <f>IF(OR(AK491&lt;=0,AL491&lt;=0),"",LN(AK491)-LN(AL491))</f>
        <v/>
      </c>
      <c r="AN491" t="n">
        <v>12328</v>
      </c>
      <c r="AO491" t="n">
        <v>95243</v>
      </c>
      <c r="AP491" s="88">
        <f>IF(OR(AN491&lt;=0,AO491&lt;=0),"",LN(AN491)-LN(AO491))</f>
        <v/>
      </c>
      <c r="AQ491" t="n">
        <v>12168</v>
      </c>
      <c r="AR491" t="n">
        <v>98728</v>
      </c>
      <c r="AS491" s="88">
        <f>IF(OR(AQ491&lt;=0,AR491&lt;=0),"",LN(AQ491)-LN(AR491))</f>
        <v/>
      </c>
      <c r="AT491" t="n">
        <v>11659</v>
      </c>
      <c r="AU491" t="n">
        <v>98908</v>
      </c>
      <c r="AV491" t="n">
        <v>773</v>
      </c>
      <c r="AW491" t="n">
        <v>2283</v>
      </c>
      <c r="AX491" t="n">
        <v>10193</v>
      </c>
      <c r="AY491" s="88">
        <f>IF(OR(AT491&lt;=0,AU491&lt;=0),"",LN(AT491)-LN(AU491))</f>
        <v/>
      </c>
      <c r="AZ491" s="46" t="n">
        <v>12.8</v>
      </c>
      <c r="BA491" s="46" t="n">
        <v>28.63</v>
      </c>
      <c r="BB491" s="47" t="n">
        <v>1.1</v>
      </c>
    </row>
    <row r="492">
      <c r="A492" s="48" t="n">
        <v>45782</v>
      </c>
      <c r="B492" s="49" t="n">
        <v>88946</v>
      </c>
      <c r="C492" s="50" t="n">
        <v>14.52</v>
      </c>
      <c r="D492" s="51" t="inlineStr">
        <is>
          <t>Good</t>
        </is>
      </c>
      <c r="E492" s="52" t="n">
        <v>12.1</v>
      </c>
      <c r="F492" s="52" t="n"/>
      <c r="G492" s="51" t="inlineStr">
        <is>
          <t>Mon</t>
        </is>
      </c>
      <c r="H492" s="51" t="inlineStr">
        <is>
          <t>Weekday</t>
        </is>
      </c>
      <c r="I492" s="51" t="inlineStr">
        <is>
          <t>Spring</t>
        </is>
      </c>
      <c r="J492" s="51" t="n">
        <v>25</v>
      </c>
      <c r="K492" s="51" t="inlineStr">
        <is>
          <t>강수량 공란</t>
        </is>
      </c>
      <c r="L492" s="46" t="n">
        <v>27.92</v>
      </c>
      <c r="M492" t="inlineStr">
        <is>
          <t>Good</t>
        </is>
      </c>
      <c r="N492" s="87" t="n">
        <v>25</v>
      </c>
      <c r="O492" s="87" t="n">
        <v>0</v>
      </c>
      <c r="P492" s="87" t="n">
        <v>0</v>
      </c>
      <c r="Q492" s="87" t="n">
        <v>0</v>
      </c>
      <c r="R492" s="87" t="n">
        <v>0</v>
      </c>
      <c r="S492" s="47" t="n">
        <v>2.3</v>
      </c>
      <c r="T492" s="47" t="n">
        <v>64.5</v>
      </c>
      <c r="U492" s="47" t="n"/>
      <c r="V492" s="87" t="n">
        <v>0</v>
      </c>
      <c r="W492" s="87" t="n">
        <v>1</v>
      </c>
      <c r="X492" t="inlineStr">
        <is>
          <t>어린이날·부처님오신날</t>
        </is>
      </c>
      <c r="Y492" t="inlineStr">
        <is>
          <t>May</t>
        </is>
      </c>
      <c r="Z492" s="87" t="n">
        <v>2025</v>
      </c>
      <c r="AA492" s="47">
        <f>IF(F492="",0,F492)</f>
        <v/>
      </c>
      <c r="AB492" s="87">
        <f>IF(AA492&gt;=0.1,1,0)</f>
        <v/>
      </c>
      <c r="AC492" s="87" t="n">
        <v>0</v>
      </c>
      <c r="AD492" s="47">
        <f>IF(U492="",0,U492)</f>
        <v/>
      </c>
      <c r="AE492" s="87">
        <f>IF(OR(V492=1,W492=1),1,0)</f>
        <v/>
      </c>
      <c r="AF492" s="87" t="n">
        <v>0</v>
      </c>
      <c r="AG492" t="n">
        <v>7643</v>
      </c>
      <c r="AH492" t="n">
        <v>81303</v>
      </c>
      <c r="AI492" t="n">
        <v>0</v>
      </c>
      <c r="AJ492" s="88">
        <f>IF(OR(AG492&lt;=0,AH492&lt;=0),"",LN(AG492)-LN(AH492))</f>
        <v/>
      </c>
      <c r="AK492" t="n">
        <v>16684</v>
      </c>
      <c r="AL492" t="n">
        <v>72262</v>
      </c>
      <c r="AM492" s="88">
        <f>IF(OR(AK492&lt;=0,AL492&lt;=0),"",LN(AK492)-LN(AL492))</f>
        <v/>
      </c>
      <c r="AN492" t="n">
        <v>7482</v>
      </c>
      <c r="AO492" t="n">
        <v>78321</v>
      </c>
      <c r="AP492" s="88">
        <f>IF(OR(AN492&lt;=0,AO492&lt;=0),"",LN(AN492)-LN(AO492))</f>
        <v/>
      </c>
      <c r="AQ492" t="n">
        <v>7398</v>
      </c>
      <c r="AR492" t="n">
        <v>81303</v>
      </c>
      <c r="AS492" s="88">
        <f>IF(OR(AQ492&lt;=0,AR492&lt;=0),"",LN(AQ492)-LN(AR492))</f>
        <v/>
      </c>
      <c r="AT492" t="n">
        <v>8963</v>
      </c>
      <c r="AU492" t="n">
        <v>79408</v>
      </c>
      <c r="AV492" t="n">
        <v>575</v>
      </c>
      <c r="AW492" t="n">
        <v>1405</v>
      </c>
      <c r="AX492" t="n">
        <v>6154</v>
      </c>
      <c r="AY492" s="88">
        <f>IF(OR(AT492&lt;=0,AU492&lt;=0),"",LN(AT492)-LN(AU492))</f>
        <v/>
      </c>
      <c r="AZ492" s="46" t="n">
        <v>0.3</v>
      </c>
      <c r="BA492" s="46" t="n">
        <v>7.03</v>
      </c>
      <c r="BB492" s="47" t="n">
        <v>8</v>
      </c>
    </row>
    <row r="493">
      <c r="A493" s="48" t="n">
        <v>45783</v>
      </c>
      <c r="B493" s="49" t="n">
        <v>121891</v>
      </c>
      <c r="C493" s="50" t="n">
        <v>9.720000000000001</v>
      </c>
      <c r="D493" s="51" t="inlineStr">
        <is>
          <t>Good</t>
        </is>
      </c>
      <c r="E493" s="52" t="n">
        <v>14.4</v>
      </c>
      <c r="F493" s="52" t="n"/>
      <c r="G493" s="51" t="inlineStr">
        <is>
          <t>Tue</t>
        </is>
      </c>
      <c r="H493" s="51" t="inlineStr">
        <is>
          <t>Weekday</t>
        </is>
      </c>
      <c r="I493" s="51" t="inlineStr">
        <is>
          <t>Spring</t>
        </is>
      </c>
      <c r="J493" s="51" t="n">
        <v>25</v>
      </c>
      <c r="K493" s="51" t="inlineStr">
        <is>
          <t>강수량 공란</t>
        </is>
      </c>
      <c r="L493" s="46" t="n">
        <v>21.125</v>
      </c>
      <c r="M493" t="inlineStr">
        <is>
          <t>Good</t>
        </is>
      </c>
      <c r="N493" s="87" t="n">
        <v>24</v>
      </c>
      <c r="O493" s="87" t="n">
        <v>0</v>
      </c>
      <c r="P493" s="87" t="n">
        <v>0</v>
      </c>
      <c r="Q493" s="87" t="n">
        <v>0</v>
      </c>
      <c r="R493" s="87" t="n">
        <v>0</v>
      </c>
      <c r="S493" s="47" t="n">
        <v>2.2</v>
      </c>
      <c r="T493" s="47" t="n">
        <v>57.5</v>
      </c>
      <c r="U493" s="47" t="n"/>
      <c r="V493" s="87" t="n">
        <v>0</v>
      </c>
      <c r="W493" s="87" t="n">
        <v>1</v>
      </c>
      <c r="X493" t="inlineStr">
        <is>
          <t>부처님오신날 대체공휴일</t>
        </is>
      </c>
      <c r="Y493" t="inlineStr">
        <is>
          <t>May</t>
        </is>
      </c>
      <c r="Z493" s="87" t="n">
        <v>2025</v>
      </c>
      <c r="AA493" s="47">
        <f>IF(F493="",0,F493)</f>
        <v/>
      </c>
      <c r="AB493" s="87">
        <f>IF(AA493&gt;=0.1,1,0)</f>
        <v/>
      </c>
      <c r="AC493" s="87" t="n">
        <v>0</v>
      </c>
      <c r="AD493" s="47">
        <f>IF(U493="",0,U493)</f>
        <v/>
      </c>
      <c r="AE493" s="87">
        <f>IF(OR(V493=1,W493=1),1,0)</f>
        <v/>
      </c>
      <c r="AF493" s="87" t="n">
        <v>0</v>
      </c>
      <c r="AG493" t="n">
        <v>11160</v>
      </c>
      <c r="AH493" t="n">
        <v>110731</v>
      </c>
      <c r="AI493" t="n">
        <v>0</v>
      </c>
      <c r="AJ493" s="88">
        <f>IF(OR(AG493&lt;=0,AH493&lt;=0),"",LN(AG493)-LN(AH493))</f>
        <v/>
      </c>
      <c r="AK493" t="n">
        <v>24083</v>
      </c>
      <c r="AL493" t="n">
        <v>97808</v>
      </c>
      <c r="AM493" s="88">
        <f>IF(OR(AK493&lt;=0,AL493&lt;=0),"",LN(AK493)-LN(AL493))</f>
        <v/>
      </c>
      <c r="AN493" t="n">
        <v>10912</v>
      </c>
      <c r="AO493" t="n">
        <v>106687</v>
      </c>
      <c r="AP493" s="88">
        <f>IF(OR(AN493&lt;=0,AO493&lt;=0),"",LN(AN493)-LN(AO493))</f>
        <v/>
      </c>
      <c r="AQ493" t="n">
        <v>10804</v>
      </c>
      <c r="AR493" t="n">
        <v>110731</v>
      </c>
      <c r="AS493" s="88">
        <f>IF(OR(AQ493&lt;=0,AR493&lt;=0),"",LN(AQ493)-LN(AR493))</f>
        <v/>
      </c>
      <c r="AT493" t="n">
        <v>13036</v>
      </c>
      <c r="AU493" t="n">
        <v>108148</v>
      </c>
      <c r="AV493" t="n">
        <v>708</v>
      </c>
      <c r="AW493" t="n">
        <v>1966</v>
      </c>
      <c r="AX493" t="n">
        <v>9104</v>
      </c>
      <c r="AY493" s="88">
        <f>IF(OR(AT493&lt;=0,AU493&lt;=0),"",LN(AT493)-LN(AU493))</f>
        <v/>
      </c>
      <c r="AZ493" s="46" t="n">
        <v>8.5</v>
      </c>
      <c r="BA493" s="46" t="n">
        <v>20</v>
      </c>
      <c r="BB493" s="47" t="n">
        <v>3.8</v>
      </c>
    </row>
    <row r="494">
      <c r="A494" s="48" t="n">
        <v>45784</v>
      </c>
      <c r="B494" s="49" t="n">
        <v>153648</v>
      </c>
      <c r="C494" s="50" t="n">
        <v>15.88</v>
      </c>
      <c r="D494" s="51" t="inlineStr">
        <is>
          <t>Moderate</t>
        </is>
      </c>
      <c r="E494" s="52" t="n">
        <v>14.9</v>
      </c>
      <c r="F494" s="52" t="n"/>
      <c r="G494" s="51" t="inlineStr">
        <is>
          <t>Wed</t>
        </is>
      </c>
      <c r="H494" s="51" t="inlineStr">
        <is>
          <t>Weekday</t>
        </is>
      </c>
      <c r="I494" s="51" t="inlineStr">
        <is>
          <t>Spring</t>
        </is>
      </c>
      <c r="J494" s="51" t="n">
        <v>25</v>
      </c>
      <c r="K494" s="51" t="inlineStr">
        <is>
          <t>강수량 공란</t>
        </is>
      </c>
      <c r="L494" s="46" t="n">
        <v>32.12</v>
      </c>
      <c r="M494" t="inlineStr">
        <is>
          <t>Moderate</t>
        </is>
      </c>
      <c r="N494" s="87" t="n">
        <v>25</v>
      </c>
      <c r="O494" s="87" t="n">
        <v>0</v>
      </c>
      <c r="P494" s="87" t="n">
        <v>0</v>
      </c>
      <c r="Q494" s="87" t="n">
        <v>0</v>
      </c>
      <c r="R494" s="87" t="n">
        <v>0</v>
      </c>
      <c r="S494" s="47" t="n">
        <v>2.2</v>
      </c>
      <c r="T494" s="47" t="n">
        <v>61.5</v>
      </c>
      <c r="U494" s="47" t="n"/>
      <c r="V494" s="87" t="n">
        <v>0</v>
      </c>
      <c r="W494" s="87" t="n">
        <v>0</v>
      </c>
      <c r="Y494" t="inlineStr">
        <is>
          <t>May</t>
        </is>
      </c>
      <c r="Z494" s="87" t="n">
        <v>2025</v>
      </c>
      <c r="AA494" s="47">
        <f>IF(F494="",0,F494)</f>
        <v/>
      </c>
      <c r="AB494" s="87">
        <f>IF(AA494&gt;=0.1,1,0)</f>
        <v/>
      </c>
      <c r="AC494" s="87" t="n">
        <v>0</v>
      </c>
      <c r="AD494" s="47">
        <f>IF(U494="",0,U494)</f>
        <v/>
      </c>
      <c r="AE494" s="87">
        <f>IF(OR(V494=1,W494=1),1,0)</f>
        <v/>
      </c>
      <c r="AF494" s="87" t="n">
        <v>0</v>
      </c>
      <c r="AG494" t="n">
        <v>9281</v>
      </c>
      <c r="AH494" t="n">
        <v>144367</v>
      </c>
      <c r="AI494" t="n">
        <v>0</v>
      </c>
      <c r="AJ494" s="88">
        <f>IF(OR(AG494&lt;=0,AH494&lt;=0),"",LN(AG494)-LN(AH494))</f>
        <v/>
      </c>
      <c r="AK494" t="n">
        <v>24483</v>
      </c>
      <c r="AL494" t="n">
        <v>129165</v>
      </c>
      <c r="AM494" s="88">
        <f>IF(OR(AK494&lt;=0,AL494&lt;=0),"",LN(AK494)-LN(AL494))</f>
        <v/>
      </c>
      <c r="AN494" t="n">
        <v>9120</v>
      </c>
      <c r="AO494" t="n">
        <v>138933</v>
      </c>
      <c r="AP494" s="88">
        <f>IF(OR(AN494&lt;=0,AO494&lt;=0),"",LN(AN494)-LN(AO494))</f>
        <v/>
      </c>
      <c r="AQ494" t="n">
        <v>9031</v>
      </c>
      <c r="AR494" t="n">
        <v>144367</v>
      </c>
      <c r="AS494" s="88">
        <f>IF(OR(AQ494&lt;=0,AR494&lt;=0),"",LN(AQ494)-LN(AR494))</f>
        <v/>
      </c>
      <c r="AT494" t="n">
        <v>9596</v>
      </c>
      <c r="AU494" t="n">
        <v>143118</v>
      </c>
      <c r="AV494" t="n">
        <v>937</v>
      </c>
      <c r="AW494" t="n">
        <v>977</v>
      </c>
      <c r="AX494" t="n">
        <v>8231</v>
      </c>
      <c r="AY494" s="88">
        <f>IF(OR(AT494&lt;=0,AU494&lt;=0),"",LN(AT494)-LN(AU494))</f>
        <v/>
      </c>
      <c r="AZ494" s="46" t="n">
        <v>12.3</v>
      </c>
      <c r="BA494" s="46" t="n">
        <v>27.9</v>
      </c>
      <c r="BB494" s="47" t="n">
        <v>2</v>
      </c>
    </row>
    <row r="495">
      <c r="A495" s="48" t="n">
        <v>45785</v>
      </c>
      <c r="B495" s="49" t="n">
        <v>160258</v>
      </c>
      <c r="C495" s="50" t="n">
        <v>21.56</v>
      </c>
      <c r="D495" s="51" t="inlineStr">
        <is>
          <t>Moderate</t>
        </is>
      </c>
      <c r="E495" s="52" t="n">
        <v>17.4</v>
      </c>
      <c r="F495" s="52" t="n"/>
      <c r="G495" s="51" t="inlineStr">
        <is>
          <t>Thu</t>
        </is>
      </c>
      <c r="H495" s="51" t="inlineStr">
        <is>
          <t>Weekday</t>
        </is>
      </c>
      <c r="I495" s="51" t="inlineStr">
        <is>
          <t>Spring</t>
        </is>
      </c>
      <c r="J495" s="51" t="n">
        <v>25</v>
      </c>
      <c r="K495" s="51" t="inlineStr">
        <is>
          <t>강수량 공란</t>
        </is>
      </c>
      <c r="L495" s="46" t="n">
        <v>57.2</v>
      </c>
      <c r="M495" t="inlineStr">
        <is>
          <t>Moderate</t>
        </is>
      </c>
      <c r="N495" s="87" t="n">
        <v>25</v>
      </c>
      <c r="O495" s="87" t="n">
        <v>0</v>
      </c>
      <c r="P495" s="87" t="n">
        <v>0</v>
      </c>
      <c r="Q495" s="87" t="n">
        <v>0</v>
      </c>
      <c r="R495" s="87" t="n">
        <v>0</v>
      </c>
      <c r="S495" s="47" t="n">
        <v>1.8</v>
      </c>
      <c r="T495" s="47" t="n">
        <v>53.5</v>
      </c>
      <c r="U495" s="47" t="n"/>
      <c r="V495" s="87" t="n">
        <v>0</v>
      </c>
      <c r="W495" s="87" t="n">
        <v>0</v>
      </c>
      <c r="Y495" t="inlineStr">
        <is>
          <t>May</t>
        </is>
      </c>
      <c r="Z495" s="87" t="n">
        <v>2025</v>
      </c>
      <c r="AA495" s="47">
        <f>IF(F495="",0,F495)</f>
        <v/>
      </c>
      <c r="AB495" s="87">
        <f>IF(AA495&gt;=0.1,1,0)</f>
        <v/>
      </c>
      <c r="AC495" s="87" t="n">
        <v>0</v>
      </c>
      <c r="AD495" s="47">
        <f>IF(U495="",0,U495)</f>
        <v/>
      </c>
      <c r="AE495" s="87">
        <f>IF(OR(V495=1,W495=1),1,0)</f>
        <v/>
      </c>
      <c r="AF495" s="87" t="n">
        <v>0</v>
      </c>
      <c r="AG495" t="n">
        <v>9500</v>
      </c>
      <c r="AH495" t="n">
        <v>150758</v>
      </c>
      <c r="AI495" t="n">
        <v>0</v>
      </c>
      <c r="AJ495" s="88">
        <f>IF(OR(AG495&lt;=0,AH495&lt;=0),"",LN(AG495)-LN(AH495))</f>
        <v/>
      </c>
      <c r="AK495" t="n">
        <v>24949</v>
      </c>
      <c r="AL495" t="n">
        <v>135309</v>
      </c>
      <c r="AM495" s="88">
        <f>IF(OR(AK495&lt;=0,AL495&lt;=0),"",LN(AK495)-LN(AL495))</f>
        <v/>
      </c>
      <c r="AN495" t="n">
        <v>9317</v>
      </c>
      <c r="AO495" t="n">
        <v>145319</v>
      </c>
      <c r="AP495" s="88">
        <f>IF(OR(AN495&lt;=0,AO495&lt;=0),"",LN(AN495)-LN(AO495))</f>
        <v/>
      </c>
      <c r="AQ495" t="n">
        <v>9273</v>
      </c>
      <c r="AR495" t="n">
        <v>150758</v>
      </c>
      <c r="AS495" s="88">
        <f>IF(OR(AQ495&lt;=0,AR495&lt;=0),"",LN(AQ495)-LN(AR495))</f>
        <v/>
      </c>
      <c r="AT495" t="n">
        <v>9902</v>
      </c>
      <c r="AU495" t="n">
        <v>149297</v>
      </c>
      <c r="AV495" t="n">
        <v>1060</v>
      </c>
      <c r="AW495" t="n">
        <v>974</v>
      </c>
      <c r="AX495" t="n">
        <v>8455</v>
      </c>
      <c r="AY495" s="88">
        <f>IF(OR(AT495&lt;=0,AU495&lt;=0),"",LN(AT495)-LN(AU495))</f>
        <v/>
      </c>
      <c r="AZ495" s="46" t="n">
        <v>11.2</v>
      </c>
      <c r="BA495" s="46" t="n">
        <v>26.79</v>
      </c>
      <c r="BB495" s="47" t="n">
        <v>5.3</v>
      </c>
    </row>
    <row r="496">
      <c r="A496" s="48" t="n">
        <v>45786</v>
      </c>
      <c r="B496" s="49" t="n">
        <v>24263</v>
      </c>
      <c r="C496" s="50" t="n">
        <v>16.88</v>
      </c>
      <c r="D496" s="51" t="inlineStr">
        <is>
          <t>Moderate</t>
        </is>
      </c>
      <c r="E496" s="52" t="n">
        <v>15.1</v>
      </c>
      <c r="F496" s="52" t="n">
        <v>17.6</v>
      </c>
      <c r="G496" s="51" t="inlineStr">
        <is>
          <t>Fri</t>
        </is>
      </c>
      <c r="H496" s="51" t="inlineStr">
        <is>
          <t>Weekday</t>
        </is>
      </c>
      <c r="I496" s="51" t="inlineStr">
        <is>
          <t>Spring</t>
        </is>
      </c>
      <c r="J496" s="51" t="n">
        <v>25</v>
      </c>
      <c r="K496" s="51" t="inlineStr">
        <is>
          <t>OK</t>
        </is>
      </c>
      <c r="L496" s="46" t="n">
        <v>48.2</v>
      </c>
      <c r="M496" t="inlineStr">
        <is>
          <t>Moderate</t>
        </is>
      </c>
      <c r="N496" s="87" t="n">
        <v>25</v>
      </c>
      <c r="O496" s="87" t="n">
        <v>0</v>
      </c>
      <c r="P496" s="87" t="n">
        <v>0</v>
      </c>
      <c r="Q496" s="87" t="n">
        <v>0</v>
      </c>
      <c r="R496" s="87" t="n">
        <v>0</v>
      </c>
      <c r="S496" s="47" t="n">
        <v>3</v>
      </c>
      <c r="T496" s="47" t="n">
        <v>81.8</v>
      </c>
      <c r="U496" s="47" t="n"/>
      <c r="V496" s="87" t="n">
        <v>0</v>
      </c>
      <c r="W496" s="87" t="n">
        <v>0</v>
      </c>
      <c r="Y496" t="inlineStr">
        <is>
          <t>May</t>
        </is>
      </c>
      <c r="Z496" s="87" t="n">
        <v>2025</v>
      </c>
      <c r="AA496" s="47">
        <f>IF(F496="",0,F496)</f>
        <v/>
      </c>
      <c r="AB496" s="87">
        <f>IF(AA496&gt;=0.1,1,0)</f>
        <v/>
      </c>
      <c r="AC496" s="87" t="n">
        <v>0</v>
      </c>
      <c r="AD496" s="47">
        <f>IF(U496="",0,U496)</f>
        <v/>
      </c>
      <c r="AE496" s="87">
        <f>IF(OR(V496=1,W496=1),1,0)</f>
        <v/>
      </c>
      <c r="AF496" s="87" t="n">
        <v>0</v>
      </c>
      <c r="AG496" t="n">
        <v>1270</v>
      </c>
      <c r="AH496" t="n">
        <v>22993</v>
      </c>
      <c r="AI496" t="n">
        <v>0</v>
      </c>
      <c r="AJ496" s="88">
        <f>IF(OR(AG496&lt;=0,AH496&lt;=0),"",LN(AG496)-LN(AH496))</f>
        <v/>
      </c>
      <c r="AK496" t="n">
        <v>3247</v>
      </c>
      <c r="AL496" t="n">
        <v>21016</v>
      </c>
      <c r="AM496" s="88">
        <f>IF(OR(AK496&lt;=0,AL496&lt;=0),"",LN(AK496)-LN(AL496))</f>
        <v/>
      </c>
      <c r="AN496" t="n">
        <v>1248</v>
      </c>
      <c r="AO496" t="n">
        <v>22164</v>
      </c>
      <c r="AP496" s="88">
        <f>IF(OR(AN496&lt;=0,AO496&lt;=0),"",LN(AN496)-LN(AO496))</f>
        <v/>
      </c>
      <c r="AQ496" t="n">
        <v>1235</v>
      </c>
      <c r="AR496" t="n">
        <v>22993</v>
      </c>
      <c r="AS496" s="88">
        <f>IF(OR(AQ496&lt;=0,AR496&lt;=0),"",LN(AQ496)-LN(AR496))</f>
        <v/>
      </c>
      <c r="AT496" t="n">
        <v>1283</v>
      </c>
      <c r="AU496" t="n">
        <v>22834</v>
      </c>
      <c r="AV496" t="n">
        <v>147</v>
      </c>
      <c r="AW496" t="n">
        <v>99</v>
      </c>
      <c r="AX496" t="n">
        <v>1163</v>
      </c>
      <c r="AY496" s="88">
        <f>IF(OR(AT496&lt;=0,AU496&lt;=0),"",LN(AT496)-LN(AU496))</f>
        <v/>
      </c>
      <c r="AZ496" s="46" t="n">
        <v>0</v>
      </c>
      <c r="BA496" s="46" t="n">
        <v>4.38</v>
      </c>
      <c r="BB496" s="47" t="n">
        <v>10</v>
      </c>
    </row>
    <row r="497">
      <c r="A497" s="48" t="n">
        <v>45787</v>
      </c>
      <c r="B497" s="49" t="n">
        <v>27823</v>
      </c>
      <c r="C497" s="50" t="n">
        <v>13.52</v>
      </c>
      <c r="D497" s="51" t="inlineStr">
        <is>
          <t>Good</t>
        </is>
      </c>
      <c r="E497" s="52" t="n">
        <v>12.3</v>
      </c>
      <c r="F497" s="52" t="n">
        <v>14.1</v>
      </c>
      <c r="G497" s="51" t="inlineStr">
        <is>
          <t>Sat</t>
        </is>
      </c>
      <c r="H497" s="51" t="inlineStr">
        <is>
          <t>Weekend</t>
        </is>
      </c>
      <c r="I497" s="51" t="inlineStr">
        <is>
          <t>Spring</t>
        </is>
      </c>
      <c r="J497" s="51" t="n">
        <v>25</v>
      </c>
      <c r="K497" s="51" t="inlineStr">
        <is>
          <t>OK</t>
        </is>
      </c>
      <c r="L497" s="46" t="n">
        <v>22.68</v>
      </c>
      <c r="M497" t="inlineStr">
        <is>
          <t>Good</t>
        </is>
      </c>
      <c r="N497" s="87" t="n">
        <v>25</v>
      </c>
      <c r="O497" s="87" t="n">
        <v>0</v>
      </c>
      <c r="P497" s="87" t="n">
        <v>0</v>
      </c>
      <c r="Q497" s="87" t="n">
        <v>0</v>
      </c>
      <c r="R497" s="87" t="n">
        <v>0</v>
      </c>
      <c r="S497" s="47" t="n">
        <v>3.5</v>
      </c>
      <c r="T497" s="47" t="n">
        <v>95.5</v>
      </c>
      <c r="U497" s="47" t="n"/>
      <c r="V497" s="87" t="n">
        <v>1</v>
      </c>
      <c r="W497" s="87" t="n">
        <v>0</v>
      </c>
      <c r="Y497" t="inlineStr">
        <is>
          <t>May</t>
        </is>
      </c>
      <c r="Z497" s="87" t="n">
        <v>2025</v>
      </c>
      <c r="AA497" s="47">
        <f>IF(F497="",0,F497)</f>
        <v/>
      </c>
      <c r="AB497" s="87">
        <f>IF(AA497&gt;=0.1,1,0)</f>
        <v/>
      </c>
      <c r="AC497" s="87" t="n">
        <v>0</v>
      </c>
      <c r="AD497" s="47">
        <f>IF(U497="",0,U497)</f>
        <v/>
      </c>
      <c r="AE497" s="87">
        <f>IF(OR(V497=1,W497=1),1,0)</f>
        <v/>
      </c>
      <c r="AF497" s="87" t="n">
        <v>0</v>
      </c>
      <c r="AG497" t="n">
        <v>1595</v>
      </c>
      <c r="AH497" t="n">
        <v>26228</v>
      </c>
      <c r="AI497" t="n">
        <v>0</v>
      </c>
      <c r="AJ497" s="88">
        <f>IF(OR(AG497&lt;=0,AH497&lt;=0),"",LN(AG497)-LN(AH497))</f>
        <v/>
      </c>
      <c r="AK497" t="n">
        <v>4316</v>
      </c>
      <c r="AL497" t="n">
        <v>23507</v>
      </c>
      <c r="AM497" s="88">
        <f>IF(OR(AK497&lt;=0,AL497&lt;=0),"",LN(AK497)-LN(AL497))</f>
        <v/>
      </c>
      <c r="AN497" t="n">
        <v>1558</v>
      </c>
      <c r="AO497" t="n">
        <v>25234</v>
      </c>
      <c r="AP497" s="88">
        <f>IF(OR(AN497&lt;=0,AO497&lt;=0),"",LN(AN497)-LN(AO497))</f>
        <v/>
      </c>
      <c r="AQ497" t="n">
        <v>1546</v>
      </c>
      <c r="AR497" t="n">
        <v>26228</v>
      </c>
      <c r="AS497" s="88">
        <f>IF(OR(AQ497&lt;=0,AR497&lt;=0),"",LN(AQ497)-LN(AR497))</f>
        <v/>
      </c>
      <c r="AT497" t="n">
        <v>2498</v>
      </c>
      <c r="AU497" t="n">
        <v>25149</v>
      </c>
      <c r="AV497" t="n">
        <v>177</v>
      </c>
      <c r="AW497" t="n">
        <v>222</v>
      </c>
      <c r="AX497" t="n">
        <v>1363</v>
      </c>
      <c r="AY497" s="88">
        <f>IF(OR(AT497&lt;=0,AU497&lt;=0),"",LN(AT497)-LN(AU497))</f>
        <v/>
      </c>
      <c r="AZ497" s="46" t="n">
        <v>0</v>
      </c>
      <c r="BA497" s="46" t="n">
        <v>2.15</v>
      </c>
      <c r="BB497" s="47" t="n">
        <v>9.800000000000001</v>
      </c>
    </row>
    <row r="498">
      <c r="A498" s="48" t="n">
        <v>45788</v>
      </c>
      <c r="B498" s="49" t="n">
        <v>118903</v>
      </c>
      <c r="C498" s="50" t="n">
        <v>32.04</v>
      </c>
      <c r="D498" s="51" t="inlineStr">
        <is>
          <t>Moderate</t>
        </is>
      </c>
      <c r="E498" s="52" t="n">
        <v>14.7</v>
      </c>
      <c r="F498" s="52" t="n">
        <v>0</v>
      </c>
      <c r="G498" s="51" t="inlineStr">
        <is>
          <t>Sun</t>
        </is>
      </c>
      <c r="H498" s="51" t="inlineStr">
        <is>
          <t>Weekend</t>
        </is>
      </c>
      <c r="I498" s="51" t="inlineStr">
        <is>
          <t>Spring</t>
        </is>
      </c>
      <c r="J498" s="51" t="n">
        <v>25</v>
      </c>
      <c r="K498" s="51" t="inlineStr">
        <is>
          <t>OK</t>
        </is>
      </c>
      <c r="L498" s="46" t="n">
        <v>52.6</v>
      </c>
      <c r="M498" t="inlineStr">
        <is>
          <t>Moderate</t>
        </is>
      </c>
      <c r="N498" s="87" t="n">
        <v>25</v>
      </c>
      <c r="O498" s="87" t="n">
        <v>0</v>
      </c>
      <c r="P498" s="87" t="n">
        <v>0</v>
      </c>
      <c r="Q498" s="87" t="n">
        <v>0</v>
      </c>
      <c r="R498" s="87" t="n">
        <v>0</v>
      </c>
      <c r="S498" s="47" t="n">
        <v>1.9</v>
      </c>
      <c r="T498" s="47" t="n">
        <v>76.90000000000001</v>
      </c>
      <c r="U498" s="47" t="n"/>
      <c r="V498" s="87" t="n">
        <v>1</v>
      </c>
      <c r="W498" s="87" t="n">
        <v>0</v>
      </c>
      <c r="Y498" t="inlineStr">
        <is>
          <t>May</t>
        </is>
      </c>
      <c r="Z498" s="87" t="n">
        <v>2025</v>
      </c>
      <c r="AA498" s="47">
        <f>IF(F498="",0,F498)</f>
        <v/>
      </c>
      <c r="AB498" s="87">
        <f>IF(AA498&gt;=0.1,1,0)</f>
        <v/>
      </c>
      <c r="AC498" s="87" t="n">
        <v>1</v>
      </c>
      <c r="AD498" s="47">
        <f>IF(U498="",0,U498)</f>
        <v/>
      </c>
      <c r="AE498" s="87">
        <f>IF(OR(V498=1,W498=1),1,0)</f>
        <v/>
      </c>
      <c r="AF498" s="87" t="n">
        <v>0</v>
      </c>
      <c r="AG498" t="n">
        <v>11718</v>
      </c>
      <c r="AH498" t="n">
        <v>107185</v>
      </c>
      <c r="AI498" t="n">
        <v>0</v>
      </c>
      <c r="AJ498" s="88">
        <f>IF(OR(AG498&lt;=0,AH498&lt;=0),"",LN(AG498)-LN(AH498))</f>
        <v/>
      </c>
      <c r="AK498" t="n">
        <v>24237</v>
      </c>
      <c r="AL498" t="n">
        <v>94666</v>
      </c>
      <c r="AM498" s="88">
        <f>IF(OR(AK498&lt;=0,AL498&lt;=0),"",LN(AK498)-LN(AL498))</f>
        <v/>
      </c>
      <c r="AN498" t="n">
        <v>11503</v>
      </c>
      <c r="AO498" t="n">
        <v>103354</v>
      </c>
      <c r="AP498" s="88">
        <f>IF(OR(AN498&lt;=0,AO498&lt;=0),"",LN(AN498)-LN(AO498))</f>
        <v/>
      </c>
      <c r="AQ498" t="n">
        <v>11336</v>
      </c>
      <c r="AR498" t="n">
        <v>107185</v>
      </c>
      <c r="AS498" s="88">
        <f>IF(OR(AQ498&lt;=0,AR498&lt;=0),"",LN(AQ498)-LN(AR498))</f>
        <v/>
      </c>
      <c r="AT498" t="n">
        <v>12668</v>
      </c>
      <c r="AU498" t="n">
        <v>105394</v>
      </c>
      <c r="AV498" t="n">
        <v>840</v>
      </c>
      <c r="AW498" t="n">
        <v>1999</v>
      </c>
      <c r="AX498" t="n">
        <v>9612</v>
      </c>
      <c r="AY498" s="88">
        <f>IF(OR(AT498&lt;=0,AU498&lt;=0),"",LN(AT498)-LN(AU498))</f>
        <v/>
      </c>
      <c r="AZ498" s="46" t="n">
        <v>4.7</v>
      </c>
      <c r="BA498" s="46" t="n">
        <v>16.46</v>
      </c>
      <c r="BB498" s="47" t="n">
        <v>5.5</v>
      </c>
    </row>
    <row r="499">
      <c r="A499" s="48" t="n">
        <v>45789</v>
      </c>
      <c r="B499" s="49" t="n">
        <v>157203</v>
      </c>
      <c r="C499" s="50" t="n">
        <v>31.8</v>
      </c>
      <c r="D499" s="51" t="inlineStr">
        <is>
          <t>Moderate</t>
        </is>
      </c>
      <c r="E499" s="52" t="n">
        <v>17</v>
      </c>
      <c r="F499" s="52" t="n"/>
      <c r="G499" s="51" t="inlineStr">
        <is>
          <t>Mon</t>
        </is>
      </c>
      <c r="H499" s="51" t="inlineStr">
        <is>
          <t>Weekday</t>
        </is>
      </c>
      <c r="I499" s="51" t="inlineStr">
        <is>
          <t>Spring</t>
        </is>
      </c>
      <c r="J499" s="51" t="n">
        <v>25</v>
      </c>
      <c r="K499" s="51" t="inlineStr">
        <is>
          <t>강수량 공란</t>
        </is>
      </c>
      <c r="L499" s="46" t="n">
        <v>47.4</v>
      </c>
      <c r="M499" t="inlineStr">
        <is>
          <t>Moderate</t>
        </is>
      </c>
      <c r="N499" s="87" t="n">
        <v>25</v>
      </c>
      <c r="O499" s="87" t="n">
        <v>0</v>
      </c>
      <c r="P499" s="87" t="n">
        <v>0</v>
      </c>
      <c r="Q499" s="87" t="n">
        <v>0</v>
      </c>
      <c r="R499" s="87" t="n">
        <v>0</v>
      </c>
      <c r="S499" s="47" t="n">
        <v>2.1</v>
      </c>
      <c r="T499" s="47" t="n">
        <v>62.6</v>
      </c>
      <c r="U499" s="47" t="n"/>
      <c r="V499" s="87" t="n">
        <v>0</v>
      </c>
      <c r="W499" s="87" t="n">
        <v>0</v>
      </c>
      <c r="Y499" t="inlineStr">
        <is>
          <t>May</t>
        </is>
      </c>
      <c r="Z499" s="87" t="n">
        <v>2025</v>
      </c>
      <c r="AA499" s="47">
        <f>IF(F499="",0,F499)</f>
        <v/>
      </c>
      <c r="AB499" s="87">
        <f>IF(AA499&gt;=0.1,1,0)</f>
        <v/>
      </c>
      <c r="AC499" s="87" t="n">
        <v>0</v>
      </c>
      <c r="AD499" s="47">
        <f>IF(U499="",0,U499)</f>
        <v/>
      </c>
      <c r="AE499" s="87">
        <f>IF(OR(V499=1,W499=1),1,0)</f>
        <v/>
      </c>
      <c r="AF499" s="87" t="n">
        <v>0</v>
      </c>
      <c r="AG499" t="n">
        <v>9683</v>
      </c>
      <c r="AH499" t="n">
        <v>147520</v>
      </c>
      <c r="AI499" t="n">
        <v>0</v>
      </c>
      <c r="AJ499" s="88">
        <f>IF(OR(AG499&lt;=0,AH499&lt;=0),"",LN(AG499)-LN(AH499))</f>
        <v/>
      </c>
      <c r="AK499" t="n">
        <v>25007</v>
      </c>
      <c r="AL499" t="n">
        <v>132196</v>
      </c>
      <c r="AM499" s="88">
        <f>IF(OR(AK499&lt;=0,AL499&lt;=0),"",LN(AK499)-LN(AL499))</f>
        <v/>
      </c>
      <c r="AN499" t="n">
        <v>9494</v>
      </c>
      <c r="AO499" t="n">
        <v>142045</v>
      </c>
      <c r="AP499" s="88">
        <f>IF(OR(AN499&lt;=0,AO499&lt;=0),"",LN(AN499)-LN(AO499))</f>
        <v/>
      </c>
      <c r="AQ499" t="n">
        <v>9442</v>
      </c>
      <c r="AR499" t="n">
        <v>147520</v>
      </c>
      <c r="AS499" s="88">
        <f>IF(OR(AQ499&lt;=0,AR499&lt;=0),"",LN(AQ499)-LN(AR499))</f>
        <v/>
      </c>
      <c r="AT499" t="n">
        <v>10152</v>
      </c>
      <c r="AU499" t="n">
        <v>146046</v>
      </c>
      <c r="AV499" t="n">
        <v>1007</v>
      </c>
      <c r="AW499" t="n">
        <v>1128</v>
      </c>
      <c r="AX499" t="n">
        <v>8478</v>
      </c>
      <c r="AY499" s="88">
        <f>IF(OR(AT499&lt;=0,AU499&lt;=0),"",LN(AT499)-LN(AU499))</f>
        <v/>
      </c>
      <c r="AZ499" s="46" t="n">
        <v>12.7</v>
      </c>
      <c r="BA499" s="46" t="n">
        <v>28.93</v>
      </c>
      <c r="BB499" s="47" t="n">
        <v>0</v>
      </c>
    </row>
    <row r="500">
      <c r="A500" s="48" t="n">
        <v>45790</v>
      </c>
      <c r="B500" s="49" t="n">
        <v>162770</v>
      </c>
      <c r="C500" s="50" t="n">
        <v>26.32</v>
      </c>
      <c r="D500" s="51" t="inlineStr">
        <is>
          <t>Moderate</t>
        </is>
      </c>
      <c r="E500" s="52" t="n">
        <v>19.9</v>
      </c>
      <c r="F500" s="52" t="n"/>
      <c r="G500" s="51" t="inlineStr">
        <is>
          <t>Tue</t>
        </is>
      </c>
      <c r="H500" s="51" t="inlineStr">
        <is>
          <t>Weekday</t>
        </is>
      </c>
      <c r="I500" s="51" t="inlineStr">
        <is>
          <t>Spring</t>
        </is>
      </c>
      <c r="J500" s="51" t="n">
        <v>25</v>
      </c>
      <c r="K500" s="51" t="inlineStr">
        <is>
          <t>강수량 공란</t>
        </is>
      </c>
      <c r="L500" s="46" t="n">
        <v>41.64</v>
      </c>
      <c r="M500" t="inlineStr">
        <is>
          <t>Moderate</t>
        </is>
      </c>
      <c r="N500" s="87" t="n">
        <v>25</v>
      </c>
      <c r="O500" s="87" t="n">
        <v>0</v>
      </c>
      <c r="P500" s="87" t="n">
        <v>0</v>
      </c>
      <c r="Q500" s="87" t="n">
        <v>0</v>
      </c>
      <c r="R500" s="87" t="n">
        <v>0</v>
      </c>
      <c r="S500" s="47" t="n">
        <v>2.7</v>
      </c>
      <c r="T500" s="47" t="n">
        <v>47.4</v>
      </c>
      <c r="U500" s="47" t="n"/>
      <c r="V500" s="87" t="n">
        <v>0</v>
      </c>
      <c r="W500" s="87" t="n">
        <v>0</v>
      </c>
      <c r="Y500" t="inlineStr">
        <is>
          <t>May</t>
        </is>
      </c>
      <c r="Z500" s="87" t="n">
        <v>2025</v>
      </c>
      <c r="AA500" s="47">
        <f>IF(F500="",0,F500)</f>
        <v/>
      </c>
      <c r="AB500" s="87">
        <f>IF(AA500&gt;=0.1,1,0)</f>
        <v/>
      </c>
      <c r="AC500" s="87" t="n">
        <v>0</v>
      </c>
      <c r="AD500" s="47">
        <f>IF(U500="",0,U500)</f>
        <v/>
      </c>
      <c r="AE500" s="87">
        <f>IF(OR(V500=1,W500=1),1,0)</f>
        <v/>
      </c>
      <c r="AF500" s="87" t="n">
        <v>0</v>
      </c>
      <c r="AG500" t="n">
        <v>9819</v>
      </c>
      <c r="AH500" t="n">
        <v>152951</v>
      </c>
      <c r="AI500" t="n">
        <v>0</v>
      </c>
      <c r="AJ500" s="88">
        <f>IF(OR(AG500&lt;=0,AH500&lt;=0),"",LN(AG500)-LN(AH500))</f>
        <v/>
      </c>
      <c r="AK500" t="n">
        <v>25761</v>
      </c>
      <c r="AL500" t="n">
        <v>137009</v>
      </c>
      <c r="AM500" s="88">
        <f>IF(OR(AK500&lt;=0,AL500&lt;=0),"",LN(AK500)-LN(AL500))</f>
        <v/>
      </c>
      <c r="AN500" t="n">
        <v>9674</v>
      </c>
      <c r="AO500" t="n">
        <v>147123</v>
      </c>
      <c r="AP500" s="88">
        <f>IF(OR(AN500&lt;=0,AO500&lt;=0),"",LN(AN500)-LN(AO500))</f>
        <v/>
      </c>
      <c r="AQ500" t="n">
        <v>9544</v>
      </c>
      <c r="AR500" t="n">
        <v>152951</v>
      </c>
      <c r="AS500" s="88">
        <f>IF(OR(AQ500&lt;=0,AR500&lt;=0),"",LN(AQ500)-LN(AR500))</f>
        <v/>
      </c>
      <c r="AT500" t="n">
        <v>10051</v>
      </c>
      <c r="AU500" t="n">
        <v>151677</v>
      </c>
      <c r="AV500" t="n">
        <v>1044</v>
      </c>
      <c r="AW500" t="n">
        <v>1005</v>
      </c>
      <c r="AX500" t="n">
        <v>8728</v>
      </c>
      <c r="AY500" s="88">
        <f>IF(OR(AT500&lt;=0,AU500&lt;=0),"",LN(AT500)-LN(AU500))</f>
        <v/>
      </c>
      <c r="AZ500" s="46" t="n">
        <v>9</v>
      </c>
      <c r="BA500" s="46" t="n">
        <v>24.02</v>
      </c>
      <c r="BB500" s="47" t="n">
        <v>4.8</v>
      </c>
    </row>
    <row r="501">
      <c r="A501" s="48" t="n">
        <v>45791</v>
      </c>
      <c r="B501" s="49" t="n">
        <v>165177</v>
      </c>
      <c r="C501" s="50" t="n">
        <v>25.88</v>
      </c>
      <c r="D501" s="51" t="inlineStr">
        <is>
          <t>Moderate</t>
        </is>
      </c>
      <c r="E501" s="52" t="n">
        <v>21</v>
      </c>
      <c r="F501" s="52" t="n"/>
      <c r="G501" s="51" t="inlineStr">
        <is>
          <t>Wed</t>
        </is>
      </c>
      <c r="H501" s="51" t="inlineStr">
        <is>
          <t>Weekday</t>
        </is>
      </c>
      <c r="I501" s="51" t="inlineStr">
        <is>
          <t>Spring</t>
        </is>
      </c>
      <c r="J501" s="51" t="n">
        <v>25</v>
      </c>
      <c r="K501" s="51" t="inlineStr">
        <is>
          <t>강수량 공란</t>
        </is>
      </c>
      <c r="L501" s="46" t="n">
        <v>39.84</v>
      </c>
      <c r="M501" t="inlineStr">
        <is>
          <t>Moderate</t>
        </is>
      </c>
      <c r="N501" s="87" t="n">
        <v>25</v>
      </c>
      <c r="O501" s="87" t="n">
        <v>0</v>
      </c>
      <c r="P501" s="87" t="n">
        <v>0</v>
      </c>
      <c r="Q501" s="87" t="n">
        <v>0</v>
      </c>
      <c r="R501" s="87" t="n">
        <v>0</v>
      </c>
      <c r="S501" s="47" t="n">
        <v>2.4</v>
      </c>
      <c r="T501" s="47" t="n">
        <v>52.8</v>
      </c>
      <c r="U501" s="47" t="n"/>
      <c r="V501" s="87" t="n">
        <v>0</v>
      </c>
      <c r="W501" s="87" t="n">
        <v>0</v>
      </c>
      <c r="Y501" t="inlineStr">
        <is>
          <t>May</t>
        </is>
      </c>
      <c r="Z501" s="87" t="n">
        <v>2025</v>
      </c>
      <c r="AA501" s="47">
        <f>IF(F501="",0,F501)</f>
        <v/>
      </c>
      <c r="AB501" s="87">
        <f>IF(AA501&gt;=0.1,1,0)</f>
        <v/>
      </c>
      <c r="AC501" s="87" t="n">
        <v>0</v>
      </c>
      <c r="AD501" s="47">
        <f>IF(U501="",0,U501)</f>
        <v/>
      </c>
      <c r="AE501" s="87">
        <f>IF(OR(V501=1,W501=1),1,0)</f>
        <v/>
      </c>
      <c r="AF501" s="87" t="n">
        <v>0</v>
      </c>
      <c r="AG501" t="n">
        <v>9999</v>
      </c>
      <c r="AH501" t="n">
        <v>155178</v>
      </c>
      <c r="AI501" t="n">
        <v>0</v>
      </c>
      <c r="AJ501" s="88">
        <f>IF(OR(AG501&lt;=0,AH501&lt;=0),"",LN(AG501)-LN(AH501))</f>
        <v/>
      </c>
      <c r="AK501" t="n">
        <v>25832</v>
      </c>
      <c r="AL501" t="n">
        <v>139345</v>
      </c>
      <c r="AM501" s="88">
        <f>IF(OR(AK501&lt;=0,AL501&lt;=0),"",LN(AK501)-LN(AL501))</f>
        <v/>
      </c>
      <c r="AN501" t="n">
        <v>9825</v>
      </c>
      <c r="AO501" t="n">
        <v>149427</v>
      </c>
      <c r="AP501" s="88">
        <f>IF(OR(AN501&lt;=0,AO501&lt;=0),"",LN(AN501)-LN(AO501))</f>
        <v/>
      </c>
      <c r="AQ501" t="n">
        <v>9727</v>
      </c>
      <c r="AR501" t="n">
        <v>155178</v>
      </c>
      <c r="AS501" s="88">
        <f>IF(OR(AQ501&lt;=0,AR501&lt;=0),"",LN(AQ501)-LN(AR501))</f>
        <v/>
      </c>
      <c r="AT501" t="n">
        <v>10224</v>
      </c>
      <c r="AU501" t="n">
        <v>153881</v>
      </c>
      <c r="AV501" t="n">
        <v>1073</v>
      </c>
      <c r="AW501" t="n">
        <v>1019</v>
      </c>
      <c r="AX501" t="n">
        <v>8910</v>
      </c>
      <c r="AY501" s="88">
        <f>IF(OR(AT501&lt;=0,AU501&lt;=0),"",LN(AT501)-LN(AU501))</f>
        <v/>
      </c>
      <c r="AZ501" s="46" t="n">
        <v>11.7</v>
      </c>
      <c r="BA501" s="46" t="n">
        <v>26.31</v>
      </c>
      <c r="BB501" s="47" t="n">
        <v>3.5</v>
      </c>
    </row>
    <row r="502">
      <c r="A502" s="48" t="n">
        <v>45792</v>
      </c>
      <c r="B502" s="49" t="n">
        <v>113325</v>
      </c>
      <c r="C502" s="50" t="n">
        <v>22</v>
      </c>
      <c r="D502" s="51" t="inlineStr">
        <is>
          <t>Moderate</t>
        </is>
      </c>
      <c r="E502" s="52" t="n">
        <v>19.5</v>
      </c>
      <c r="F502" s="52" t="n">
        <v>1.1</v>
      </c>
      <c r="G502" s="51" t="inlineStr">
        <is>
          <t>Thu</t>
        </is>
      </c>
      <c r="H502" s="51" t="inlineStr">
        <is>
          <t>Weekday</t>
        </is>
      </c>
      <c r="I502" s="51" t="inlineStr">
        <is>
          <t>Spring</t>
        </is>
      </c>
      <c r="J502" s="51" t="n">
        <v>25</v>
      </c>
      <c r="K502" s="51" t="inlineStr">
        <is>
          <t>OK</t>
        </is>
      </c>
      <c r="L502" s="46" t="n">
        <v>29.92</v>
      </c>
      <c r="M502" t="inlineStr">
        <is>
          <t>Good</t>
        </is>
      </c>
      <c r="N502" s="87" t="n">
        <v>25</v>
      </c>
      <c r="O502" s="87" t="n">
        <v>0</v>
      </c>
      <c r="P502" s="87" t="n">
        <v>0</v>
      </c>
      <c r="Q502" s="87" t="n">
        <v>0</v>
      </c>
      <c r="R502" s="87" t="n">
        <v>0</v>
      </c>
      <c r="S502" s="47" t="n">
        <v>2.3</v>
      </c>
      <c r="T502" s="47" t="n">
        <v>80.90000000000001</v>
      </c>
      <c r="U502" s="47" t="n"/>
      <c r="V502" s="87" t="n">
        <v>0</v>
      </c>
      <c r="W502" s="87" t="n">
        <v>0</v>
      </c>
      <c r="Y502" t="inlineStr">
        <is>
          <t>May</t>
        </is>
      </c>
      <c r="Z502" s="87" t="n">
        <v>2025</v>
      </c>
      <c r="AA502" s="47">
        <f>IF(F502="",0,F502)</f>
        <v/>
      </c>
      <c r="AB502" s="87">
        <f>IF(AA502&gt;=0.1,1,0)</f>
        <v/>
      </c>
      <c r="AC502" s="87" t="n">
        <v>0</v>
      </c>
      <c r="AD502" s="47">
        <f>IF(U502="",0,U502)</f>
        <v/>
      </c>
      <c r="AE502" s="87">
        <f>IF(OR(V502=1,W502=1),1,0)</f>
        <v/>
      </c>
      <c r="AF502" s="87" t="n">
        <v>0</v>
      </c>
      <c r="AG502" t="n">
        <v>6397</v>
      </c>
      <c r="AH502" t="n">
        <v>106928</v>
      </c>
      <c r="AI502" t="n">
        <v>0</v>
      </c>
      <c r="AJ502" s="88">
        <f>IF(OR(AG502&lt;=0,AH502&lt;=0),"",LN(AG502)-LN(AH502))</f>
        <v/>
      </c>
      <c r="AK502" t="n">
        <v>16759</v>
      </c>
      <c r="AL502" t="n">
        <v>96566</v>
      </c>
      <c r="AM502" s="88">
        <f>IF(OR(AK502&lt;=0,AL502&lt;=0),"",LN(AK502)-LN(AL502))</f>
        <v/>
      </c>
      <c r="AN502" t="n">
        <v>6291</v>
      </c>
      <c r="AO502" t="n">
        <v>102897</v>
      </c>
      <c r="AP502" s="88">
        <f>IF(OR(AN502&lt;=0,AO502&lt;=0),"",LN(AN502)-LN(AO502))</f>
        <v/>
      </c>
      <c r="AQ502" t="n">
        <v>6205</v>
      </c>
      <c r="AR502" t="n">
        <v>106928</v>
      </c>
      <c r="AS502" s="88">
        <f>IF(OR(AQ502&lt;=0,AR502&lt;=0),"",LN(AQ502)-LN(AR502))</f>
        <v/>
      </c>
      <c r="AT502" t="n">
        <v>8012</v>
      </c>
      <c r="AU502" t="n">
        <v>104574</v>
      </c>
      <c r="AV502" t="n">
        <v>739</v>
      </c>
      <c r="AW502" t="n">
        <v>711</v>
      </c>
      <c r="AX502" t="n">
        <v>5629</v>
      </c>
      <c r="AY502" s="88">
        <f>IF(OR(AT502&lt;=0,AU502&lt;=0),"",LN(AT502)-LN(AU502))</f>
        <v/>
      </c>
      <c r="AZ502" s="46" t="n">
        <v>0.8</v>
      </c>
      <c r="BA502" s="46" t="n">
        <v>9.9</v>
      </c>
      <c r="BB502" s="47" t="n">
        <v>8.9</v>
      </c>
    </row>
    <row r="503">
      <c r="A503" s="48" t="n">
        <v>45793</v>
      </c>
      <c r="B503" s="49" t="n">
        <v>40766</v>
      </c>
      <c r="C503" s="50" t="n">
        <v>21.68</v>
      </c>
      <c r="D503" s="51" t="inlineStr">
        <is>
          <t>Moderate</t>
        </is>
      </c>
      <c r="E503" s="52" t="n">
        <v>19.4</v>
      </c>
      <c r="F503" s="52" t="n">
        <v>51.3</v>
      </c>
      <c r="G503" s="51" t="inlineStr">
        <is>
          <t>Fri</t>
        </is>
      </c>
      <c r="H503" s="51" t="inlineStr">
        <is>
          <t>Weekday</t>
        </is>
      </c>
      <c r="I503" s="51" t="inlineStr">
        <is>
          <t>Spring</t>
        </is>
      </c>
      <c r="J503" s="51" t="n">
        <v>25</v>
      </c>
      <c r="K503" s="51" t="inlineStr">
        <is>
          <t>OK</t>
        </is>
      </c>
      <c r="L503" s="46" t="n">
        <v>31.76</v>
      </c>
      <c r="M503" t="inlineStr">
        <is>
          <t>Moderate</t>
        </is>
      </c>
      <c r="N503" s="87" t="n">
        <v>25</v>
      </c>
      <c r="O503" s="87" t="n">
        <v>0</v>
      </c>
      <c r="P503" s="87" t="n">
        <v>0</v>
      </c>
      <c r="Q503" s="87" t="n">
        <v>0</v>
      </c>
      <c r="R503" s="87" t="n">
        <v>0</v>
      </c>
      <c r="S503" s="47" t="n">
        <v>1.8</v>
      </c>
      <c r="T503" s="47" t="n">
        <v>92.59999999999999</v>
      </c>
      <c r="U503" s="47" t="n"/>
      <c r="V503" s="87" t="n">
        <v>0</v>
      </c>
      <c r="W503" s="87" t="n">
        <v>0</v>
      </c>
      <c r="Y503" t="inlineStr">
        <is>
          <t>May</t>
        </is>
      </c>
      <c r="Z503" s="87" t="n">
        <v>2025</v>
      </c>
      <c r="AA503" s="47">
        <f>IF(F503="",0,F503)</f>
        <v/>
      </c>
      <c r="AB503" s="87">
        <f>IF(AA503&gt;=0.1,1,0)</f>
        <v/>
      </c>
      <c r="AC503" s="87" t="n">
        <v>0</v>
      </c>
      <c r="AD503" s="47">
        <f>IF(U503="",0,U503)</f>
        <v/>
      </c>
      <c r="AE503" s="87">
        <f>IF(OR(V503=1,W503=1),1,0)</f>
        <v/>
      </c>
      <c r="AF503" s="87" t="n">
        <v>0</v>
      </c>
      <c r="AG503" t="n">
        <v>1850</v>
      </c>
      <c r="AH503" t="n">
        <v>38916</v>
      </c>
      <c r="AI503" t="n">
        <v>0</v>
      </c>
      <c r="AJ503" s="88">
        <f>IF(OR(AG503&lt;=0,AH503&lt;=0),"",LN(AG503)-LN(AH503))</f>
        <v/>
      </c>
      <c r="AK503" t="n">
        <v>5150</v>
      </c>
      <c r="AL503" t="n">
        <v>35616</v>
      </c>
      <c r="AM503" s="88">
        <f>IF(OR(AK503&lt;=0,AL503&lt;=0),"",LN(AK503)-LN(AL503))</f>
        <v/>
      </c>
      <c r="AN503" t="n">
        <v>1824</v>
      </c>
      <c r="AO503" t="n">
        <v>37582</v>
      </c>
      <c r="AP503" s="88">
        <f>IF(OR(AN503&lt;=0,AO503&lt;=0),"",LN(AN503)-LN(AO503))</f>
        <v/>
      </c>
      <c r="AQ503" t="n">
        <v>1806</v>
      </c>
      <c r="AR503" t="n">
        <v>38916</v>
      </c>
      <c r="AS503" s="88">
        <f>IF(OR(AQ503&lt;=0,AR503&lt;=0),"",LN(AQ503)-LN(AR503))</f>
        <v/>
      </c>
      <c r="AT503" t="n">
        <v>2075</v>
      </c>
      <c r="AU503" t="n">
        <v>38396</v>
      </c>
      <c r="AV503" t="n">
        <v>295</v>
      </c>
      <c r="AW503" t="n">
        <v>132</v>
      </c>
      <c r="AX503" t="n">
        <v>1705</v>
      </c>
      <c r="AY503" s="88">
        <f>IF(OR(AT503&lt;=0,AU503&lt;=0),"",LN(AT503)-LN(AU503))</f>
        <v/>
      </c>
      <c r="AZ503" s="46" t="n">
        <v>0</v>
      </c>
      <c r="BA503" s="46" t="n">
        <v>3.75</v>
      </c>
      <c r="BB503" s="47" t="n">
        <v>9.800000000000001</v>
      </c>
    </row>
    <row r="504">
      <c r="A504" s="48" t="n">
        <v>45794</v>
      </c>
      <c r="B504" s="49" t="n">
        <v>88198</v>
      </c>
      <c r="C504" s="50" t="n">
        <v>9.039999999999999</v>
      </c>
      <c r="D504" s="51" t="inlineStr">
        <is>
          <t>Good</t>
        </is>
      </c>
      <c r="E504" s="52" t="n">
        <v>18.3</v>
      </c>
      <c r="F504" s="52" t="n">
        <v>2.2</v>
      </c>
      <c r="G504" s="51" t="inlineStr">
        <is>
          <t>Sat</t>
        </is>
      </c>
      <c r="H504" s="51" t="inlineStr">
        <is>
          <t>Weekend</t>
        </is>
      </c>
      <c r="I504" s="51" t="inlineStr">
        <is>
          <t>Spring</t>
        </is>
      </c>
      <c r="J504" s="51" t="n">
        <v>25</v>
      </c>
      <c r="K504" s="51" t="inlineStr">
        <is>
          <t>OK</t>
        </is>
      </c>
      <c r="L504" s="46" t="n">
        <v>18.52</v>
      </c>
      <c r="M504" t="inlineStr">
        <is>
          <t>Good</t>
        </is>
      </c>
      <c r="N504" s="87" t="n">
        <v>25</v>
      </c>
      <c r="O504" s="87" t="n">
        <v>0</v>
      </c>
      <c r="P504" s="87" t="n">
        <v>0</v>
      </c>
      <c r="Q504" s="87" t="n">
        <v>0</v>
      </c>
      <c r="R504" s="87" t="n">
        <v>0</v>
      </c>
      <c r="S504" s="47" t="n">
        <v>2.6</v>
      </c>
      <c r="T504" s="47" t="n">
        <v>86.40000000000001</v>
      </c>
      <c r="U504" s="47" t="n"/>
      <c r="V504" s="87" t="n">
        <v>1</v>
      </c>
      <c r="W504" s="87" t="n">
        <v>0</v>
      </c>
      <c r="Y504" t="inlineStr">
        <is>
          <t>May</t>
        </is>
      </c>
      <c r="Z504" s="87" t="n">
        <v>2025</v>
      </c>
      <c r="AA504" s="47">
        <f>IF(F504="",0,F504)</f>
        <v/>
      </c>
      <c r="AB504" s="87">
        <f>IF(AA504&gt;=0.1,1,0)</f>
        <v/>
      </c>
      <c r="AC504" s="87" t="n">
        <v>0</v>
      </c>
      <c r="AD504" s="47">
        <f>IF(U504="",0,U504)</f>
        <v/>
      </c>
      <c r="AE504" s="87">
        <f>IF(OR(V504=1,W504=1),1,0)</f>
        <v/>
      </c>
      <c r="AF504" s="87" t="n">
        <v>0</v>
      </c>
      <c r="AG504" t="n">
        <v>6233</v>
      </c>
      <c r="AH504" t="n">
        <v>81965</v>
      </c>
      <c r="AI504" t="n">
        <v>0</v>
      </c>
      <c r="AJ504" s="88">
        <f>IF(OR(AG504&lt;=0,AH504&lt;=0),"",LN(AG504)-LN(AH504))</f>
        <v/>
      </c>
      <c r="AK504" t="n">
        <v>14725</v>
      </c>
      <c r="AL504" t="n">
        <v>73473</v>
      </c>
      <c r="AM504" s="88">
        <f>IF(OR(AK504&lt;=0,AL504&lt;=0),"",LN(AK504)-LN(AL504))</f>
        <v/>
      </c>
      <c r="AN504" t="n">
        <v>6118</v>
      </c>
      <c r="AO504" t="n">
        <v>78845</v>
      </c>
      <c r="AP504" s="88">
        <f>IF(OR(AN504&lt;=0,AO504&lt;=0),"",LN(AN504)-LN(AO504))</f>
        <v/>
      </c>
      <c r="AQ504" t="n">
        <v>6056</v>
      </c>
      <c r="AR504" t="n">
        <v>81965</v>
      </c>
      <c r="AS504" s="88">
        <f>IF(OR(AQ504&lt;=0,AR504&lt;=0),"",LN(AQ504)-LN(AR504))</f>
        <v/>
      </c>
      <c r="AT504" t="n">
        <v>7695</v>
      </c>
      <c r="AU504" t="n">
        <v>79830</v>
      </c>
      <c r="AV504" t="n">
        <v>673</v>
      </c>
      <c r="AW504" t="n">
        <v>906</v>
      </c>
      <c r="AX504" t="n">
        <v>5268</v>
      </c>
      <c r="AY504" s="88">
        <f>IF(OR(AT504&lt;=0,AU504&lt;=0),"",LN(AT504)-LN(AU504))</f>
        <v/>
      </c>
      <c r="AZ504" s="46" t="n">
        <v>6</v>
      </c>
      <c r="BA504" s="46" t="n">
        <v>17.36</v>
      </c>
      <c r="BB504" s="47" t="n">
        <v>6.4</v>
      </c>
    </row>
    <row r="505">
      <c r="A505" s="48" t="n">
        <v>45795</v>
      </c>
      <c r="B505" s="49" t="n">
        <v>134941</v>
      </c>
      <c r="C505" s="50" t="n">
        <v>16</v>
      </c>
      <c r="D505" s="51" t="inlineStr">
        <is>
          <t>Moderate</t>
        </is>
      </c>
      <c r="E505" s="52" t="n">
        <v>15.6</v>
      </c>
      <c r="F505" s="52" t="n"/>
      <c r="G505" s="51" t="inlineStr">
        <is>
          <t>Sun</t>
        </is>
      </c>
      <c r="H505" s="51" t="inlineStr">
        <is>
          <t>Weekend</t>
        </is>
      </c>
      <c r="I505" s="51" t="inlineStr">
        <is>
          <t>Spring</t>
        </is>
      </c>
      <c r="J505" s="51" t="n">
        <v>25</v>
      </c>
      <c r="K505" s="51" t="inlineStr">
        <is>
          <t>강수량 공란</t>
        </is>
      </c>
      <c r="L505" s="46" t="n">
        <v>32.8</v>
      </c>
      <c r="M505" t="inlineStr">
        <is>
          <t>Moderate</t>
        </is>
      </c>
      <c r="N505" s="87" t="n">
        <v>25</v>
      </c>
      <c r="O505" s="87" t="n">
        <v>0</v>
      </c>
      <c r="P505" s="87" t="n">
        <v>0</v>
      </c>
      <c r="Q505" s="87" t="n">
        <v>0</v>
      </c>
      <c r="R505" s="87" t="n">
        <v>0</v>
      </c>
      <c r="S505" s="47" t="n">
        <v>2.6</v>
      </c>
      <c r="T505" s="47" t="n">
        <v>59.3</v>
      </c>
      <c r="U505" s="47" t="n"/>
      <c r="V505" s="87" t="n">
        <v>1</v>
      </c>
      <c r="W505" s="87" t="n">
        <v>0</v>
      </c>
      <c r="Y505" t="inlineStr">
        <is>
          <t>May</t>
        </is>
      </c>
      <c r="Z505" s="87" t="n">
        <v>2025</v>
      </c>
      <c r="AA505" s="47">
        <f>IF(F505="",0,F505)</f>
        <v/>
      </c>
      <c r="AB505" s="87">
        <f>IF(AA505&gt;=0.1,1,0)</f>
        <v/>
      </c>
      <c r="AC505" s="87" t="n">
        <v>0</v>
      </c>
      <c r="AD505" s="47">
        <f>IF(U505="",0,U505)</f>
        <v/>
      </c>
      <c r="AE505" s="87">
        <f>IF(OR(V505=1,W505=1),1,0)</f>
        <v/>
      </c>
      <c r="AF505" s="87" t="n">
        <v>0</v>
      </c>
      <c r="AG505" t="n">
        <v>13763</v>
      </c>
      <c r="AH505" t="n">
        <v>121178</v>
      </c>
      <c r="AI505" t="n">
        <v>0</v>
      </c>
      <c r="AJ505" s="88">
        <f>IF(OR(AG505&lt;=0,AH505&lt;=0),"",LN(AG505)-LN(AH505))</f>
        <v/>
      </c>
      <c r="AK505" t="n">
        <v>27794</v>
      </c>
      <c r="AL505" t="n">
        <v>107147</v>
      </c>
      <c r="AM505" s="88">
        <f>IF(OR(AK505&lt;=0,AL505&lt;=0),"",LN(AK505)-LN(AL505))</f>
        <v/>
      </c>
      <c r="AN505" t="n">
        <v>13530</v>
      </c>
      <c r="AO505" t="n">
        <v>116867</v>
      </c>
      <c r="AP505" s="88">
        <f>IF(OR(AN505&lt;=0,AO505&lt;=0),"",LN(AN505)-LN(AO505))</f>
        <v/>
      </c>
      <c r="AQ505" t="n">
        <v>13276</v>
      </c>
      <c r="AR505" t="n">
        <v>121178</v>
      </c>
      <c r="AS505" s="88">
        <f>IF(OR(AQ505&lt;=0,AR505&lt;=0),"",LN(AQ505)-LN(AR505))</f>
        <v/>
      </c>
      <c r="AT505" t="n">
        <v>14323</v>
      </c>
      <c r="AU505" t="n">
        <v>119632</v>
      </c>
      <c r="AV505" t="n">
        <v>989</v>
      </c>
      <c r="AW505" t="n">
        <v>2488</v>
      </c>
      <c r="AX505" t="n">
        <v>11148</v>
      </c>
      <c r="AY505" s="88">
        <f>IF(OR(AT505&lt;=0,AU505&lt;=0),"",LN(AT505)-LN(AU505))</f>
        <v/>
      </c>
      <c r="AZ505" s="46" t="n">
        <v>10.5</v>
      </c>
      <c r="BA505" s="46" t="n">
        <v>27.51</v>
      </c>
      <c r="BB505" s="47" t="n">
        <v>3</v>
      </c>
    </row>
    <row r="506">
      <c r="A506" s="48" t="n">
        <v>45796</v>
      </c>
      <c r="B506" s="49" t="n">
        <v>118346</v>
      </c>
      <c r="C506" s="50" t="n">
        <v>19.92</v>
      </c>
      <c r="D506" s="51" t="inlineStr">
        <is>
          <t>Moderate</t>
        </is>
      </c>
      <c r="E506" s="52" t="n">
        <v>16.1</v>
      </c>
      <c r="F506" s="52" t="n">
        <v>1.6</v>
      </c>
      <c r="G506" s="51" t="inlineStr">
        <is>
          <t>Mon</t>
        </is>
      </c>
      <c r="H506" s="51" t="inlineStr">
        <is>
          <t>Weekday</t>
        </is>
      </c>
      <c r="I506" s="51" t="inlineStr">
        <is>
          <t>Spring</t>
        </is>
      </c>
      <c r="J506" s="51" t="n">
        <v>25</v>
      </c>
      <c r="K506" s="51" t="inlineStr">
        <is>
          <t>OK</t>
        </is>
      </c>
      <c r="L506" s="46" t="n">
        <v>36.52</v>
      </c>
      <c r="M506" t="inlineStr">
        <is>
          <t>Moderate</t>
        </is>
      </c>
      <c r="N506" s="87" t="n">
        <v>25</v>
      </c>
      <c r="O506" s="87" t="n">
        <v>0</v>
      </c>
      <c r="P506" s="87" t="n">
        <v>0</v>
      </c>
      <c r="Q506" s="87" t="n">
        <v>0</v>
      </c>
      <c r="R506" s="87" t="n">
        <v>0</v>
      </c>
      <c r="S506" s="47" t="n">
        <v>2.8</v>
      </c>
      <c r="T506" s="47" t="n">
        <v>70.40000000000001</v>
      </c>
      <c r="U506" s="47" t="n"/>
      <c r="V506" s="87" t="n">
        <v>0</v>
      </c>
      <c r="W506" s="87" t="n">
        <v>0</v>
      </c>
      <c r="Y506" t="inlineStr">
        <is>
          <t>May</t>
        </is>
      </c>
      <c r="Z506" s="87" t="n">
        <v>2025</v>
      </c>
      <c r="AA506" s="47">
        <f>IF(F506="",0,F506)</f>
        <v/>
      </c>
      <c r="AB506" s="87">
        <f>IF(AA506&gt;=0.1,1,0)</f>
        <v/>
      </c>
      <c r="AC506" s="87" t="n">
        <v>0</v>
      </c>
      <c r="AD506" s="47">
        <f>IF(U506="",0,U506)</f>
        <v/>
      </c>
      <c r="AE506" s="87">
        <f>IF(OR(V506=1,W506=1),1,0)</f>
        <v/>
      </c>
      <c r="AF506" s="87" t="n">
        <v>0</v>
      </c>
      <c r="AG506" t="n">
        <v>6387</v>
      </c>
      <c r="AH506" t="n">
        <v>111959</v>
      </c>
      <c r="AI506" t="n">
        <v>0</v>
      </c>
      <c r="AJ506" s="88">
        <f>IF(OR(AG506&lt;=0,AH506&lt;=0),"",LN(AG506)-LN(AH506))</f>
        <v/>
      </c>
      <c r="AK506" t="n">
        <v>17328</v>
      </c>
      <c r="AL506" t="n">
        <v>101018</v>
      </c>
      <c r="AM506" s="88">
        <f>IF(OR(AK506&lt;=0,AL506&lt;=0),"",LN(AK506)-LN(AL506))</f>
        <v/>
      </c>
      <c r="AN506" t="n">
        <v>6278</v>
      </c>
      <c r="AO506" t="n">
        <v>107871</v>
      </c>
      <c r="AP506" s="88">
        <f>IF(OR(AN506&lt;=0,AO506&lt;=0),"",LN(AN506)-LN(AO506))</f>
        <v/>
      </c>
      <c r="AQ506" t="n">
        <v>6211</v>
      </c>
      <c r="AR506" t="n">
        <v>111959</v>
      </c>
      <c r="AS506" s="88">
        <f>IF(OR(AQ506&lt;=0,AR506&lt;=0),"",LN(AQ506)-LN(AR506))</f>
        <v/>
      </c>
      <c r="AT506" t="n">
        <v>6925</v>
      </c>
      <c r="AU506" t="n">
        <v>110658</v>
      </c>
      <c r="AV506" t="n">
        <v>764</v>
      </c>
      <c r="AW506" t="n">
        <v>528</v>
      </c>
      <c r="AX506" t="n">
        <v>5804</v>
      </c>
      <c r="AY506" s="88">
        <f>IF(OR(AT506&lt;=0,AU506&lt;=0),"",LN(AT506)-LN(AU506))</f>
        <v/>
      </c>
      <c r="AZ506" s="46" t="n">
        <v>0.9</v>
      </c>
      <c r="BA506" s="46" t="n">
        <v>11.93</v>
      </c>
      <c r="BB506" s="47" t="n">
        <v>7.9</v>
      </c>
    </row>
    <row r="507">
      <c r="A507" s="48" t="n">
        <v>45797</v>
      </c>
      <c r="B507" s="49" t="n">
        <v>144464</v>
      </c>
      <c r="C507" s="50" t="n">
        <v>9.56</v>
      </c>
      <c r="D507" s="51" t="inlineStr">
        <is>
          <t>Good</t>
        </is>
      </c>
      <c r="E507" s="52" t="n">
        <v>22.2</v>
      </c>
      <c r="F507" s="52" t="n">
        <v>1</v>
      </c>
      <c r="G507" s="51" t="inlineStr">
        <is>
          <t>Tue</t>
        </is>
      </c>
      <c r="H507" s="51" t="inlineStr">
        <is>
          <t>Weekday</t>
        </is>
      </c>
      <c r="I507" s="51" t="inlineStr">
        <is>
          <t>Spring</t>
        </is>
      </c>
      <c r="J507" s="51" t="n">
        <v>25</v>
      </c>
      <c r="K507" s="51" t="inlineStr">
        <is>
          <t>OK</t>
        </is>
      </c>
      <c r="L507" s="46" t="n">
        <v>18.8</v>
      </c>
      <c r="M507" t="inlineStr">
        <is>
          <t>Good</t>
        </is>
      </c>
      <c r="N507" s="87" t="n">
        <v>25</v>
      </c>
      <c r="O507" s="87" t="n">
        <v>0</v>
      </c>
      <c r="P507" s="87" t="n">
        <v>0</v>
      </c>
      <c r="Q507" s="87" t="n">
        <v>0</v>
      </c>
      <c r="R507" s="87" t="n">
        <v>0</v>
      </c>
      <c r="S507" s="47" t="n">
        <v>2.5</v>
      </c>
      <c r="T507" s="47" t="n">
        <v>85.5</v>
      </c>
      <c r="U507" s="47" t="n"/>
      <c r="V507" s="87" t="n">
        <v>0</v>
      </c>
      <c r="W507" s="87" t="n">
        <v>0</v>
      </c>
      <c r="Y507" t="inlineStr">
        <is>
          <t>May</t>
        </is>
      </c>
      <c r="Z507" s="87" t="n">
        <v>2025</v>
      </c>
      <c r="AA507" s="47">
        <f>IF(F507="",0,F507)</f>
        <v/>
      </c>
      <c r="AB507" s="87">
        <f>IF(AA507&gt;=0.1,1,0)</f>
        <v/>
      </c>
      <c r="AC507" s="87" t="n">
        <v>0</v>
      </c>
      <c r="AD507" s="47">
        <f>IF(U507="",0,U507)</f>
        <v/>
      </c>
      <c r="AE507" s="87">
        <f>IF(OR(V507=1,W507=1),1,0)</f>
        <v/>
      </c>
      <c r="AF507" s="87" t="n">
        <v>0</v>
      </c>
      <c r="AG507" t="n">
        <v>8386</v>
      </c>
      <c r="AH507" t="n">
        <v>136078</v>
      </c>
      <c r="AI507" t="n">
        <v>0</v>
      </c>
      <c r="AJ507" s="88">
        <f>IF(OR(AG507&lt;=0,AH507&lt;=0),"",LN(AG507)-LN(AH507))</f>
        <v/>
      </c>
      <c r="AK507" t="n">
        <v>22527</v>
      </c>
      <c r="AL507" t="n">
        <v>121937</v>
      </c>
      <c r="AM507" s="88">
        <f>IF(OR(AK507&lt;=0,AL507&lt;=0),"",LN(AK507)-LN(AL507))</f>
        <v/>
      </c>
      <c r="AN507" t="n">
        <v>8242</v>
      </c>
      <c r="AO507" t="n">
        <v>131145</v>
      </c>
      <c r="AP507" s="88">
        <f>IF(OR(AN507&lt;=0,AO507&lt;=0),"",LN(AN507)-LN(AO507))</f>
        <v/>
      </c>
      <c r="AQ507" t="n">
        <v>8150</v>
      </c>
      <c r="AR507" t="n">
        <v>136078</v>
      </c>
      <c r="AS507" s="88">
        <f>IF(OR(AQ507&lt;=0,AR507&lt;=0),"",LN(AQ507)-LN(AR507))</f>
        <v/>
      </c>
      <c r="AT507" t="n">
        <v>9095</v>
      </c>
      <c r="AU507" t="n">
        <v>134317</v>
      </c>
      <c r="AV507" t="n">
        <v>1054</v>
      </c>
      <c r="AW507" t="n">
        <v>810</v>
      </c>
      <c r="AX507" t="n">
        <v>7519</v>
      </c>
      <c r="AY507" s="88">
        <f>IF(OR(AT507&lt;=0,AU507&lt;=0),"",LN(AT507)-LN(AU507))</f>
        <v/>
      </c>
      <c r="AZ507" s="46" t="n">
        <v>3</v>
      </c>
      <c r="BA507" s="46" t="n">
        <v>12.96</v>
      </c>
      <c r="BB507" s="47" t="n">
        <v>7.5</v>
      </c>
    </row>
    <row r="508">
      <c r="A508" s="48" t="n">
        <v>45798</v>
      </c>
      <c r="B508" s="49" t="n">
        <v>157490</v>
      </c>
      <c r="C508" s="50" t="n">
        <v>10.56</v>
      </c>
      <c r="D508" s="51" t="inlineStr">
        <is>
          <t>Good</t>
        </is>
      </c>
      <c r="E508" s="52" t="n">
        <v>25.5</v>
      </c>
      <c r="F508" s="52" t="n"/>
      <c r="G508" s="51" t="inlineStr">
        <is>
          <t>Wed</t>
        </is>
      </c>
      <c r="H508" s="51" t="inlineStr">
        <is>
          <t>Weekday</t>
        </is>
      </c>
      <c r="I508" s="51" t="inlineStr">
        <is>
          <t>Spring</t>
        </is>
      </c>
      <c r="J508" s="51" t="n">
        <v>25</v>
      </c>
      <c r="K508" s="51" t="inlineStr">
        <is>
          <t>강수량 공란</t>
        </is>
      </c>
      <c r="L508" s="46" t="n">
        <v>18.24</v>
      </c>
      <c r="M508" t="inlineStr">
        <is>
          <t>Good</t>
        </is>
      </c>
      <c r="N508" s="87" t="n">
        <v>25</v>
      </c>
      <c r="O508" s="87" t="n">
        <v>0</v>
      </c>
      <c r="P508" s="87" t="n">
        <v>0</v>
      </c>
      <c r="Q508" s="87" t="n">
        <v>0</v>
      </c>
      <c r="R508" s="87" t="n">
        <v>0</v>
      </c>
      <c r="S508" s="47" t="n">
        <v>2.1</v>
      </c>
      <c r="T508" s="47" t="n">
        <v>75.5</v>
      </c>
      <c r="U508" s="47" t="n"/>
      <c r="V508" s="87" t="n">
        <v>0</v>
      </c>
      <c r="W508" s="87" t="n">
        <v>0</v>
      </c>
      <c r="Y508" t="inlineStr">
        <is>
          <t>May</t>
        </is>
      </c>
      <c r="Z508" s="87" t="n">
        <v>2025</v>
      </c>
      <c r="AA508" s="47">
        <f>IF(F508="",0,F508)</f>
        <v/>
      </c>
      <c r="AB508" s="87">
        <f>IF(AA508&gt;=0.1,1,0)</f>
        <v/>
      </c>
      <c r="AC508" s="87" t="n">
        <v>0</v>
      </c>
      <c r="AD508" s="47">
        <f>IF(U508="",0,U508)</f>
        <v/>
      </c>
      <c r="AE508" s="87">
        <f>IF(OR(V508=1,W508=1),1,0)</f>
        <v/>
      </c>
      <c r="AF508" s="87" t="n">
        <v>0</v>
      </c>
      <c r="AG508" t="n">
        <v>8985</v>
      </c>
      <c r="AH508" t="n">
        <v>148505</v>
      </c>
      <c r="AI508" t="n">
        <v>0</v>
      </c>
      <c r="AJ508" s="88">
        <f>IF(OR(AG508&lt;=0,AH508&lt;=0),"",LN(AG508)-LN(AH508))</f>
        <v/>
      </c>
      <c r="AK508" t="n">
        <v>24135</v>
      </c>
      <c r="AL508" t="n">
        <v>133355</v>
      </c>
      <c r="AM508" s="88">
        <f>IF(OR(AK508&lt;=0,AL508&lt;=0),"",LN(AK508)-LN(AL508))</f>
        <v/>
      </c>
      <c r="AN508" t="n">
        <v>8827</v>
      </c>
      <c r="AO508" t="n">
        <v>142883</v>
      </c>
      <c r="AP508" s="88">
        <f>IF(OR(AN508&lt;=0,AO508&lt;=0),"",LN(AN508)-LN(AO508))</f>
        <v/>
      </c>
      <c r="AQ508" t="n">
        <v>8732</v>
      </c>
      <c r="AR508" t="n">
        <v>148505</v>
      </c>
      <c r="AS508" s="88">
        <f>IF(OR(AQ508&lt;=0,AR508&lt;=0),"",LN(AQ508)-LN(AR508))</f>
        <v/>
      </c>
      <c r="AT508" t="n">
        <v>9810</v>
      </c>
      <c r="AU508" t="n">
        <v>146591</v>
      </c>
      <c r="AV508" t="n">
        <v>1093</v>
      </c>
      <c r="AW508" t="n">
        <v>898</v>
      </c>
      <c r="AX508" t="n">
        <v>8011</v>
      </c>
      <c r="AY508" s="88">
        <f>IF(OR(AT508&lt;=0,AU508&lt;=0),"",LN(AT508)-LN(AU508))</f>
        <v/>
      </c>
      <c r="AZ508" s="46" t="n">
        <v>7</v>
      </c>
      <c r="BA508" s="46" t="n">
        <v>22.19</v>
      </c>
      <c r="BB508" s="47" t="n">
        <v>6.5</v>
      </c>
    </row>
    <row r="509">
      <c r="A509" s="48" t="n">
        <v>45799</v>
      </c>
      <c r="B509" s="49" t="n">
        <v>149233</v>
      </c>
      <c r="C509" s="50" t="n">
        <v>13.68</v>
      </c>
      <c r="D509" s="51" t="inlineStr">
        <is>
          <t>Good</t>
        </is>
      </c>
      <c r="E509" s="52" t="n">
        <v>23.9</v>
      </c>
      <c r="F509" s="52" t="n">
        <v>0.8</v>
      </c>
      <c r="G509" s="51" t="inlineStr">
        <is>
          <t>Thu</t>
        </is>
      </c>
      <c r="H509" s="51" t="inlineStr">
        <is>
          <t>Weekday</t>
        </is>
      </c>
      <c r="I509" s="51" t="inlineStr">
        <is>
          <t>Spring</t>
        </is>
      </c>
      <c r="J509" s="51" t="n">
        <v>25</v>
      </c>
      <c r="K509" s="51" t="inlineStr">
        <is>
          <t>OK</t>
        </is>
      </c>
      <c r="L509" s="46" t="n">
        <v>25.36</v>
      </c>
      <c r="M509" t="inlineStr">
        <is>
          <t>Good</t>
        </is>
      </c>
      <c r="N509" s="87" t="n">
        <v>25</v>
      </c>
      <c r="O509" s="87" t="n">
        <v>0</v>
      </c>
      <c r="P509" s="87" t="n">
        <v>0</v>
      </c>
      <c r="Q509" s="87" t="n">
        <v>0</v>
      </c>
      <c r="R509" s="87" t="n">
        <v>0</v>
      </c>
      <c r="S509" s="47" t="n">
        <v>2.1</v>
      </c>
      <c r="T509" s="47" t="n">
        <v>68</v>
      </c>
      <c r="U509" s="47" t="n"/>
      <c r="V509" s="87" t="n">
        <v>0</v>
      </c>
      <c r="W509" s="87" t="n">
        <v>0</v>
      </c>
      <c r="Y509" t="inlineStr">
        <is>
          <t>May</t>
        </is>
      </c>
      <c r="Z509" s="87" t="n">
        <v>2025</v>
      </c>
      <c r="AA509" s="47">
        <f>IF(F509="",0,F509)</f>
        <v/>
      </c>
      <c r="AB509" s="87">
        <f>IF(AA509&gt;=0.1,1,0)</f>
        <v/>
      </c>
      <c r="AC509" s="87" t="n">
        <v>0</v>
      </c>
      <c r="AD509" s="47">
        <f>IF(U509="",0,U509)</f>
        <v/>
      </c>
      <c r="AE509" s="87">
        <f>IF(OR(V509=1,W509=1),1,0)</f>
        <v/>
      </c>
      <c r="AF509" s="87" t="n">
        <v>0</v>
      </c>
      <c r="AG509" t="n">
        <v>8566</v>
      </c>
      <c r="AH509" t="n">
        <v>140667</v>
      </c>
      <c r="AI509" t="n">
        <v>0</v>
      </c>
      <c r="AJ509" s="88">
        <f>IF(OR(AG509&lt;=0,AH509&lt;=0),"",LN(AG509)-LN(AH509))</f>
        <v/>
      </c>
      <c r="AK509" t="n">
        <v>22861</v>
      </c>
      <c r="AL509" t="n">
        <v>126372</v>
      </c>
      <c r="AM509" s="88">
        <f>IF(OR(AK509&lt;=0,AL509&lt;=0),"",LN(AK509)-LN(AL509))</f>
        <v/>
      </c>
      <c r="AN509" t="n">
        <v>8446</v>
      </c>
      <c r="AO509" t="n">
        <v>135300</v>
      </c>
      <c r="AP509" s="88">
        <f>IF(OR(AN509&lt;=0,AO509&lt;=0),"",LN(AN509)-LN(AO509))</f>
        <v/>
      </c>
      <c r="AQ509" t="n">
        <v>8313</v>
      </c>
      <c r="AR509" t="n">
        <v>140667</v>
      </c>
      <c r="AS509" s="88">
        <f>IF(OR(AQ509&lt;=0,AR509&lt;=0),"",LN(AQ509)-LN(AR509))</f>
        <v/>
      </c>
      <c r="AT509" t="n">
        <v>9706</v>
      </c>
      <c r="AU509" t="n">
        <v>138534</v>
      </c>
      <c r="AV509" t="n">
        <v>995</v>
      </c>
      <c r="AW509" t="n">
        <v>895</v>
      </c>
      <c r="AX509" t="n">
        <v>7608</v>
      </c>
      <c r="AY509" s="88">
        <f>IF(OR(AT509&lt;=0,AU509&lt;=0),"",LN(AT509)-LN(AU509))</f>
        <v/>
      </c>
      <c r="AZ509" s="46" t="n">
        <v>6.1</v>
      </c>
      <c r="BA509" s="46" t="n">
        <v>22.94</v>
      </c>
      <c r="BB509" s="47" t="n">
        <v>5.6</v>
      </c>
    </row>
    <row r="510">
      <c r="A510" s="48" t="n">
        <v>45800</v>
      </c>
      <c r="B510" s="49" t="n">
        <v>137430</v>
      </c>
      <c r="C510" s="50" t="n">
        <v>20.12</v>
      </c>
      <c r="D510" s="51" t="inlineStr">
        <is>
          <t>Moderate</t>
        </is>
      </c>
      <c r="E510" s="52" t="n">
        <v>19.4</v>
      </c>
      <c r="F510" s="52" t="n">
        <v>1.2</v>
      </c>
      <c r="G510" s="51" t="inlineStr">
        <is>
          <t>Fri</t>
        </is>
      </c>
      <c r="H510" s="51" t="inlineStr">
        <is>
          <t>Weekday</t>
        </is>
      </c>
      <c r="I510" s="51" t="inlineStr">
        <is>
          <t>Spring</t>
        </is>
      </c>
      <c r="J510" s="51" t="n">
        <v>25</v>
      </c>
      <c r="K510" s="51" t="inlineStr">
        <is>
          <t>OK</t>
        </is>
      </c>
      <c r="L510" s="46" t="n">
        <v>29.6</v>
      </c>
      <c r="M510" t="inlineStr">
        <is>
          <t>Good</t>
        </is>
      </c>
      <c r="N510" s="87" t="n">
        <v>25</v>
      </c>
      <c r="O510" s="87" t="n">
        <v>0</v>
      </c>
      <c r="P510" s="87" t="n">
        <v>0</v>
      </c>
      <c r="Q510" s="87" t="n">
        <v>0</v>
      </c>
      <c r="R510" s="87" t="n">
        <v>0</v>
      </c>
      <c r="S510" s="47" t="n">
        <v>2.8</v>
      </c>
      <c r="T510" s="47" t="n">
        <v>53.8</v>
      </c>
      <c r="U510" s="47" t="n"/>
      <c r="V510" s="87" t="n">
        <v>0</v>
      </c>
      <c r="W510" s="87" t="n">
        <v>0</v>
      </c>
      <c r="Y510" t="inlineStr">
        <is>
          <t>May</t>
        </is>
      </c>
      <c r="Z510" s="87" t="n">
        <v>2025</v>
      </c>
      <c r="AA510" s="47">
        <f>IF(F510="",0,F510)</f>
        <v/>
      </c>
      <c r="AB510" s="87">
        <f>IF(AA510&gt;=0.1,1,0)</f>
        <v/>
      </c>
      <c r="AC510" s="87" t="n">
        <v>0</v>
      </c>
      <c r="AD510" s="47">
        <f>IF(U510="",0,U510)</f>
        <v/>
      </c>
      <c r="AE510" s="87">
        <f>IF(OR(V510=1,W510=1),1,0)</f>
        <v/>
      </c>
      <c r="AF510" s="87" t="n">
        <v>0</v>
      </c>
      <c r="AG510" t="n">
        <v>7968</v>
      </c>
      <c r="AH510" t="n">
        <v>129462</v>
      </c>
      <c r="AI510" t="n">
        <v>0</v>
      </c>
      <c r="AJ510" s="88">
        <f>IF(OR(AG510&lt;=0,AH510&lt;=0),"",LN(AG510)-LN(AH510))</f>
        <v/>
      </c>
      <c r="AK510" t="n">
        <v>21245</v>
      </c>
      <c r="AL510" t="n">
        <v>116185</v>
      </c>
      <c r="AM510" s="88">
        <f>IF(OR(AK510&lt;=0,AL510&lt;=0),"",LN(AK510)-LN(AL510))</f>
        <v/>
      </c>
      <c r="AN510" t="n">
        <v>7839</v>
      </c>
      <c r="AO510" t="n">
        <v>124563</v>
      </c>
      <c r="AP510" s="88">
        <f>IF(OR(AN510&lt;=0,AO510&lt;=0),"",LN(AN510)-LN(AO510))</f>
        <v/>
      </c>
      <c r="AQ510" t="n">
        <v>7748</v>
      </c>
      <c r="AR510" t="n">
        <v>129462</v>
      </c>
      <c r="AS510" s="88">
        <f>IF(OR(AQ510&lt;=0,AR510&lt;=0),"",LN(AQ510)-LN(AR510))</f>
        <v/>
      </c>
      <c r="AT510" t="n">
        <v>8403</v>
      </c>
      <c r="AU510" t="n">
        <v>128040</v>
      </c>
      <c r="AV510" t="n">
        <v>987</v>
      </c>
      <c r="AW510" t="n">
        <v>731</v>
      </c>
      <c r="AX510" t="n">
        <v>7170</v>
      </c>
      <c r="AY510" s="88">
        <f>IF(OR(AT510&lt;=0,AU510&lt;=0),"",LN(AT510)-LN(AU510))</f>
        <v/>
      </c>
      <c r="AZ510" s="46" t="n">
        <v>0</v>
      </c>
      <c r="BA510" s="46" t="n">
        <v>9.19</v>
      </c>
      <c r="BB510" s="47" t="n">
        <v>9.4</v>
      </c>
    </row>
    <row r="511">
      <c r="A511" s="48" t="n">
        <v>45801</v>
      </c>
      <c r="B511" s="49" t="n">
        <v>113916</v>
      </c>
      <c r="C511" s="50" t="n">
        <v>13.72</v>
      </c>
      <c r="D511" s="51" t="inlineStr">
        <is>
          <t>Good</t>
        </is>
      </c>
      <c r="E511" s="52" t="n">
        <v>15.6</v>
      </c>
      <c r="F511" s="52" t="n">
        <v>4.3</v>
      </c>
      <c r="G511" s="51" t="inlineStr">
        <is>
          <t>Sat</t>
        </is>
      </c>
      <c r="H511" s="51" t="inlineStr">
        <is>
          <t>Weekend</t>
        </is>
      </c>
      <c r="I511" s="51" t="inlineStr">
        <is>
          <t>Spring</t>
        </is>
      </c>
      <c r="J511" s="51" t="n">
        <v>25</v>
      </c>
      <c r="K511" s="51" t="inlineStr">
        <is>
          <t>OK</t>
        </is>
      </c>
      <c r="L511" s="46" t="n">
        <v>19.44</v>
      </c>
      <c r="M511" t="inlineStr">
        <is>
          <t>Good</t>
        </is>
      </c>
      <c r="N511" s="87" t="n">
        <v>25</v>
      </c>
      <c r="O511" s="87" t="n">
        <v>0</v>
      </c>
      <c r="P511" s="87" t="n">
        <v>0</v>
      </c>
      <c r="Q511" s="87" t="n">
        <v>0</v>
      </c>
      <c r="R511" s="87" t="n">
        <v>0</v>
      </c>
      <c r="S511" s="47" t="n">
        <v>3.1</v>
      </c>
      <c r="T511" s="47" t="n">
        <v>69.09999999999999</v>
      </c>
      <c r="U511" s="47" t="n"/>
      <c r="V511" s="87" t="n">
        <v>1</v>
      </c>
      <c r="W511" s="87" t="n">
        <v>0</v>
      </c>
      <c r="Y511" t="inlineStr">
        <is>
          <t>May</t>
        </is>
      </c>
      <c r="Z511" s="87" t="n">
        <v>2025</v>
      </c>
      <c r="AA511" s="47">
        <f>IF(F511="",0,F511)</f>
        <v/>
      </c>
      <c r="AB511" s="87">
        <f>IF(AA511&gt;=0.1,1,0)</f>
        <v/>
      </c>
      <c r="AC511" s="87" t="n">
        <v>0</v>
      </c>
      <c r="AD511" s="47">
        <f>IF(U511="",0,U511)</f>
        <v/>
      </c>
      <c r="AE511" s="87">
        <f>IF(OR(V511=1,W511=1),1,0)</f>
        <v/>
      </c>
      <c r="AF511" s="87" t="n">
        <v>0</v>
      </c>
      <c r="AG511" t="n">
        <v>8775</v>
      </c>
      <c r="AH511" t="n">
        <v>105141</v>
      </c>
      <c r="AI511" t="n">
        <v>0</v>
      </c>
      <c r="AJ511" s="88">
        <f>IF(OR(AG511&lt;=0,AH511&lt;=0),"",LN(AG511)-LN(AH511))</f>
        <v/>
      </c>
      <c r="AK511" t="n">
        <v>20110</v>
      </c>
      <c r="AL511" t="n">
        <v>93806</v>
      </c>
      <c r="AM511" s="88">
        <f>IF(OR(AK511&lt;=0,AL511&lt;=0),"",LN(AK511)-LN(AL511))</f>
        <v/>
      </c>
      <c r="AN511" t="n">
        <v>8621</v>
      </c>
      <c r="AO511" t="n">
        <v>101425</v>
      </c>
      <c r="AP511" s="88">
        <f>IF(OR(AN511&lt;=0,AO511&lt;=0),"",LN(AN511)-LN(AO511))</f>
        <v/>
      </c>
      <c r="AQ511" t="n">
        <v>8489</v>
      </c>
      <c r="AR511" t="n">
        <v>105141</v>
      </c>
      <c r="AS511" s="88">
        <f>IF(OR(AQ511&lt;=0,AR511&lt;=0),"",LN(AQ511)-LN(AR511))</f>
        <v/>
      </c>
      <c r="AT511" t="n">
        <v>10353</v>
      </c>
      <c r="AU511" t="n">
        <v>102756</v>
      </c>
      <c r="AV511" t="n">
        <v>808</v>
      </c>
      <c r="AW511" t="n">
        <v>1297</v>
      </c>
      <c r="AX511" t="n">
        <v>7411</v>
      </c>
      <c r="AY511" s="88">
        <f>IF(OR(AT511&lt;=0,AU511&lt;=0),"",LN(AT511)-LN(AU511))</f>
        <v/>
      </c>
      <c r="AZ511" s="46" t="n">
        <v>0.3</v>
      </c>
      <c r="BA511" s="46" t="n">
        <v>10.54</v>
      </c>
      <c r="BB511" s="47" t="n">
        <v>8.1</v>
      </c>
    </row>
    <row r="512">
      <c r="A512" s="48" t="n">
        <v>45802</v>
      </c>
      <c r="B512" s="49" t="n">
        <v>137711</v>
      </c>
      <c r="C512" s="50" t="n">
        <v>11.8</v>
      </c>
      <c r="D512" s="51" t="inlineStr">
        <is>
          <t>Good</t>
        </is>
      </c>
      <c r="E512" s="52" t="n">
        <v>17.4</v>
      </c>
      <c r="F512" s="52" t="n"/>
      <c r="G512" s="51" t="inlineStr">
        <is>
          <t>Sun</t>
        </is>
      </c>
      <c r="H512" s="51" t="inlineStr">
        <is>
          <t>Weekend</t>
        </is>
      </c>
      <c r="I512" s="51" t="inlineStr">
        <is>
          <t>Spring</t>
        </is>
      </c>
      <c r="J512" s="51" t="n">
        <v>25</v>
      </c>
      <c r="K512" s="51" t="inlineStr">
        <is>
          <t>강수량 공란</t>
        </is>
      </c>
      <c r="L512" s="46" t="n">
        <v>18.96</v>
      </c>
      <c r="M512" t="inlineStr">
        <is>
          <t>Good</t>
        </is>
      </c>
      <c r="N512" s="87" t="n">
        <v>25</v>
      </c>
      <c r="O512" s="87" t="n">
        <v>0</v>
      </c>
      <c r="P512" s="87" t="n">
        <v>0</v>
      </c>
      <c r="Q512" s="87" t="n">
        <v>0</v>
      </c>
      <c r="R512" s="87" t="n">
        <v>0</v>
      </c>
      <c r="S512" s="47" t="n">
        <v>2.1</v>
      </c>
      <c r="T512" s="47" t="n">
        <v>61</v>
      </c>
      <c r="U512" s="47" t="n"/>
      <c r="V512" s="87" t="n">
        <v>1</v>
      </c>
      <c r="W512" s="87" t="n">
        <v>0</v>
      </c>
      <c r="Y512" t="inlineStr">
        <is>
          <t>May</t>
        </is>
      </c>
      <c r="Z512" s="87" t="n">
        <v>2025</v>
      </c>
      <c r="AA512" s="47">
        <f>IF(F512="",0,F512)</f>
        <v/>
      </c>
      <c r="AB512" s="87">
        <f>IF(AA512&gt;=0.1,1,0)</f>
        <v/>
      </c>
      <c r="AC512" s="87" t="n">
        <v>0</v>
      </c>
      <c r="AD512" s="47">
        <f>IF(U512="",0,U512)</f>
        <v/>
      </c>
      <c r="AE512" s="87">
        <f>IF(OR(V512=1,W512=1),1,0)</f>
        <v/>
      </c>
      <c r="AF512" s="87" t="n">
        <v>0</v>
      </c>
      <c r="AG512" t="n">
        <v>13788</v>
      </c>
      <c r="AH512" t="n">
        <v>123923</v>
      </c>
      <c r="AI512" t="n">
        <v>0</v>
      </c>
      <c r="AJ512" s="88">
        <f>IF(OR(AG512&lt;=0,AH512&lt;=0),"",LN(AG512)-LN(AH512))</f>
        <v/>
      </c>
      <c r="AK512" t="n">
        <v>28048</v>
      </c>
      <c r="AL512" t="n">
        <v>109663</v>
      </c>
      <c r="AM512" s="88">
        <f>IF(OR(AK512&lt;=0,AL512&lt;=0),"",LN(AK512)-LN(AL512))</f>
        <v/>
      </c>
      <c r="AN512" t="n">
        <v>13556</v>
      </c>
      <c r="AO512" t="n">
        <v>119345</v>
      </c>
      <c r="AP512" s="88">
        <f>IF(OR(AN512&lt;=0,AO512&lt;=0),"",LN(AN512)-LN(AO512))</f>
        <v/>
      </c>
      <c r="AQ512" t="n">
        <v>13277</v>
      </c>
      <c r="AR512" t="n">
        <v>123923</v>
      </c>
      <c r="AS512" s="88">
        <f>IF(OR(AQ512&lt;=0,AR512&lt;=0),"",LN(AQ512)-LN(AR512))</f>
        <v/>
      </c>
      <c r="AT512" t="n">
        <v>14567</v>
      </c>
      <c r="AU512" t="n">
        <v>122220</v>
      </c>
      <c r="AV512" t="n">
        <v>923</v>
      </c>
      <c r="AW512" t="n">
        <v>2422</v>
      </c>
      <c r="AX512" t="n">
        <v>11259</v>
      </c>
      <c r="AY512" s="88">
        <f>IF(OR(AT512&lt;=0,AU512&lt;=0),"",LN(AT512)-LN(AU512))</f>
        <v/>
      </c>
      <c r="AZ512" s="46" t="n">
        <v>13.1</v>
      </c>
      <c r="BA512" s="46" t="n">
        <v>30.47</v>
      </c>
      <c r="BB512" s="47" t="n">
        <v>0</v>
      </c>
    </row>
    <row r="513">
      <c r="A513" s="48" t="n">
        <v>45803</v>
      </c>
      <c r="B513" s="49" t="n">
        <v>160643</v>
      </c>
      <c r="C513" s="50" t="n">
        <v>25.12</v>
      </c>
      <c r="D513" s="51" t="inlineStr">
        <is>
          <t>Moderate</t>
        </is>
      </c>
      <c r="E513" s="52" t="n">
        <v>19.7</v>
      </c>
      <c r="F513" s="52" t="n"/>
      <c r="G513" s="51" t="inlineStr">
        <is>
          <t>Mon</t>
        </is>
      </c>
      <c r="H513" s="51" t="inlineStr">
        <is>
          <t>Weekday</t>
        </is>
      </c>
      <c r="I513" s="51" t="inlineStr">
        <is>
          <t>Spring</t>
        </is>
      </c>
      <c r="J513" s="51" t="n">
        <v>25</v>
      </c>
      <c r="K513" s="51" t="inlineStr">
        <is>
          <t>강수량 공란</t>
        </is>
      </c>
      <c r="L513" s="46" t="n">
        <v>38.24</v>
      </c>
      <c r="M513" t="inlineStr">
        <is>
          <t>Moderate</t>
        </is>
      </c>
      <c r="N513" s="87" t="n">
        <v>25</v>
      </c>
      <c r="O513" s="87" t="n">
        <v>0</v>
      </c>
      <c r="P513" s="87" t="n">
        <v>0</v>
      </c>
      <c r="Q513" s="87" t="n">
        <v>0</v>
      </c>
      <c r="R513" s="87" t="n">
        <v>0</v>
      </c>
      <c r="S513" s="47" t="n">
        <v>1.7</v>
      </c>
      <c r="T513" s="47" t="n">
        <v>59.4</v>
      </c>
      <c r="U513" s="47" t="n"/>
      <c r="V513" s="87" t="n">
        <v>0</v>
      </c>
      <c r="W513" s="87" t="n">
        <v>0</v>
      </c>
      <c r="Y513" t="inlineStr">
        <is>
          <t>May</t>
        </is>
      </c>
      <c r="Z513" s="87" t="n">
        <v>2025</v>
      </c>
      <c r="AA513" s="47">
        <f>IF(F513="",0,F513)</f>
        <v/>
      </c>
      <c r="AB513" s="87">
        <f>IF(AA513&gt;=0.1,1,0)</f>
        <v/>
      </c>
      <c r="AC513" s="87" t="n">
        <v>0</v>
      </c>
      <c r="AD513" s="47">
        <f>IF(U513="",0,U513)</f>
        <v/>
      </c>
      <c r="AE513" s="87">
        <f>IF(OR(V513=1,W513=1),1,0)</f>
        <v/>
      </c>
      <c r="AF513" s="87" t="n">
        <v>0</v>
      </c>
      <c r="AG513" t="n">
        <v>9949</v>
      </c>
      <c r="AH513" t="n">
        <v>150694</v>
      </c>
      <c r="AI513" t="n">
        <v>0</v>
      </c>
      <c r="AJ513" s="88">
        <f>IF(OR(AG513&lt;=0,AH513&lt;=0),"",LN(AG513)-LN(AH513))</f>
        <v/>
      </c>
      <c r="AK513" t="n">
        <v>25588</v>
      </c>
      <c r="AL513" t="n">
        <v>135055</v>
      </c>
      <c r="AM513" s="88">
        <f>IF(OR(AK513&lt;=0,AL513&lt;=0),"",LN(AK513)-LN(AL513))</f>
        <v/>
      </c>
      <c r="AN513" t="n">
        <v>9775</v>
      </c>
      <c r="AO513" t="n">
        <v>144783</v>
      </c>
      <c r="AP513" s="88">
        <f>IF(OR(AN513&lt;=0,AO513&lt;=0),"",LN(AN513)-LN(AO513))</f>
        <v/>
      </c>
      <c r="AQ513" t="n">
        <v>9668</v>
      </c>
      <c r="AR513" t="n">
        <v>150694</v>
      </c>
      <c r="AS513" s="88">
        <f>IF(OR(AQ513&lt;=0,AR513&lt;=0),"",LN(AQ513)-LN(AR513))</f>
        <v/>
      </c>
      <c r="AT513" t="n">
        <v>10390</v>
      </c>
      <c r="AU513" t="n">
        <v>149189</v>
      </c>
      <c r="AV513" t="n">
        <v>1067</v>
      </c>
      <c r="AW513" t="n">
        <v>1071</v>
      </c>
      <c r="AX513" t="n">
        <v>8798</v>
      </c>
      <c r="AY513" s="88">
        <f>IF(OR(AT513&lt;=0,AU513&lt;=0),"",LN(AT513)-LN(AU513))</f>
        <v/>
      </c>
      <c r="AZ513" s="46" t="n">
        <v>12.3</v>
      </c>
      <c r="BA513" s="46" t="n">
        <v>26.71</v>
      </c>
      <c r="BB513" s="47" t="n">
        <v>4.9</v>
      </c>
    </row>
    <row r="514">
      <c r="A514" s="48" t="n">
        <v>45804</v>
      </c>
      <c r="B514" s="49" t="n">
        <v>163259</v>
      </c>
      <c r="C514" s="50" t="n">
        <v>36.8</v>
      </c>
      <c r="D514" s="51" t="inlineStr">
        <is>
          <t>Bad</t>
        </is>
      </c>
      <c r="E514" s="52" t="n">
        <v>20.8</v>
      </c>
      <c r="F514" s="52" t="n"/>
      <c r="G514" s="51" t="inlineStr">
        <is>
          <t>Tue</t>
        </is>
      </c>
      <c r="H514" s="51" t="inlineStr">
        <is>
          <t>Weekday</t>
        </is>
      </c>
      <c r="I514" s="51" t="inlineStr">
        <is>
          <t>Spring</t>
        </is>
      </c>
      <c r="J514" s="51" t="n">
        <v>25</v>
      </c>
      <c r="K514" s="51" t="inlineStr">
        <is>
          <t>강수량 공란</t>
        </is>
      </c>
      <c r="L514" s="46" t="n">
        <v>52.84</v>
      </c>
      <c r="M514" t="inlineStr">
        <is>
          <t>Moderate</t>
        </is>
      </c>
      <c r="N514" s="87" t="n">
        <v>25</v>
      </c>
      <c r="O514" s="87" t="n">
        <v>0</v>
      </c>
      <c r="P514" s="87" t="n">
        <v>0</v>
      </c>
      <c r="Q514" s="87" t="n">
        <v>0</v>
      </c>
      <c r="R514" s="87" t="n">
        <v>0</v>
      </c>
      <c r="S514" s="47" t="n">
        <v>1.9</v>
      </c>
      <c r="T514" s="47" t="n">
        <v>57</v>
      </c>
      <c r="U514" s="47" t="n"/>
      <c r="V514" s="87" t="n">
        <v>0</v>
      </c>
      <c r="W514" s="87" t="n">
        <v>0</v>
      </c>
      <c r="Y514" t="inlineStr">
        <is>
          <t>May</t>
        </is>
      </c>
      <c r="Z514" s="87" t="n">
        <v>2025</v>
      </c>
      <c r="AA514" s="47">
        <f>IF(F514="",0,F514)</f>
        <v/>
      </c>
      <c r="AB514" s="87">
        <f>IF(AA514&gt;=0.1,1,0)</f>
        <v/>
      </c>
      <c r="AC514" s="87" t="n">
        <v>0</v>
      </c>
      <c r="AD514" s="47">
        <f>IF(U514="",0,U514)</f>
        <v/>
      </c>
      <c r="AE514" s="87">
        <f>IF(OR(V514=1,W514=1),1,0)</f>
        <v/>
      </c>
      <c r="AF514" s="87" t="n">
        <v>0</v>
      </c>
      <c r="AG514" t="n">
        <v>9692</v>
      </c>
      <c r="AH514" t="n">
        <v>153567</v>
      </c>
      <c r="AI514" t="n">
        <v>0</v>
      </c>
      <c r="AJ514" s="88">
        <f>IF(OR(AG514&lt;=0,AH514&lt;=0),"",LN(AG514)-LN(AH514))</f>
        <v/>
      </c>
      <c r="AK514" t="n">
        <v>25381</v>
      </c>
      <c r="AL514" t="n">
        <v>137878</v>
      </c>
      <c r="AM514" s="88">
        <f>IF(OR(AK514&lt;=0,AL514&lt;=0),"",LN(AK514)-LN(AL514))</f>
        <v/>
      </c>
      <c r="AN514" t="n">
        <v>9536</v>
      </c>
      <c r="AO514" t="n">
        <v>147649</v>
      </c>
      <c r="AP514" s="88">
        <f>IF(OR(AN514&lt;=0,AO514&lt;=0),"",LN(AN514)-LN(AO514))</f>
        <v/>
      </c>
      <c r="AQ514" t="n">
        <v>9429</v>
      </c>
      <c r="AR514" t="n">
        <v>153567</v>
      </c>
      <c r="AS514" s="88">
        <f>IF(OR(AQ514&lt;=0,AR514&lt;=0),"",LN(AQ514)-LN(AR514))</f>
        <v/>
      </c>
      <c r="AT514" t="n">
        <v>10211</v>
      </c>
      <c r="AU514" t="n">
        <v>152018</v>
      </c>
      <c r="AV514" t="n">
        <v>1032</v>
      </c>
      <c r="AW514" t="n">
        <v>977</v>
      </c>
      <c r="AX514" t="n">
        <v>8657</v>
      </c>
      <c r="AY514" s="88">
        <f>IF(OR(AT514&lt;=0,AU514&lt;=0),"",LN(AT514)-LN(AU514))</f>
        <v/>
      </c>
      <c r="AZ514" s="46" t="n">
        <v>12.3</v>
      </c>
      <c r="BA514" s="46" t="n">
        <v>27.07</v>
      </c>
      <c r="BB514" s="47" t="n">
        <v>1</v>
      </c>
    </row>
    <row r="515">
      <c r="A515" s="48" t="n">
        <v>45805</v>
      </c>
      <c r="B515" s="49" t="n">
        <v>162825</v>
      </c>
      <c r="C515" s="50" t="n">
        <v>38.56</v>
      </c>
      <c r="D515" s="51" t="inlineStr">
        <is>
          <t>Bad</t>
        </is>
      </c>
      <c r="E515" s="52" t="n">
        <v>20.8</v>
      </c>
      <c r="F515" s="52" t="n">
        <v>0</v>
      </c>
      <c r="G515" s="51" t="inlineStr">
        <is>
          <t>Wed</t>
        </is>
      </c>
      <c r="H515" s="51" t="inlineStr">
        <is>
          <t>Weekday</t>
        </is>
      </c>
      <c r="I515" s="51" t="inlineStr">
        <is>
          <t>Spring</t>
        </is>
      </c>
      <c r="J515" s="51" t="n">
        <v>25</v>
      </c>
      <c r="K515" s="51" t="inlineStr">
        <is>
          <t>OK</t>
        </is>
      </c>
      <c r="L515" s="46" t="n">
        <v>53.32</v>
      </c>
      <c r="M515" t="inlineStr">
        <is>
          <t>Moderate</t>
        </is>
      </c>
      <c r="N515" s="87" t="n">
        <v>25</v>
      </c>
      <c r="O515" s="87" t="n">
        <v>0</v>
      </c>
      <c r="P515" s="87" t="n">
        <v>0</v>
      </c>
      <c r="Q515" s="87" t="n">
        <v>0</v>
      </c>
      <c r="R515" s="87" t="n">
        <v>0</v>
      </c>
      <c r="S515" s="47" t="n">
        <v>1.8</v>
      </c>
      <c r="T515" s="47" t="n">
        <v>62</v>
      </c>
      <c r="U515" s="47" t="n"/>
      <c r="V515" s="87" t="n">
        <v>0</v>
      </c>
      <c r="W515" s="87" t="n">
        <v>0</v>
      </c>
      <c r="Y515" t="inlineStr">
        <is>
          <t>May</t>
        </is>
      </c>
      <c r="Z515" s="87" t="n">
        <v>2025</v>
      </c>
      <c r="AA515" s="47">
        <f>IF(F515="",0,F515)</f>
        <v/>
      </c>
      <c r="AB515" s="87">
        <f>IF(AA515&gt;=0.1,1,0)</f>
        <v/>
      </c>
      <c r="AC515" s="87" t="n">
        <v>1</v>
      </c>
      <c r="AD515" s="47">
        <f>IF(U515="",0,U515)</f>
        <v/>
      </c>
      <c r="AE515" s="87">
        <f>IF(OR(V515=1,W515=1),1,0)</f>
        <v/>
      </c>
      <c r="AF515" s="87" t="n">
        <v>0</v>
      </c>
      <c r="AG515" t="n">
        <v>9376</v>
      </c>
      <c r="AH515" t="n">
        <v>153449</v>
      </c>
      <c r="AI515" t="n">
        <v>0</v>
      </c>
      <c r="AJ515" s="88">
        <f>IF(OR(AG515&lt;=0,AH515&lt;=0),"",LN(AG515)-LN(AH515))</f>
        <v/>
      </c>
      <c r="AK515" t="n">
        <v>24944</v>
      </c>
      <c r="AL515" t="n">
        <v>137881</v>
      </c>
      <c r="AM515" s="88">
        <f>IF(OR(AK515&lt;=0,AL515&lt;=0),"",LN(AK515)-LN(AL515))</f>
        <v/>
      </c>
      <c r="AN515" t="n">
        <v>9228</v>
      </c>
      <c r="AO515" t="n">
        <v>147422</v>
      </c>
      <c r="AP515" s="88">
        <f>IF(OR(AN515&lt;=0,AO515&lt;=0),"",LN(AN515)-LN(AO515))</f>
        <v/>
      </c>
      <c r="AQ515" t="n">
        <v>9118</v>
      </c>
      <c r="AR515" t="n">
        <v>153449</v>
      </c>
      <c r="AS515" s="88">
        <f>IF(OR(AQ515&lt;=0,AR515&lt;=0),"",LN(AQ515)-LN(AR515))</f>
        <v/>
      </c>
      <c r="AT515" t="n">
        <v>10086</v>
      </c>
      <c r="AU515" t="n">
        <v>151776</v>
      </c>
      <c r="AV515" t="n">
        <v>967</v>
      </c>
      <c r="AW515" t="n">
        <v>913</v>
      </c>
      <c r="AX515" t="n">
        <v>8407</v>
      </c>
      <c r="AY515" s="88">
        <f>IF(OR(AT515&lt;=0,AU515&lt;=0),"",LN(AT515)-LN(AU515))</f>
        <v/>
      </c>
      <c r="AZ515" s="46" t="n">
        <v>8.4</v>
      </c>
      <c r="BA515" s="46" t="n">
        <v>22.39</v>
      </c>
      <c r="BB515" s="47" t="n">
        <v>3.4</v>
      </c>
    </row>
    <row r="516">
      <c r="A516" s="48" t="n">
        <v>45806</v>
      </c>
      <c r="B516" s="49" t="n">
        <v>164642</v>
      </c>
      <c r="C516" s="50" t="n">
        <v>26.4</v>
      </c>
      <c r="D516" s="51" t="inlineStr">
        <is>
          <t>Moderate</t>
        </is>
      </c>
      <c r="E516" s="52" t="n">
        <v>21.2</v>
      </c>
      <c r="F516" s="52" t="n"/>
      <c r="G516" s="51" t="inlineStr">
        <is>
          <t>Thu</t>
        </is>
      </c>
      <c r="H516" s="51" t="inlineStr">
        <is>
          <t>Weekday</t>
        </is>
      </c>
      <c r="I516" s="51" t="inlineStr">
        <is>
          <t>Spring</t>
        </is>
      </c>
      <c r="J516" s="51" t="n">
        <v>25</v>
      </c>
      <c r="K516" s="51" t="inlineStr">
        <is>
          <t>강수량 공란</t>
        </is>
      </c>
      <c r="L516" s="46" t="n">
        <v>38.12</v>
      </c>
      <c r="M516" t="inlineStr">
        <is>
          <t>Moderate</t>
        </is>
      </c>
      <c r="N516" s="87" t="n">
        <v>25</v>
      </c>
      <c r="O516" s="87" t="n">
        <v>0</v>
      </c>
      <c r="P516" s="87" t="n">
        <v>0</v>
      </c>
      <c r="Q516" s="87" t="n">
        <v>0</v>
      </c>
      <c r="R516" s="87" t="n">
        <v>0</v>
      </c>
      <c r="S516" s="47" t="n">
        <v>2.2</v>
      </c>
      <c r="T516" s="47" t="n">
        <v>58.4</v>
      </c>
      <c r="U516" s="47" t="n"/>
      <c r="V516" s="87" t="n">
        <v>0</v>
      </c>
      <c r="W516" s="87" t="n">
        <v>0</v>
      </c>
      <c r="Y516" t="inlineStr">
        <is>
          <t>May</t>
        </is>
      </c>
      <c r="Z516" s="87" t="n">
        <v>2025</v>
      </c>
      <c r="AA516" s="47">
        <f>IF(F516="",0,F516)</f>
        <v/>
      </c>
      <c r="AB516" s="87">
        <f>IF(AA516&gt;=0.1,1,0)</f>
        <v/>
      </c>
      <c r="AC516" s="87" t="n">
        <v>0</v>
      </c>
      <c r="AD516" s="47">
        <f>IF(U516="",0,U516)</f>
        <v/>
      </c>
      <c r="AE516" s="87">
        <f>IF(OR(V516=1,W516=1),1,0)</f>
        <v/>
      </c>
      <c r="AF516" s="87" t="n">
        <v>0</v>
      </c>
      <c r="AG516" t="n">
        <v>9375</v>
      </c>
      <c r="AH516" t="n">
        <v>155267</v>
      </c>
      <c r="AI516" t="n">
        <v>0</v>
      </c>
      <c r="AJ516" s="88">
        <f>IF(OR(AG516&lt;=0,AH516&lt;=0),"",LN(AG516)-LN(AH516))</f>
        <v/>
      </c>
      <c r="AK516" t="n">
        <v>24937</v>
      </c>
      <c r="AL516" t="n">
        <v>139705</v>
      </c>
      <c r="AM516" s="88">
        <f>IF(OR(AK516&lt;=0,AL516&lt;=0),"",LN(AK516)-LN(AL516))</f>
        <v/>
      </c>
      <c r="AN516" t="n">
        <v>9224</v>
      </c>
      <c r="AO516" t="n">
        <v>149129</v>
      </c>
      <c r="AP516" s="88">
        <f>IF(OR(AN516&lt;=0,AO516&lt;=0),"",LN(AN516)-LN(AO516))</f>
        <v/>
      </c>
      <c r="AQ516" t="n">
        <v>9124</v>
      </c>
      <c r="AR516" t="n">
        <v>155267</v>
      </c>
      <c r="AS516" s="88">
        <f>IF(OR(AQ516&lt;=0,AR516&lt;=0),"",LN(AQ516)-LN(AR516))</f>
        <v/>
      </c>
      <c r="AT516" t="n">
        <v>11472</v>
      </c>
      <c r="AU516" t="n">
        <v>152149</v>
      </c>
      <c r="AV516" t="n">
        <v>1024</v>
      </c>
      <c r="AW516" t="n">
        <v>1008</v>
      </c>
      <c r="AX516" t="n">
        <v>8297</v>
      </c>
      <c r="AY516" s="88">
        <f>IF(OR(AT516&lt;=0,AU516&lt;=0),"",LN(AT516)-LN(AU516))</f>
        <v/>
      </c>
      <c r="AZ516" s="46" t="n">
        <v>11.7</v>
      </c>
      <c r="BA516" s="46" t="n">
        <v>26.56</v>
      </c>
      <c r="BB516" s="47" t="n">
        <v>2</v>
      </c>
    </row>
    <row r="517">
      <c r="A517" s="48" t="n">
        <v>45807</v>
      </c>
      <c r="B517" s="49" t="n">
        <v>173914</v>
      </c>
      <c r="C517" s="50" t="n">
        <v>25.68</v>
      </c>
      <c r="D517" s="51" t="inlineStr">
        <is>
          <t>Moderate</t>
        </is>
      </c>
      <c r="E517" s="52" t="n">
        <v>22.2</v>
      </c>
      <c r="F517" s="52" t="n"/>
      <c r="G517" s="51" t="inlineStr">
        <is>
          <t>Fri</t>
        </is>
      </c>
      <c r="H517" s="51" t="inlineStr">
        <is>
          <t>Weekday</t>
        </is>
      </c>
      <c r="I517" s="51" t="inlineStr">
        <is>
          <t>Spring</t>
        </is>
      </c>
      <c r="J517" s="51" t="n">
        <v>25</v>
      </c>
      <c r="K517" s="51" t="inlineStr">
        <is>
          <t>강수량 공란</t>
        </is>
      </c>
      <c r="L517" s="46" t="n">
        <v>38.4</v>
      </c>
      <c r="M517" t="inlineStr">
        <is>
          <t>Moderate</t>
        </is>
      </c>
      <c r="N517" s="87" t="n">
        <v>25</v>
      </c>
      <c r="O517" s="87" t="n">
        <v>0</v>
      </c>
      <c r="P517" s="87" t="n">
        <v>0</v>
      </c>
      <c r="Q517" s="87" t="n">
        <v>0</v>
      </c>
      <c r="R517" s="87" t="n">
        <v>0</v>
      </c>
      <c r="S517" s="47" t="n">
        <v>1.7</v>
      </c>
      <c r="T517" s="47" t="n">
        <v>55</v>
      </c>
      <c r="U517" s="47" t="n"/>
      <c r="V517" s="87" t="n">
        <v>0</v>
      </c>
      <c r="W517" s="87" t="n">
        <v>0</v>
      </c>
      <c r="Y517" t="inlineStr">
        <is>
          <t>May</t>
        </is>
      </c>
      <c r="Z517" s="87" t="n">
        <v>2025</v>
      </c>
      <c r="AA517" s="47">
        <f>IF(F517="",0,F517)</f>
        <v/>
      </c>
      <c r="AB517" s="87">
        <f>IF(AA517&gt;=0.1,1,0)</f>
        <v/>
      </c>
      <c r="AC517" s="87" t="n">
        <v>0</v>
      </c>
      <c r="AD517" s="47">
        <f>IF(U517="",0,U517)</f>
        <v/>
      </c>
      <c r="AE517" s="87">
        <f>IF(OR(V517=1,W517=1),1,0)</f>
        <v/>
      </c>
      <c r="AF517" s="87" t="n">
        <v>0</v>
      </c>
      <c r="AG517" t="n">
        <v>10678</v>
      </c>
      <c r="AH517" t="n">
        <v>163236</v>
      </c>
      <c r="AI517" t="n">
        <v>0</v>
      </c>
      <c r="AJ517" s="88">
        <f>IF(OR(AG517&lt;=0,AH517&lt;=0),"",LN(AG517)-LN(AH517))</f>
        <v/>
      </c>
      <c r="AK517" t="n">
        <v>27566</v>
      </c>
      <c r="AL517" t="n">
        <v>146348</v>
      </c>
      <c r="AM517" s="88">
        <f>IF(OR(AK517&lt;=0,AL517&lt;=0),"",LN(AK517)-LN(AL517))</f>
        <v/>
      </c>
      <c r="AN517" t="n">
        <v>10508</v>
      </c>
      <c r="AO517" t="n">
        <v>157078</v>
      </c>
      <c r="AP517" s="88">
        <f>IF(OR(AN517&lt;=0,AO517&lt;=0),"",LN(AN517)-LN(AO517))</f>
        <v/>
      </c>
      <c r="AQ517" t="n">
        <v>10350</v>
      </c>
      <c r="AR517" t="n">
        <v>163236</v>
      </c>
      <c r="AS517" s="88">
        <f>IF(OR(AQ517&lt;=0,AR517&lt;=0),"",LN(AQ517)-LN(AR517))</f>
        <v/>
      </c>
      <c r="AT517" t="n">
        <v>12593</v>
      </c>
      <c r="AU517" t="n">
        <v>160149</v>
      </c>
      <c r="AV517" t="n">
        <v>1173</v>
      </c>
      <c r="AW517" t="n">
        <v>1156</v>
      </c>
      <c r="AX517" t="n">
        <v>9441</v>
      </c>
      <c r="AY517" s="88">
        <f>IF(OR(AT517&lt;=0,AU517&lt;=0),"",LN(AT517)-LN(AU517))</f>
        <v/>
      </c>
      <c r="AZ517" s="46" t="n">
        <v>12.1</v>
      </c>
      <c r="BA517" s="46" t="n">
        <v>25.72</v>
      </c>
      <c r="BB517" s="47" t="n">
        <v>0.5</v>
      </c>
    </row>
    <row r="518">
      <c r="A518" s="48" t="n">
        <v>45808</v>
      </c>
      <c r="B518" s="49" t="n">
        <v>144789</v>
      </c>
      <c r="C518" s="50" t="n">
        <v>28.4</v>
      </c>
      <c r="D518" s="51" t="inlineStr">
        <is>
          <t>Moderate</t>
        </is>
      </c>
      <c r="E518" s="52" t="n">
        <v>21.5</v>
      </c>
      <c r="F518" s="52" t="n"/>
      <c r="G518" s="51" t="inlineStr">
        <is>
          <t>Sat</t>
        </is>
      </c>
      <c r="H518" s="51" t="inlineStr">
        <is>
          <t>Weekend</t>
        </is>
      </c>
      <c r="I518" s="51" t="inlineStr">
        <is>
          <t>Spring</t>
        </is>
      </c>
      <c r="J518" s="51" t="n">
        <v>25</v>
      </c>
      <c r="K518" s="51" t="inlineStr">
        <is>
          <t>강수량 공란</t>
        </is>
      </c>
      <c r="L518" s="46" t="n">
        <v>42.16</v>
      </c>
      <c r="M518" t="inlineStr">
        <is>
          <t>Moderate</t>
        </is>
      </c>
      <c r="N518" s="87" t="n">
        <v>25</v>
      </c>
      <c r="O518" s="87" t="n">
        <v>0</v>
      </c>
      <c r="P518" s="87" t="n">
        <v>0</v>
      </c>
      <c r="Q518" s="87" t="n">
        <v>0</v>
      </c>
      <c r="R518" s="87" t="n">
        <v>0</v>
      </c>
      <c r="S518" s="47" t="n">
        <v>2</v>
      </c>
      <c r="T518" s="47" t="n">
        <v>55</v>
      </c>
      <c r="U518" s="47" t="n"/>
      <c r="V518" s="87" t="n">
        <v>1</v>
      </c>
      <c r="W518" s="87" t="n">
        <v>0</v>
      </c>
      <c r="Y518" t="inlineStr">
        <is>
          <t>May</t>
        </is>
      </c>
      <c r="Z518" s="87" t="n">
        <v>2025</v>
      </c>
      <c r="AA518" s="47">
        <f>IF(F518="",0,F518)</f>
        <v/>
      </c>
      <c r="AB518" s="87">
        <f>IF(AA518&gt;=0.1,1,0)</f>
        <v/>
      </c>
      <c r="AC518" s="87" t="n">
        <v>0</v>
      </c>
      <c r="AD518" s="47">
        <f>IF(U518="",0,U518)</f>
        <v/>
      </c>
      <c r="AE518" s="87">
        <f>IF(OR(V518=1,W518=1),1,0)</f>
        <v/>
      </c>
      <c r="AF518" s="87" t="n">
        <v>0</v>
      </c>
      <c r="AG518" t="n">
        <v>12277</v>
      </c>
      <c r="AH518" t="n">
        <v>132512</v>
      </c>
      <c r="AI518" t="n">
        <v>0</v>
      </c>
      <c r="AJ518" s="88">
        <f>IF(OR(AG518&lt;=0,AH518&lt;=0),"",LN(AG518)-LN(AH518))</f>
        <v/>
      </c>
      <c r="AK518" t="n">
        <v>26794</v>
      </c>
      <c r="AL518" t="n">
        <v>117995</v>
      </c>
      <c r="AM518" s="88">
        <f>IF(OR(AK518&lt;=0,AL518&lt;=0),"",LN(AK518)-LN(AL518))</f>
        <v/>
      </c>
      <c r="AN518" t="n">
        <v>12096</v>
      </c>
      <c r="AO518" t="n">
        <v>127580</v>
      </c>
      <c r="AP518" s="88">
        <f>IF(OR(AN518&lt;=0,AO518&lt;=0),"",LN(AN518)-LN(AO518))</f>
        <v/>
      </c>
      <c r="AQ518" t="n">
        <v>11889</v>
      </c>
      <c r="AR518" t="n">
        <v>132512</v>
      </c>
      <c r="AS518" s="88">
        <f>IF(OR(AQ518&lt;=0,AR518&lt;=0),"",LN(AQ518)-LN(AR518))</f>
        <v/>
      </c>
      <c r="AT518" t="n">
        <v>13354</v>
      </c>
      <c r="AU518" t="n">
        <v>130459</v>
      </c>
      <c r="AV518" t="n">
        <v>977</v>
      </c>
      <c r="AW518" t="n">
        <v>1999</v>
      </c>
      <c r="AX518" t="n">
        <v>10169</v>
      </c>
      <c r="AY518" s="88">
        <f>IF(OR(AT518&lt;=0,AU518&lt;=0),"",LN(AT518)-LN(AU518))</f>
        <v/>
      </c>
      <c r="AZ518" s="46" t="n">
        <v>7.3</v>
      </c>
      <c r="BA518" s="46" t="n">
        <v>21.39</v>
      </c>
      <c r="BB518" s="47" t="n">
        <v>6.1</v>
      </c>
    </row>
    <row r="519">
      <c r="A519" s="48" t="n">
        <v>45809</v>
      </c>
      <c r="B519" s="49" t="n">
        <v>130285</v>
      </c>
      <c r="C519" s="50" t="n">
        <v>38.916667</v>
      </c>
      <c r="D519" s="51" t="inlineStr">
        <is>
          <t>Bad</t>
        </is>
      </c>
      <c r="E519" s="52" t="n">
        <v>22.6</v>
      </c>
      <c r="F519" s="52" t="n"/>
      <c r="G519" s="51" t="inlineStr">
        <is>
          <t>Sun</t>
        </is>
      </c>
      <c r="H519" s="51" t="inlineStr">
        <is>
          <t>Weekend</t>
        </is>
      </c>
      <c r="I519" s="51" t="inlineStr">
        <is>
          <t>Summer</t>
        </is>
      </c>
      <c r="J519" s="51" t="n">
        <v>24</v>
      </c>
      <c r="K519" s="51" t="inlineStr">
        <is>
          <t>강수량 공란</t>
        </is>
      </c>
      <c r="L519" s="46" t="n">
        <v>52.64</v>
      </c>
      <c r="M519" t="inlineStr">
        <is>
          <t>Moderate</t>
        </is>
      </c>
      <c r="N519" s="87" t="n">
        <v>25</v>
      </c>
      <c r="O519" s="87" t="n">
        <v>0</v>
      </c>
      <c r="P519" s="87" t="n">
        <v>0</v>
      </c>
      <c r="Q519" s="87" t="n">
        <v>0</v>
      </c>
      <c r="R519" s="87" t="n">
        <v>0</v>
      </c>
      <c r="S519" s="47" t="n">
        <v>2</v>
      </c>
      <c r="T519" s="47" t="n">
        <v>57.8</v>
      </c>
      <c r="U519" s="47" t="n"/>
      <c r="V519" s="87" t="n">
        <v>1</v>
      </c>
      <c r="W519" s="87" t="n">
        <v>0</v>
      </c>
      <c r="Y519" t="inlineStr">
        <is>
          <t>Jun</t>
        </is>
      </c>
      <c r="Z519" s="87" t="n">
        <v>2025</v>
      </c>
      <c r="AA519" s="47">
        <f>IF(F519="",0,F519)</f>
        <v/>
      </c>
      <c r="AB519" s="87">
        <f>IF(AA519&gt;=0.1,1,0)</f>
        <v/>
      </c>
      <c r="AC519" s="87" t="n">
        <v>0</v>
      </c>
      <c r="AD519" s="47">
        <f>IF(U519="",0,U519)</f>
        <v/>
      </c>
      <c r="AE519" s="87">
        <f>IF(OR(V519=1,W519=1),1,0)</f>
        <v/>
      </c>
      <c r="AF519" s="87" t="n">
        <v>0</v>
      </c>
      <c r="AG519" t="n">
        <v>11758</v>
      </c>
      <c r="AH519" t="n">
        <v>118527</v>
      </c>
      <c r="AI519" t="n">
        <v>0</v>
      </c>
      <c r="AJ519" s="88">
        <f>IF(OR(AG519&lt;=0,AH519&lt;=0),"",LN(AG519)-LN(AH519))</f>
        <v/>
      </c>
      <c r="AK519" t="n">
        <v>24740</v>
      </c>
      <c r="AL519" t="n">
        <v>105545</v>
      </c>
      <c r="AM519" s="88">
        <f>IF(OR(AK519&lt;=0,AL519&lt;=0),"",LN(AK519)-LN(AL519))</f>
        <v/>
      </c>
      <c r="AN519" t="n">
        <v>11569</v>
      </c>
      <c r="AO519" t="n">
        <v>114008</v>
      </c>
      <c r="AP519" s="88">
        <f>IF(OR(AN519&lt;=0,AO519&lt;=0),"",LN(AN519)-LN(AO519))</f>
        <v/>
      </c>
      <c r="AQ519" t="n">
        <v>11351</v>
      </c>
      <c r="AR519" t="n">
        <v>118527</v>
      </c>
      <c r="AS519" s="88">
        <f>IF(OR(AQ519&lt;=0,AR519&lt;=0),"",LN(AQ519)-LN(AR519))</f>
        <v/>
      </c>
      <c r="AT519" t="n">
        <v>13474</v>
      </c>
      <c r="AU519" t="n">
        <v>115951</v>
      </c>
      <c r="AV519" t="n">
        <v>859</v>
      </c>
      <c r="AW519" t="n">
        <v>2146</v>
      </c>
      <c r="AX519" t="n">
        <v>9514</v>
      </c>
      <c r="AY519" s="88">
        <f>IF(OR(AT519&lt;=0,AU519&lt;=0),"",LN(AT519)-LN(AU519))</f>
        <v/>
      </c>
      <c r="AZ519" s="46" t="n">
        <v>10.9</v>
      </c>
      <c r="BA519" s="46" t="n">
        <v>27.08</v>
      </c>
      <c r="BB519" s="47" t="n">
        <v>3.5</v>
      </c>
    </row>
    <row r="520">
      <c r="A520" s="48" t="n">
        <v>45810</v>
      </c>
      <c r="B520" s="49" t="n">
        <v>148773</v>
      </c>
      <c r="C520" s="50" t="n">
        <v>37.25</v>
      </c>
      <c r="D520" s="51" t="inlineStr">
        <is>
          <t>Bad</t>
        </is>
      </c>
      <c r="E520" s="52" t="n">
        <v>21</v>
      </c>
      <c r="F520" s="52" t="n">
        <v>0</v>
      </c>
      <c r="G520" s="51" t="inlineStr">
        <is>
          <t>Mon</t>
        </is>
      </c>
      <c r="H520" s="51" t="inlineStr">
        <is>
          <t>Weekday</t>
        </is>
      </c>
      <c r="I520" s="51" t="inlineStr">
        <is>
          <t>Summer</t>
        </is>
      </c>
      <c r="J520" s="51" t="n">
        <v>24</v>
      </c>
      <c r="K520" s="51" t="inlineStr">
        <is>
          <t>OK</t>
        </is>
      </c>
      <c r="L520" s="46" t="n">
        <v>53.16</v>
      </c>
      <c r="M520" t="inlineStr">
        <is>
          <t>Moderate</t>
        </is>
      </c>
      <c r="N520" s="87" t="n">
        <v>25</v>
      </c>
      <c r="O520" s="87" t="n">
        <v>0</v>
      </c>
      <c r="P520" s="87" t="n">
        <v>0</v>
      </c>
      <c r="Q520" s="87" t="n">
        <v>0</v>
      </c>
      <c r="R520" s="87" t="n">
        <v>0</v>
      </c>
      <c r="S520" s="47" t="n">
        <v>1.5</v>
      </c>
      <c r="T520" s="47" t="n">
        <v>64.3</v>
      </c>
      <c r="U520" s="47" t="n"/>
      <c r="V520" s="87" t="n">
        <v>0</v>
      </c>
      <c r="W520" s="87" t="n">
        <v>0</v>
      </c>
      <c r="Y520" t="inlineStr">
        <is>
          <t>Jun</t>
        </is>
      </c>
      <c r="Z520" s="87" t="n">
        <v>2025</v>
      </c>
      <c r="AA520" s="47">
        <f>IF(F520="",0,F520)</f>
        <v/>
      </c>
      <c r="AB520" s="87">
        <f>IF(AA520&gt;=0.1,1,0)</f>
        <v/>
      </c>
      <c r="AC520" s="87" t="n">
        <v>1</v>
      </c>
      <c r="AD520" s="47">
        <f>IF(U520="",0,U520)</f>
        <v/>
      </c>
      <c r="AE520" s="87">
        <f>IF(OR(V520=1,W520=1),1,0)</f>
        <v/>
      </c>
      <c r="AF520" s="87" t="n">
        <v>0</v>
      </c>
      <c r="AG520" t="n">
        <v>8638</v>
      </c>
      <c r="AH520" t="n">
        <v>140135</v>
      </c>
      <c r="AI520" t="n">
        <v>0</v>
      </c>
      <c r="AJ520" s="88">
        <f>IF(OR(AG520&lt;=0,AH520&lt;=0),"",LN(AG520)-LN(AH520))</f>
        <v/>
      </c>
      <c r="AK520" t="n">
        <v>22961</v>
      </c>
      <c r="AL520" t="n">
        <v>125812</v>
      </c>
      <c r="AM520" s="88">
        <f>IF(OR(AK520&lt;=0,AL520&lt;=0),"",LN(AK520)-LN(AL520))</f>
        <v/>
      </c>
      <c r="AN520" t="n">
        <v>8504</v>
      </c>
      <c r="AO520" t="n">
        <v>134497</v>
      </c>
      <c r="AP520" s="88">
        <f>IF(OR(AN520&lt;=0,AO520&lt;=0),"",LN(AN520)-LN(AO520))</f>
        <v/>
      </c>
      <c r="AQ520" t="n">
        <v>8380</v>
      </c>
      <c r="AR520" t="n">
        <v>140135</v>
      </c>
      <c r="AS520" s="88">
        <f>IF(OR(AQ520&lt;=0,AR520&lt;=0),"",LN(AQ520)-LN(AR520))</f>
        <v/>
      </c>
      <c r="AT520" t="n">
        <v>9236</v>
      </c>
      <c r="AU520" t="n">
        <v>138608</v>
      </c>
      <c r="AV520" t="n">
        <v>931</v>
      </c>
      <c r="AW520" t="n">
        <v>850</v>
      </c>
      <c r="AX520" t="n">
        <v>7740</v>
      </c>
      <c r="AY520" s="88">
        <f>IF(OR(AT520&lt;=0,AU520&lt;=0),"",LN(AT520)-LN(AU520))</f>
        <v/>
      </c>
      <c r="AZ520" s="46" t="n">
        <v>0</v>
      </c>
      <c r="BA520" s="46" t="n">
        <v>6.3</v>
      </c>
      <c r="BB520" s="47" t="n">
        <v>9.800000000000001</v>
      </c>
    </row>
    <row r="521">
      <c r="A521" s="48" t="n">
        <v>45811</v>
      </c>
      <c r="B521" s="49" t="n">
        <v>154910</v>
      </c>
      <c r="C521" s="50" t="n">
        <v>25.833333</v>
      </c>
      <c r="D521" s="51" t="inlineStr">
        <is>
          <t>Moderate</t>
        </is>
      </c>
      <c r="E521" s="52" t="n">
        <v>20.9</v>
      </c>
      <c r="F521" s="52" t="n"/>
      <c r="G521" s="51" t="inlineStr">
        <is>
          <t>Tue</t>
        </is>
      </c>
      <c r="H521" s="51" t="inlineStr">
        <is>
          <t>Weekday</t>
        </is>
      </c>
      <c r="I521" s="51" t="inlineStr">
        <is>
          <t>Summer</t>
        </is>
      </c>
      <c r="J521" s="51" t="n">
        <v>24</v>
      </c>
      <c r="K521" s="51" t="inlineStr">
        <is>
          <t>강수량 공란</t>
        </is>
      </c>
      <c r="L521" s="46" t="n">
        <v>41.92</v>
      </c>
      <c r="M521" t="inlineStr">
        <is>
          <t>Moderate</t>
        </is>
      </c>
      <c r="N521" s="87" t="n">
        <v>25</v>
      </c>
      <c r="O521" s="87" t="n">
        <v>0</v>
      </c>
      <c r="P521" s="87" t="n">
        <v>0</v>
      </c>
      <c r="Q521" s="87" t="n">
        <v>0</v>
      </c>
      <c r="R521" s="87" t="n">
        <v>0</v>
      </c>
      <c r="S521" s="47" t="n">
        <v>2.9</v>
      </c>
      <c r="T521" s="47" t="n">
        <v>56.9</v>
      </c>
      <c r="U521" s="47" t="n"/>
      <c r="V521" s="87" t="n">
        <v>0</v>
      </c>
      <c r="W521" s="87" t="n">
        <v>1</v>
      </c>
      <c r="X521" t="inlineStr">
        <is>
          <t>제21대 대통령선거 임시공휴일</t>
        </is>
      </c>
      <c r="Y521" t="inlineStr">
        <is>
          <t>Jun</t>
        </is>
      </c>
      <c r="Z521" s="87" t="n">
        <v>2025</v>
      </c>
      <c r="AA521" s="47">
        <f>IF(F521="",0,F521)</f>
        <v/>
      </c>
      <c r="AB521" s="87">
        <f>IF(AA521&gt;=0.1,1,0)</f>
        <v/>
      </c>
      <c r="AC521" s="87" t="n">
        <v>0</v>
      </c>
      <c r="AD521" s="47">
        <f>IF(U521="",0,U521)</f>
        <v/>
      </c>
      <c r="AE521" s="87">
        <f>IF(OR(V521=1,W521=1),1,0)</f>
        <v/>
      </c>
      <c r="AF521" s="87" t="n">
        <v>0</v>
      </c>
      <c r="AG521" t="n">
        <v>12929</v>
      </c>
      <c r="AH521" t="n">
        <v>141981</v>
      </c>
      <c r="AI521" t="n">
        <v>0</v>
      </c>
      <c r="AJ521" s="88">
        <f>IF(OR(AG521&lt;=0,AH521&lt;=0),"",LN(AG521)-LN(AH521))</f>
        <v/>
      </c>
      <c r="AK521" t="n">
        <v>29015</v>
      </c>
      <c r="AL521" t="n">
        <v>125895</v>
      </c>
      <c r="AM521" s="88">
        <f>IF(OR(AK521&lt;=0,AL521&lt;=0),"",LN(AK521)-LN(AL521))</f>
        <v/>
      </c>
      <c r="AN521" t="n">
        <v>12735</v>
      </c>
      <c r="AO521" t="n">
        <v>136663</v>
      </c>
      <c r="AP521" s="88">
        <f>IF(OR(AN521&lt;=0,AO521&lt;=0),"",LN(AN521)-LN(AO521))</f>
        <v/>
      </c>
      <c r="AQ521" t="n">
        <v>12466</v>
      </c>
      <c r="AR521" t="n">
        <v>141981</v>
      </c>
      <c r="AS521" s="88">
        <f>IF(OR(AQ521&lt;=0,AR521&lt;=0),"",LN(AQ521)-LN(AR521))</f>
        <v/>
      </c>
      <c r="AT521" t="n">
        <v>16627</v>
      </c>
      <c r="AU521" t="n">
        <v>137319</v>
      </c>
      <c r="AV521" t="n">
        <v>965</v>
      </c>
      <c r="AW521" t="n">
        <v>2247</v>
      </c>
      <c r="AX521" t="n">
        <v>10574</v>
      </c>
      <c r="AY521" s="88">
        <f>IF(OR(AT521&lt;=0,AU521&lt;=0),"",LN(AT521)-LN(AU521))</f>
        <v/>
      </c>
      <c r="AZ521" s="46" t="n">
        <v>11.9</v>
      </c>
      <c r="BA521" s="46" t="n">
        <v>27.24</v>
      </c>
      <c r="BB521" s="47" t="n">
        <v>1.6</v>
      </c>
    </row>
    <row r="522">
      <c r="A522" s="48" t="n">
        <v>45812</v>
      </c>
      <c r="B522" s="49" t="n">
        <v>167578</v>
      </c>
      <c r="C522" s="50" t="n">
        <v>8.625</v>
      </c>
      <c r="D522" s="51" t="inlineStr">
        <is>
          <t>Good</t>
        </is>
      </c>
      <c r="E522" s="52" t="n">
        <v>20.5</v>
      </c>
      <c r="F522" s="52" t="n"/>
      <c r="G522" s="51" t="inlineStr">
        <is>
          <t>Wed</t>
        </is>
      </c>
      <c r="H522" s="51" t="inlineStr">
        <is>
          <t>Weekday</t>
        </is>
      </c>
      <c r="I522" s="51" t="inlineStr">
        <is>
          <t>Summer</t>
        </is>
      </c>
      <c r="J522" s="51" t="n">
        <v>24</v>
      </c>
      <c r="K522" s="51" t="inlineStr">
        <is>
          <t>강수량 공란</t>
        </is>
      </c>
      <c r="L522" s="46" t="n">
        <v>28.76</v>
      </c>
      <c r="M522" t="inlineStr">
        <is>
          <t>Good</t>
        </is>
      </c>
      <c r="N522" s="87" t="n">
        <v>25</v>
      </c>
      <c r="O522" s="87" t="n">
        <v>0</v>
      </c>
      <c r="P522" s="87" t="n">
        <v>0</v>
      </c>
      <c r="Q522" s="87" t="n">
        <v>0</v>
      </c>
      <c r="R522" s="87" t="n">
        <v>0</v>
      </c>
      <c r="S522" s="47" t="n">
        <v>3.5</v>
      </c>
      <c r="T522" s="47" t="n">
        <v>55.3</v>
      </c>
      <c r="U522" s="47" t="n"/>
      <c r="V522" s="87" t="n">
        <v>0</v>
      </c>
      <c r="W522" s="87" t="n">
        <v>0</v>
      </c>
      <c r="Y522" t="inlineStr">
        <is>
          <t>Jun</t>
        </is>
      </c>
      <c r="Z522" s="87" t="n">
        <v>2025</v>
      </c>
      <c r="AA522" s="47">
        <f>IF(F522="",0,F522)</f>
        <v/>
      </c>
      <c r="AB522" s="87">
        <f>IF(AA522&gt;=0.1,1,0)</f>
        <v/>
      </c>
      <c r="AC522" s="87" t="n">
        <v>0</v>
      </c>
      <c r="AD522" s="47">
        <f>IF(U522="",0,U522)</f>
        <v/>
      </c>
      <c r="AE522" s="87">
        <f>IF(OR(V522=1,W522=1),1,0)</f>
        <v/>
      </c>
      <c r="AF522" s="87" t="n">
        <v>0</v>
      </c>
      <c r="AG522" t="n">
        <v>10116</v>
      </c>
      <c r="AH522" t="n">
        <v>157462</v>
      </c>
      <c r="AI522" t="n">
        <v>0</v>
      </c>
      <c r="AJ522" s="88">
        <f>IF(OR(AG522&lt;=0,AH522&lt;=0),"",LN(AG522)-LN(AH522))</f>
        <v/>
      </c>
      <c r="AK522" t="n">
        <v>26358</v>
      </c>
      <c r="AL522" t="n">
        <v>141220</v>
      </c>
      <c r="AM522" s="88">
        <f>IF(OR(AK522&lt;=0,AL522&lt;=0),"",LN(AK522)-LN(AL522))</f>
        <v/>
      </c>
      <c r="AN522" t="n">
        <v>9943</v>
      </c>
      <c r="AO522" t="n">
        <v>151505</v>
      </c>
      <c r="AP522" s="88">
        <f>IF(OR(AN522&lt;=0,AO522&lt;=0),"",LN(AN522)-LN(AO522))</f>
        <v/>
      </c>
      <c r="AQ522" t="n">
        <v>9815</v>
      </c>
      <c r="AR522" t="n">
        <v>157462</v>
      </c>
      <c r="AS522" s="88">
        <f>IF(OR(AQ522&lt;=0,AR522&lt;=0),"",LN(AQ522)-LN(AR522))</f>
        <v/>
      </c>
      <c r="AT522" t="n">
        <v>10627</v>
      </c>
      <c r="AU522" t="n">
        <v>155928</v>
      </c>
      <c r="AV522" t="n">
        <v>1023</v>
      </c>
      <c r="AW522" t="n">
        <v>1115</v>
      </c>
      <c r="AX522" t="n">
        <v>8924</v>
      </c>
      <c r="AY522" s="88">
        <f>IF(OR(AT522&lt;=0,AU522&lt;=0),"",LN(AT522)-LN(AU522))</f>
        <v/>
      </c>
      <c r="AZ522" s="46" t="n">
        <v>12.1</v>
      </c>
      <c r="BA522" s="46" t="n">
        <v>29.45</v>
      </c>
      <c r="BB522" s="47" t="n">
        <v>0.4</v>
      </c>
    </row>
    <row r="523">
      <c r="A523" s="48" t="n">
        <v>45813</v>
      </c>
      <c r="B523" s="49" t="n">
        <v>172650</v>
      </c>
      <c r="C523" s="50" t="n">
        <v>12.25</v>
      </c>
      <c r="D523" s="51" t="inlineStr">
        <is>
          <t>Good</t>
        </is>
      </c>
      <c r="E523" s="52" t="n">
        <v>21.7</v>
      </c>
      <c r="F523" s="52" t="n"/>
      <c r="G523" s="51" t="inlineStr">
        <is>
          <t>Thu</t>
        </is>
      </c>
      <c r="H523" s="51" t="inlineStr">
        <is>
          <t>Weekday</t>
        </is>
      </c>
      <c r="I523" s="51" t="inlineStr">
        <is>
          <t>Summer</t>
        </is>
      </c>
      <c r="J523" s="51" t="n">
        <v>24</v>
      </c>
      <c r="K523" s="51" t="inlineStr">
        <is>
          <t>강수량 공란</t>
        </is>
      </c>
      <c r="L523" s="46" t="n">
        <v>25.36</v>
      </c>
      <c r="M523" t="inlineStr">
        <is>
          <t>Good</t>
        </is>
      </c>
      <c r="N523" s="87" t="n">
        <v>25</v>
      </c>
      <c r="O523" s="87" t="n">
        <v>0</v>
      </c>
      <c r="P523" s="87" t="n">
        <v>0</v>
      </c>
      <c r="Q523" s="87" t="n">
        <v>0</v>
      </c>
      <c r="R523" s="87" t="n">
        <v>0</v>
      </c>
      <c r="S523" s="47" t="n">
        <v>2.3</v>
      </c>
      <c r="T523" s="47" t="n">
        <v>49.8</v>
      </c>
      <c r="U523" s="47" t="n"/>
      <c r="V523" s="87" t="n">
        <v>0</v>
      </c>
      <c r="W523" s="87" t="n">
        <v>0</v>
      </c>
      <c r="Y523" t="inlineStr">
        <is>
          <t>Jun</t>
        </is>
      </c>
      <c r="Z523" s="87" t="n">
        <v>2025</v>
      </c>
      <c r="AA523" s="47">
        <f>IF(F523="",0,F523)</f>
        <v/>
      </c>
      <c r="AB523" s="87">
        <f>IF(AA523&gt;=0.1,1,0)</f>
        <v/>
      </c>
      <c r="AC523" s="87" t="n">
        <v>0</v>
      </c>
      <c r="AD523" s="47">
        <f>IF(U523="",0,U523)</f>
        <v/>
      </c>
      <c r="AE523" s="87">
        <f>IF(OR(V523=1,W523=1),1,0)</f>
        <v/>
      </c>
      <c r="AF523" s="87" t="n">
        <v>0</v>
      </c>
      <c r="AG523" t="n">
        <v>10304</v>
      </c>
      <c r="AH523" t="n">
        <v>162346</v>
      </c>
      <c r="AI523" t="n">
        <v>0</v>
      </c>
      <c r="AJ523" s="88">
        <f>IF(OR(AG523&lt;=0,AH523&lt;=0),"",LN(AG523)-LN(AH523))</f>
        <v/>
      </c>
      <c r="AK523" t="n">
        <v>27031</v>
      </c>
      <c r="AL523" t="n">
        <v>145619</v>
      </c>
      <c r="AM523" s="88">
        <f>IF(OR(AK523&lt;=0,AL523&lt;=0),"",LN(AK523)-LN(AL523))</f>
        <v/>
      </c>
      <c r="AN523" t="n">
        <v>10092</v>
      </c>
      <c r="AO523" t="n">
        <v>155821</v>
      </c>
      <c r="AP523" s="88">
        <f>IF(OR(AN523&lt;=0,AO523&lt;=0),"",LN(AN523)-LN(AO523))</f>
        <v/>
      </c>
      <c r="AQ523" t="n">
        <v>9996</v>
      </c>
      <c r="AR523" t="n">
        <v>162346</v>
      </c>
      <c r="AS523" s="88">
        <f>IF(OR(AQ523&lt;=0,AR523&lt;=0),"",LN(AQ523)-LN(AR523))</f>
        <v/>
      </c>
      <c r="AT523" t="n">
        <v>11275</v>
      </c>
      <c r="AU523" t="n">
        <v>160234</v>
      </c>
      <c r="AV523" t="n">
        <v>1142</v>
      </c>
      <c r="AW523" t="n">
        <v>1039</v>
      </c>
      <c r="AX523" t="n">
        <v>9180</v>
      </c>
      <c r="AY523" s="88">
        <f>IF(OR(AT523&lt;=0,AU523&lt;=0),"",LN(AT523)-LN(AU523))</f>
        <v/>
      </c>
      <c r="AZ523" s="46" t="n">
        <v>12.5</v>
      </c>
      <c r="BA523" s="46" t="n">
        <v>28.99</v>
      </c>
      <c r="BB523" s="47" t="n">
        <v>3.1</v>
      </c>
    </row>
    <row r="524">
      <c r="A524" s="48" t="n">
        <v>45814</v>
      </c>
      <c r="B524" s="49" t="n">
        <v>137914</v>
      </c>
      <c r="C524" s="50" t="n">
        <v>15</v>
      </c>
      <c r="D524" s="51" t="inlineStr">
        <is>
          <t>Good</t>
        </is>
      </c>
      <c r="E524" s="52" t="n">
        <v>24.1</v>
      </c>
      <c r="F524" s="52" t="n"/>
      <c r="G524" s="51" t="inlineStr">
        <is>
          <t>Fri</t>
        </is>
      </c>
      <c r="H524" s="51" t="inlineStr">
        <is>
          <t>Weekday</t>
        </is>
      </c>
      <c r="I524" s="51" t="inlineStr">
        <is>
          <t>Summer</t>
        </is>
      </c>
      <c r="J524" s="51" t="n">
        <v>24</v>
      </c>
      <c r="K524" s="51" t="inlineStr">
        <is>
          <t>강수량 공란</t>
        </is>
      </c>
      <c r="L524" s="46" t="n">
        <v>30.92</v>
      </c>
      <c r="M524" t="inlineStr">
        <is>
          <t>Moderate</t>
        </is>
      </c>
      <c r="N524" s="87" t="n">
        <v>25</v>
      </c>
      <c r="O524" s="87" t="n">
        <v>0</v>
      </c>
      <c r="P524" s="87" t="n">
        <v>0</v>
      </c>
      <c r="Q524" s="87" t="n">
        <v>0</v>
      </c>
      <c r="R524" s="87" t="n">
        <v>0</v>
      </c>
      <c r="S524" s="47" t="n">
        <v>3</v>
      </c>
      <c r="T524" s="47" t="n">
        <v>42.6</v>
      </c>
      <c r="U524" s="47" t="n"/>
      <c r="V524" s="87" t="n">
        <v>0</v>
      </c>
      <c r="W524" s="87" t="n">
        <v>1</v>
      </c>
      <c r="X524" t="inlineStr">
        <is>
          <t>현충일</t>
        </is>
      </c>
      <c r="Y524" t="inlineStr">
        <is>
          <t>Jun</t>
        </is>
      </c>
      <c r="Z524" s="87" t="n">
        <v>2025</v>
      </c>
      <c r="AA524" s="47">
        <f>IF(F524="",0,F524)</f>
        <v/>
      </c>
      <c r="AB524" s="87">
        <f>IF(AA524&gt;=0.1,1,0)</f>
        <v/>
      </c>
      <c r="AC524" s="87" t="n">
        <v>0</v>
      </c>
      <c r="AD524" s="47">
        <f>IF(U524="",0,U524)</f>
        <v/>
      </c>
      <c r="AE524" s="87">
        <f>IF(OR(V524=1,W524=1),1,0)</f>
        <v/>
      </c>
      <c r="AF524" s="87" t="n">
        <v>0</v>
      </c>
      <c r="AG524" t="n">
        <v>12472</v>
      </c>
      <c r="AH524" t="n">
        <v>125442</v>
      </c>
      <c r="AI524" t="n">
        <v>0</v>
      </c>
      <c r="AJ524" s="88">
        <f>IF(OR(AG524&lt;=0,AH524&lt;=0),"",LN(AG524)-LN(AH524))</f>
        <v/>
      </c>
      <c r="AK524" t="n">
        <v>26525</v>
      </c>
      <c r="AL524" t="n">
        <v>111389</v>
      </c>
      <c r="AM524" s="88">
        <f>IF(OR(AK524&lt;=0,AL524&lt;=0),"",LN(AK524)-LN(AL524))</f>
        <v/>
      </c>
      <c r="AN524" t="n">
        <v>12278</v>
      </c>
      <c r="AO524" t="n">
        <v>120572</v>
      </c>
      <c r="AP524" s="88">
        <f>IF(OR(AN524&lt;=0,AO524&lt;=0),"",LN(AN524)-LN(AO524))</f>
        <v/>
      </c>
      <c r="AQ524" t="n">
        <v>12030</v>
      </c>
      <c r="AR524" t="n">
        <v>125442</v>
      </c>
      <c r="AS524" s="88">
        <f>IF(OR(AQ524&lt;=0,AR524&lt;=0),"",LN(AQ524)-LN(AR524))</f>
        <v/>
      </c>
      <c r="AT524" t="n">
        <v>13894</v>
      </c>
      <c r="AU524" t="n">
        <v>123028</v>
      </c>
      <c r="AV524" t="n">
        <v>993</v>
      </c>
      <c r="AW524" t="n">
        <v>2124</v>
      </c>
      <c r="AX524" t="n">
        <v>10229</v>
      </c>
      <c r="AY524" s="88">
        <f>IF(OR(AT524&lt;=0,AU524&lt;=0),"",LN(AT524)-LN(AU524))</f>
        <v/>
      </c>
      <c r="AZ524" s="46" t="n">
        <v>12</v>
      </c>
      <c r="BA524" s="46" t="n">
        <v>29.48</v>
      </c>
      <c r="BB524" s="47" t="n">
        <v>3.5</v>
      </c>
    </row>
    <row r="525">
      <c r="A525" s="48" t="n">
        <v>45815</v>
      </c>
      <c r="B525" s="49" t="n">
        <v>135697</v>
      </c>
      <c r="C525" s="50" t="n">
        <v>23.666667</v>
      </c>
      <c r="D525" s="51" t="inlineStr">
        <is>
          <t>Moderate</t>
        </is>
      </c>
      <c r="E525" s="52" t="n">
        <v>23.7</v>
      </c>
      <c r="F525" s="52" t="n">
        <v>0.1</v>
      </c>
      <c r="G525" s="51" t="inlineStr">
        <is>
          <t>Sat</t>
        </is>
      </c>
      <c r="H525" s="51" t="inlineStr">
        <is>
          <t>Weekend</t>
        </is>
      </c>
      <c r="I525" s="51" t="inlineStr">
        <is>
          <t>Summer</t>
        </is>
      </c>
      <c r="J525" s="51" t="n">
        <v>24</v>
      </c>
      <c r="K525" s="51" t="inlineStr">
        <is>
          <t>OK</t>
        </is>
      </c>
      <c r="L525" s="46" t="n">
        <v>41.64</v>
      </c>
      <c r="M525" t="inlineStr">
        <is>
          <t>Moderate</t>
        </is>
      </c>
      <c r="N525" s="87" t="n">
        <v>25</v>
      </c>
      <c r="O525" s="87" t="n">
        <v>0</v>
      </c>
      <c r="P525" s="87" t="n">
        <v>0</v>
      </c>
      <c r="Q525" s="87" t="n">
        <v>0</v>
      </c>
      <c r="R525" s="87" t="n">
        <v>0</v>
      </c>
      <c r="S525" s="47" t="n">
        <v>2.6</v>
      </c>
      <c r="T525" s="47" t="n">
        <v>61.4</v>
      </c>
      <c r="U525" s="47" t="n"/>
      <c r="V525" s="87" t="n">
        <v>1</v>
      </c>
      <c r="W525" s="87" t="n">
        <v>0</v>
      </c>
      <c r="Y525" t="inlineStr">
        <is>
          <t>Jun</t>
        </is>
      </c>
      <c r="Z525" s="87" t="n">
        <v>2025</v>
      </c>
      <c r="AA525" s="47">
        <f>IF(F525="",0,F525)</f>
        <v/>
      </c>
      <c r="AB525" s="87">
        <f>IF(AA525&gt;=0.1,1,0)</f>
        <v/>
      </c>
      <c r="AC525" s="87" t="n">
        <v>0</v>
      </c>
      <c r="AD525" s="47">
        <f>IF(U525="",0,U525)</f>
        <v/>
      </c>
      <c r="AE525" s="87">
        <f>IF(OR(V525=1,W525=1),1,0)</f>
        <v/>
      </c>
      <c r="AF525" s="87" t="n">
        <v>0</v>
      </c>
      <c r="AG525" t="n">
        <v>11460</v>
      </c>
      <c r="AH525" t="n">
        <v>124237</v>
      </c>
      <c r="AI525" t="n">
        <v>0</v>
      </c>
      <c r="AJ525" s="88">
        <f>IF(OR(AG525&lt;=0,AH525&lt;=0),"",LN(AG525)-LN(AH525))</f>
        <v/>
      </c>
      <c r="AK525" t="n">
        <v>25188</v>
      </c>
      <c r="AL525" t="n">
        <v>110509</v>
      </c>
      <c r="AM525" s="88">
        <f>IF(OR(AK525&lt;=0,AL525&lt;=0),"",LN(AK525)-LN(AL525))</f>
        <v/>
      </c>
      <c r="AN525" t="n">
        <v>11226</v>
      </c>
      <c r="AO525" t="n">
        <v>119359</v>
      </c>
      <c r="AP525" s="88">
        <f>IF(OR(AN525&lt;=0,AO525&lt;=0),"",LN(AN525)-LN(AO525))</f>
        <v/>
      </c>
      <c r="AQ525" t="n">
        <v>11121</v>
      </c>
      <c r="AR525" t="n">
        <v>124237</v>
      </c>
      <c r="AS525" s="88">
        <f>IF(OR(AQ525&lt;=0,AR525&lt;=0),"",LN(AQ525)-LN(AR525))</f>
        <v/>
      </c>
      <c r="AT525" t="n">
        <v>13480</v>
      </c>
      <c r="AU525" t="n">
        <v>121303</v>
      </c>
      <c r="AV525" t="n">
        <v>915</v>
      </c>
      <c r="AW525" t="n">
        <v>1899</v>
      </c>
      <c r="AX525" t="n">
        <v>9464</v>
      </c>
      <c r="AY525" s="88">
        <f>IF(OR(AT525&lt;=0,AU525&lt;=0),"",LN(AT525)-LN(AU525))</f>
        <v/>
      </c>
      <c r="AZ525" s="46" t="n">
        <v>4.6</v>
      </c>
      <c r="BA525" s="46" t="n">
        <v>17.51</v>
      </c>
      <c r="BB525" s="47" t="n">
        <v>6.8</v>
      </c>
    </row>
    <row r="526">
      <c r="A526" s="48" t="n">
        <v>45816</v>
      </c>
      <c r="B526" s="49" t="n">
        <v>122267</v>
      </c>
      <c r="C526" s="50" t="n">
        <v>17.166667</v>
      </c>
      <c r="D526" s="51" t="inlineStr">
        <is>
          <t>Moderate</t>
        </is>
      </c>
      <c r="E526" s="52" t="n">
        <v>25.1</v>
      </c>
      <c r="F526" s="52" t="n">
        <v>0.6</v>
      </c>
      <c r="G526" s="51" t="inlineStr">
        <is>
          <t>Sun</t>
        </is>
      </c>
      <c r="H526" s="51" t="inlineStr">
        <is>
          <t>Weekend</t>
        </is>
      </c>
      <c r="I526" s="51" t="inlineStr">
        <is>
          <t>Summer</t>
        </is>
      </c>
      <c r="J526" s="51" t="n">
        <v>24</v>
      </c>
      <c r="K526" s="51" t="inlineStr">
        <is>
          <t>OK</t>
        </is>
      </c>
      <c r="L526" s="46" t="n">
        <v>26.84</v>
      </c>
      <c r="M526" t="inlineStr">
        <is>
          <t>Good</t>
        </is>
      </c>
      <c r="N526" s="87" t="n">
        <v>25</v>
      </c>
      <c r="O526" s="87" t="n">
        <v>0</v>
      </c>
      <c r="P526" s="87" t="n">
        <v>0</v>
      </c>
      <c r="Q526" s="87" t="n">
        <v>0</v>
      </c>
      <c r="R526" s="87" t="n">
        <v>0</v>
      </c>
      <c r="S526" s="47" t="n">
        <v>1.7</v>
      </c>
      <c r="T526" s="47" t="n">
        <v>69.3</v>
      </c>
      <c r="U526" s="47" t="n"/>
      <c r="V526" s="87" t="n">
        <v>1</v>
      </c>
      <c r="W526" s="87" t="n">
        <v>0</v>
      </c>
      <c r="Y526" t="inlineStr">
        <is>
          <t>Jun</t>
        </is>
      </c>
      <c r="Z526" s="87" t="n">
        <v>2025</v>
      </c>
      <c r="AA526" s="47">
        <f>IF(F526="",0,F526)</f>
        <v/>
      </c>
      <c r="AB526" s="87">
        <f>IF(AA526&gt;=0.1,1,0)</f>
        <v/>
      </c>
      <c r="AC526" s="87" t="n">
        <v>0</v>
      </c>
      <c r="AD526" s="47">
        <f>IF(U526="",0,U526)</f>
        <v/>
      </c>
      <c r="AE526" s="87">
        <f>IF(OR(V526=1,W526=1),1,0)</f>
        <v/>
      </c>
      <c r="AF526" s="87" t="n">
        <v>0</v>
      </c>
      <c r="AG526" t="n">
        <v>10376</v>
      </c>
      <c r="AH526" t="n">
        <v>111891</v>
      </c>
      <c r="AI526" t="n">
        <v>0</v>
      </c>
      <c r="AJ526" s="88">
        <f>IF(OR(AG526&lt;=0,AH526&lt;=0),"",LN(AG526)-LN(AH526))</f>
        <v/>
      </c>
      <c r="AK526" t="n">
        <v>22414</v>
      </c>
      <c r="AL526" t="n">
        <v>99853</v>
      </c>
      <c r="AM526" s="88">
        <f>IF(OR(AK526&lt;=0,AL526&lt;=0),"",LN(AK526)-LN(AL526))</f>
        <v/>
      </c>
      <c r="AN526" t="n">
        <v>10182</v>
      </c>
      <c r="AO526" t="n">
        <v>107594</v>
      </c>
      <c r="AP526" s="88">
        <f>IF(OR(AN526&lt;=0,AO526&lt;=0),"",LN(AN526)-LN(AO526))</f>
        <v/>
      </c>
      <c r="AQ526" t="n">
        <v>10003</v>
      </c>
      <c r="AR526" t="n">
        <v>111891</v>
      </c>
      <c r="AS526" s="88">
        <f>IF(OR(AQ526&lt;=0,AR526&lt;=0),"",LN(AQ526)-LN(AR526))</f>
        <v/>
      </c>
      <c r="AT526" t="n">
        <v>13244</v>
      </c>
      <c r="AU526" t="n">
        <v>108298</v>
      </c>
      <c r="AV526" t="n">
        <v>726</v>
      </c>
      <c r="AW526" t="n">
        <v>1778</v>
      </c>
      <c r="AX526" t="n">
        <v>8514</v>
      </c>
      <c r="AY526" s="88">
        <f>IF(OR(AT526&lt;=0,AU526&lt;=0),"",LN(AT526)-LN(AU526))</f>
        <v/>
      </c>
      <c r="AZ526" s="46" t="n">
        <v>7.4</v>
      </c>
      <c r="BA526" s="46" t="n">
        <v>21.59</v>
      </c>
      <c r="BB526" s="47" t="n">
        <v>6.8</v>
      </c>
    </row>
    <row r="527">
      <c r="A527" s="48" t="n">
        <v>45817</v>
      </c>
      <c r="B527" s="49" t="n">
        <v>161721</v>
      </c>
      <c r="C527" s="50" t="n">
        <v>21</v>
      </c>
      <c r="D527" s="51" t="inlineStr">
        <is>
          <t>Moderate</t>
        </is>
      </c>
      <c r="E527" s="52" t="n">
        <v>24.2</v>
      </c>
      <c r="F527" s="52" t="n">
        <v>0</v>
      </c>
      <c r="G527" s="51" t="inlineStr">
        <is>
          <t>Mon</t>
        </is>
      </c>
      <c r="H527" s="51" t="inlineStr">
        <is>
          <t>Weekday</t>
        </is>
      </c>
      <c r="I527" s="51" t="inlineStr">
        <is>
          <t>Summer</t>
        </is>
      </c>
      <c r="J527" s="51" t="n">
        <v>24</v>
      </c>
      <c r="K527" s="51" t="inlineStr">
        <is>
          <t>OK</t>
        </is>
      </c>
      <c r="L527" s="46" t="n">
        <v>31.96</v>
      </c>
      <c r="M527" t="inlineStr">
        <is>
          <t>Moderate</t>
        </is>
      </c>
      <c r="N527" s="87" t="n">
        <v>25</v>
      </c>
      <c r="O527" s="87" t="n">
        <v>0</v>
      </c>
      <c r="P527" s="87" t="n">
        <v>0</v>
      </c>
      <c r="Q527" s="87" t="n">
        <v>0</v>
      </c>
      <c r="R527" s="87" t="n">
        <v>0</v>
      </c>
      <c r="S527" s="47" t="n">
        <v>2.6</v>
      </c>
      <c r="T527" s="47" t="n">
        <v>66.59999999999999</v>
      </c>
      <c r="U527" s="47" t="n"/>
      <c r="V527" s="87" t="n">
        <v>0</v>
      </c>
      <c r="W527" s="87" t="n">
        <v>0</v>
      </c>
      <c r="Y527" t="inlineStr">
        <is>
          <t>Jun</t>
        </is>
      </c>
      <c r="Z527" s="87" t="n">
        <v>2025</v>
      </c>
      <c r="AA527" s="47">
        <f>IF(F527="",0,F527)</f>
        <v/>
      </c>
      <c r="AB527" s="87">
        <f>IF(AA527&gt;=0.1,1,0)</f>
        <v/>
      </c>
      <c r="AC527" s="87" t="n">
        <v>1</v>
      </c>
      <c r="AD527" s="47">
        <f>IF(U527="",0,U527)</f>
        <v/>
      </c>
      <c r="AE527" s="87">
        <f>IF(OR(V527=1,W527=1),1,0)</f>
        <v/>
      </c>
      <c r="AF527" s="87" t="n">
        <v>0</v>
      </c>
      <c r="AG527" t="n">
        <v>9254</v>
      </c>
      <c r="AH527" t="n">
        <v>152467</v>
      </c>
      <c r="AI527" t="n">
        <v>0</v>
      </c>
      <c r="AJ527" s="88">
        <f>IF(OR(AG527&lt;=0,AH527&lt;=0),"",LN(AG527)-LN(AH527))</f>
        <v/>
      </c>
      <c r="AK527" t="n">
        <v>25077</v>
      </c>
      <c r="AL527" t="n">
        <v>136644</v>
      </c>
      <c r="AM527" s="88">
        <f>IF(OR(AK527&lt;=0,AL527&lt;=0),"",LN(AK527)-LN(AL527))</f>
        <v/>
      </c>
      <c r="AN527" t="n">
        <v>9079</v>
      </c>
      <c r="AO527" t="n">
        <v>146206</v>
      </c>
      <c r="AP527" s="88">
        <f>IF(OR(AN527&lt;=0,AO527&lt;=0),"",LN(AN527)-LN(AO527))</f>
        <v/>
      </c>
      <c r="AQ527" t="n">
        <v>9007</v>
      </c>
      <c r="AR527" t="n">
        <v>152467</v>
      </c>
      <c r="AS527" s="88">
        <f>IF(OR(AQ527&lt;=0,AR527&lt;=0),"",LN(AQ527)-LN(AR527))</f>
        <v/>
      </c>
      <c r="AT527" t="n">
        <v>10526</v>
      </c>
      <c r="AU527" t="n">
        <v>150160</v>
      </c>
      <c r="AV527" t="n">
        <v>1035</v>
      </c>
      <c r="AW527" t="n">
        <v>946</v>
      </c>
      <c r="AX527" t="n">
        <v>8232</v>
      </c>
      <c r="AY527" s="88">
        <f>IF(OR(AT527&lt;=0,AU527&lt;=0),"",LN(AT527)-LN(AU527))</f>
        <v/>
      </c>
      <c r="AZ527" s="46" t="n">
        <v>9.6</v>
      </c>
      <c r="BA527" s="46" t="n">
        <v>25.91</v>
      </c>
      <c r="BB527" s="47" t="n">
        <v>6.3</v>
      </c>
    </row>
    <row r="528">
      <c r="A528" s="48" t="n">
        <v>45818</v>
      </c>
      <c r="B528" s="49" t="n">
        <v>169011</v>
      </c>
      <c r="C528" s="50" t="n">
        <v>11.625</v>
      </c>
      <c r="D528" s="51" t="inlineStr">
        <is>
          <t>Good</t>
        </is>
      </c>
      <c r="E528" s="52" t="n">
        <v>21.7</v>
      </c>
      <c r="F528" s="52" t="n">
        <v>0</v>
      </c>
      <c r="G528" s="51" t="inlineStr">
        <is>
          <t>Tue</t>
        </is>
      </c>
      <c r="H528" s="51" t="inlineStr">
        <is>
          <t>Weekday</t>
        </is>
      </c>
      <c r="I528" s="51" t="inlineStr">
        <is>
          <t>Summer</t>
        </is>
      </c>
      <c r="J528" s="51" t="n">
        <v>24</v>
      </c>
      <c r="K528" s="51" t="inlineStr">
        <is>
          <t>OK</t>
        </is>
      </c>
      <c r="L528" s="46" t="n">
        <v>19.48</v>
      </c>
      <c r="M528" t="inlineStr">
        <is>
          <t>Good</t>
        </is>
      </c>
      <c r="N528" s="87" t="n">
        <v>25</v>
      </c>
      <c r="O528" s="87" t="n">
        <v>0</v>
      </c>
      <c r="P528" s="87" t="n">
        <v>0</v>
      </c>
      <c r="Q528" s="87" t="n">
        <v>0</v>
      </c>
      <c r="R528" s="87" t="n">
        <v>0</v>
      </c>
      <c r="S528" s="47" t="n">
        <v>2.5</v>
      </c>
      <c r="T528" s="47" t="n">
        <v>71.59999999999999</v>
      </c>
      <c r="U528" s="47" t="n"/>
      <c r="V528" s="87" t="n">
        <v>0</v>
      </c>
      <c r="W528" s="87" t="n">
        <v>0</v>
      </c>
      <c r="Y528" t="inlineStr">
        <is>
          <t>Jun</t>
        </is>
      </c>
      <c r="Z528" s="87" t="n">
        <v>2025</v>
      </c>
      <c r="AA528" s="47">
        <f>IF(F528="",0,F528)</f>
        <v/>
      </c>
      <c r="AB528" s="87">
        <f>IF(AA528&gt;=0.1,1,0)</f>
        <v/>
      </c>
      <c r="AC528" s="87" t="n">
        <v>1</v>
      </c>
      <c r="AD528" s="47">
        <f>IF(U528="",0,U528)</f>
        <v/>
      </c>
      <c r="AE528" s="87">
        <f>IF(OR(V528=1,W528=1),1,0)</f>
        <v/>
      </c>
      <c r="AF528" s="87" t="n">
        <v>0</v>
      </c>
      <c r="AG528" t="n">
        <v>9903</v>
      </c>
      <c r="AH528" t="n">
        <v>159108</v>
      </c>
      <c r="AI528" t="n">
        <v>0</v>
      </c>
      <c r="AJ528" s="88">
        <f>IF(OR(AG528&lt;=0,AH528&lt;=0),"",LN(AG528)-LN(AH528))</f>
        <v/>
      </c>
      <c r="AK528" t="n">
        <v>26232</v>
      </c>
      <c r="AL528" t="n">
        <v>142779</v>
      </c>
      <c r="AM528" s="88">
        <f>IF(OR(AK528&lt;=0,AL528&lt;=0),"",LN(AK528)-LN(AL528))</f>
        <v/>
      </c>
      <c r="AN528" t="n">
        <v>9738</v>
      </c>
      <c r="AO528" t="n">
        <v>152692</v>
      </c>
      <c r="AP528" s="88">
        <f>IF(OR(AN528&lt;=0,AO528&lt;=0),"",LN(AN528)-LN(AO528))</f>
        <v/>
      </c>
      <c r="AQ528" t="n">
        <v>9608</v>
      </c>
      <c r="AR528" t="n">
        <v>159108</v>
      </c>
      <c r="AS528" s="88">
        <f>IF(OR(AQ528&lt;=0,AR528&lt;=0),"",LN(AQ528)-LN(AR528))</f>
        <v/>
      </c>
      <c r="AT528" t="n">
        <v>10603</v>
      </c>
      <c r="AU528" t="n">
        <v>157233</v>
      </c>
      <c r="AV528" t="n">
        <v>1175</v>
      </c>
      <c r="AW528" t="n">
        <v>1012</v>
      </c>
      <c r="AX528" t="n">
        <v>8819</v>
      </c>
      <c r="AY528" s="88">
        <f>IF(OR(AT528&lt;=0,AU528&lt;=0),"",LN(AT528)-LN(AU528))</f>
        <v/>
      </c>
      <c r="AZ528" s="46" t="n">
        <v>4.1</v>
      </c>
      <c r="BA528" s="46" t="n">
        <v>14.46</v>
      </c>
      <c r="BB528" s="47" t="n">
        <v>7.5</v>
      </c>
    </row>
    <row r="529">
      <c r="A529" s="48" t="n">
        <v>45819</v>
      </c>
      <c r="B529" s="49" t="n">
        <v>168452</v>
      </c>
      <c r="C529" s="50" t="n">
        <v>13.416667</v>
      </c>
      <c r="D529" s="51" t="inlineStr">
        <is>
          <t>Good</t>
        </is>
      </c>
      <c r="E529" s="52" t="n">
        <v>22.7</v>
      </c>
      <c r="F529" s="52" t="n"/>
      <c r="G529" s="51" t="inlineStr">
        <is>
          <t>Wed</t>
        </is>
      </c>
      <c r="H529" s="51" t="inlineStr">
        <is>
          <t>Weekday</t>
        </is>
      </c>
      <c r="I529" s="51" t="inlineStr">
        <is>
          <t>Summer</t>
        </is>
      </c>
      <c r="J529" s="51" t="n">
        <v>24</v>
      </c>
      <c r="K529" s="51" t="inlineStr">
        <is>
          <t>강수량 공란</t>
        </is>
      </c>
      <c r="L529" s="46" t="n">
        <v>25.6</v>
      </c>
      <c r="M529" t="inlineStr">
        <is>
          <t>Good</t>
        </is>
      </c>
      <c r="N529" s="87" t="n">
        <v>25</v>
      </c>
      <c r="O529" s="87" t="n">
        <v>0</v>
      </c>
      <c r="P529" s="87" t="n">
        <v>0</v>
      </c>
      <c r="Q529" s="87" t="n">
        <v>0</v>
      </c>
      <c r="R529" s="87" t="n">
        <v>0</v>
      </c>
      <c r="S529" s="47" t="n">
        <v>2.4</v>
      </c>
      <c r="T529" s="47" t="n">
        <v>54.6</v>
      </c>
      <c r="U529" s="47" t="n"/>
      <c r="V529" s="87" t="n">
        <v>0</v>
      </c>
      <c r="W529" s="87" t="n">
        <v>0</v>
      </c>
      <c r="Y529" t="inlineStr">
        <is>
          <t>Jun</t>
        </is>
      </c>
      <c r="Z529" s="87" t="n">
        <v>2025</v>
      </c>
      <c r="AA529" s="47">
        <f>IF(F529="",0,F529)</f>
        <v/>
      </c>
      <c r="AB529" s="87">
        <f>IF(AA529&gt;=0.1,1,0)</f>
        <v/>
      </c>
      <c r="AC529" s="87" t="n">
        <v>0</v>
      </c>
      <c r="AD529" s="47">
        <f>IF(U529="",0,U529)</f>
        <v/>
      </c>
      <c r="AE529" s="87">
        <f>IF(OR(V529=1,W529=1),1,0)</f>
        <v/>
      </c>
      <c r="AF529" s="87" t="n">
        <v>0</v>
      </c>
      <c r="AG529" t="n">
        <v>9811</v>
      </c>
      <c r="AH529" t="n">
        <v>158641</v>
      </c>
      <c r="AI529" t="n">
        <v>0</v>
      </c>
      <c r="AJ529" s="88">
        <f>IF(OR(AG529&lt;=0,AH529&lt;=0),"",LN(AG529)-LN(AH529))</f>
        <v/>
      </c>
      <c r="AK529" t="n">
        <v>26007</v>
      </c>
      <c r="AL529" t="n">
        <v>142445</v>
      </c>
      <c r="AM529" s="88">
        <f>IF(OR(AK529&lt;=0,AL529&lt;=0),"",LN(AK529)-LN(AL529))</f>
        <v/>
      </c>
      <c r="AN529" t="n">
        <v>9620</v>
      </c>
      <c r="AO529" t="n">
        <v>152041</v>
      </c>
      <c r="AP529" s="88">
        <f>IF(OR(AN529&lt;=0,AO529&lt;=0),"",LN(AN529)-LN(AO529))</f>
        <v/>
      </c>
      <c r="AQ529" t="n">
        <v>9534</v>
      </c>
      <c r="AR529" t="n">
        <v>158641</v>
      </c>
      <c r="AS529" s="88">
        <f>IF(OR(AQ529&lt;=0,AR529&lt;=0),"",LN(AQ529)-LN(AR529))</f>
        <v/>
      </c>
      <c r="AT529" t="n">
        <v>10511</v>
      </c>
      <c r="AU529" t="n">
        <v>156843</v>
      </c>
      <c r="AV529" t="n">
        <v>1100</v>
      </c>
      <c r="AW529" t="n">
        <v>960</v>
      </c>
      <c r="AX529" t="n">
        <v>8771</v>
      </c>
      <c r="AY529" s="88">
        <f>IF(OR(AT529&lt;=0,AU529&lt;=0),"",LN(AT529)-LN(AU529))</f>
        <v/>
      </c>
      <c r="AZ529" s="46" t="n">
        <v>13.5</v>
      </c>
      <c r="BA529" s="46" t="n">
        <v>31.05</v>
      </c>
      <c r="BB529" s="47" t="n">
        <v>2.3</v>
      </c>
    </row>
    <row r="530">
      <c r="A530" s="48" t="n">
        <v>45820</v>
      </c>
      <c r="B530" s="49" t="n">
        <v>164821</v>
      </c>
      <c r="C530" s="50" t="n">
        <v>20.44</v>
      </c>
      <c r="D530" s="51" t="inlineStr">
        <is>
          <t>Moderate</t>
        </is>
      </c>
      <c r="E530" s="52" t="n">
        <v>25.5</v>
      </c>
      <c r="F530" s="52" t="n"/>
      <c r="G530" s="51" t="inlineStr">
        <is>
          <t>Thu</t>
        </is>
      </c>
      <c r="H530" s="51" t="inlineStr">
        <is>
          <t>Weekday</t>
        </is>
      </c>
      <c r="I530" s="51" t="inlineStr">
        <is>
          <t>Summer</t>
        </is>
      </c>
      <c r="J530" s="51" t="n">
        <v>25</v>
      </c>
      <c r="K530" s="51" t="inlineStr">
        <is>
          <t>강수량 공란</t>
        </is>
      </c>
      <c r="L530" s="46" t="n">
        <v>33.8</v>
      </c>
      <c r="M530" t="inlineStr">
        <is>
          <t>Moderate</t>
        </is>
      </c>
      <c r="N530" s="87" t="n">
        <v>25</v>
      </c>
      <c r="O530" s="87" t="n">
        <v>0</v>
      </c>
      <c r="P530" s="87" t="n">
        <v>0</v>
      </c>
      <c r="Q530" s="87" t="n">
        <v>0</v>
      </c>
      <c r="R530" s="87" t="n">
        <v>0</v>
      </c>
      <c r="S530" s="47" t="n">
        <v>1.9</v>
      </c>
      <c r="T530" s="47" t="n">
        <v>50.4</v>
      </c>
      <c r="U530" s="47" t="n"/>
      <c r="V530" s="87" t="n">
        <v>0</v>
      </c>
      <c r="W530" s="87" t="n">
        <v>0</v>
      </c>
      <c r="Y530" t="inlineStr">
        <is>
          <t>Jun</t>
        </is>
      </c>
      <c r="Z530" s="87" t="n">
        <v>2025</v>
      </c>
      <c r="AA530" s="47">
        <f>IF(F530="",0,F530)</f>
        <v/>
      </c>
      <c r="AB530" s="87">
        <f>IF(AA530&gt;=0.1,1,0)</f>
        <v/>
      </c>
      <c r="AC530" s="87" t="n">
        <v>0</v>
      </c>
      <c r="AD530" s="47">
        <f>IF(U530="",0,U530)</f>
        <v/>
      </c>
      <c r="AE530" s="87">
        <f>IF(OR(V530=1,W530=1),1,0)</f>
        <v/>
      </c>
      <c r="AF530" s="87" t="n">
        <v>0</v>
      </c>
      <c r="AG530" t="n">
        <v>9415</v>
      </c>
      <c r="AH530" t="n">
        <v>155406</v>
      </c>
      <c r="AI530" t="n">
        <v>0</v>
      </c>
      <c r="AJ530" s="88">
        <f>IF(OR(AG530&lt;=0,AH530&lt;=0),"",LN(AG530)-LN(AH530))</f>
        <v/>
      </c>
      <c r="AK530" t="n">
        <v>24940</v>
      </c>
      <c r="AL530" t="n">
        <v>139881</v>
      </c>
      <c r="AM530" s="88">
        <f>IF(OR(AK530&lt;=0,AL530&lt;=0),"",LN(AK530)-LN(AL530))</f>
        <v/>
      </c>
      <c r="AN530" t="n">
        <v>9239</v>
      </c>
      <c r="AO530" t="n">
        <v>148972</v>
      </c>
      <c r="AP530" s="88">
        <f>IF(OR(AN530&lt;=0,AO530&lt;=0),"",LN(AN530)-LN(AO530))</f>
        <v/>
      </c>
      <c r="AQ530" t="n">
        <v>9138</v>
      </c>
      <c r="AR530" t="n">
        <v>155406</v>
      </c>
      <c r="AS530" s="88">
        <f>IF(OR(AQ530&lt;=0,AR530&lt;=0),"",LN(AQ530)-LN(AR530))</f>
        <v/>
      </c>
      <c r="AT530" t="n">
        <v>10288</v>
      </c>
      <c r="AU530" t="n">
        <v>153381</v>
      </c>
      <c r="AV530" t="n">
        <v>1154</v>
      </c>
      <c r="AW530" t="n">
        <v>902</v>
      </c>
      <c r="AX530" t="n">
        <v>8446</v>
      </c>
      <c r="AY530" s="88">
        <f>IF(OR(AT530&lt;=0,AU530&lt;=0),"",LN(AT530)-LN(AU530))</f>
        <v/>
      </c>
      <c r="AZ530" s="46" t="n">
        <v>12.4</v>
      </c>
      <c r="BA530" s="46" t="n">
        <v>30.36</v>
      </c>
      <c r="BB530" s="47" t="n">
        <v>4.4</v>
      </c>
    </row>
    <row r="531">
      <c r="A531" s="48" t="n">
        <v>45821</v>
      </c>
      <c r="B531" s="49" t="n">
        <v>115906</v>
      </c>
      <c r="C531" s="50" t="n">
        <v>27.6</v>
      </c>
      <c r="D531" s="51" t="inlineStr">
        <is>
          <t>Moderate</t>
        </is>
      </c>
      <c r="E531" s="52" t="n">
        <v>24</v>
      </c>
      <c r="F531" s="52" t="n">
        <v>1.5</v>
      </c>
      <c r="G531" s="51" t="inlineStr">
        <is>
          <t>Fri</t>
        </is>
      </c>
      <c r="H531" s="51" t="inlineStr">
        <is>
          <t>Weekday</t>
        </is>
      </c>
      <c r="I531" s="51" t="inlineStr">
        <is>
          <t>Summer</t>
        </is>
      </c>
      <c r="J531" s="51" t="n">
        <v>25</v>
      </c>
      <c r="K531" s="51" t="inlineStr">
        <is>
          <t>OK</t>
        </is>
      </c>
      <c r="L531" s="46" t="n">
        <v>41.84</v>
      </c>
      <c r="M531" t="inlineStr">
        <is>
          <t>Moderate</t>
        </is>
      </c>
      <c r="N531" s="87" t="n">
        <v>25</v>
      </c>
      <c r="O531" s="87" t="n">
        <v>0</v>
      </c>
      <c r="P531" s="87" t="n">
        <v>0</v>
      </c>
      <c r="Q531" s="87" t="n">
        <v>0</v>
      </c>
      <c r="R531" s="87" t="n">
        <v>0</v>
      </c>
      <c r="S531" s="47" t="n">
        <v>1.9</v>
      </c>
      <c r="T531" s="47" t="n">
        <v>60.9</v>
      </c>
      <c r="U531" s="47" t="n"/>
      <c r="V531" s="87" t="n">
        <v>0</v>
      </c>
      <c r="W531" s="87" t="n">
        <v>0</v>
      </c>
      <c r="Y531" t="inlineStr">
        <is>
          <t>Jun</t>
        </is>
      </c>
      <c r="Z531" s="87" t="n">
        <v>2025</v>
      </c>
      <c r="AA531" s="47">
        <f>IF(F531="",0,F531)</f>
        <v/>
      </c>
      <c r="AB531" s="87">
        <f>IF(AA531&gt;=0.1,1,0)</f>
        <v/>
      </c>
      <c r="AC531" s="87" t="n">
        <v>0</v>
      </c>
      <c r="AD531" s="47">
        <f>IF(U531="",0,U531)</f>
        <v/>
      </c>
      <c r="AE531" s="87">
        <f>IF(OR(V531=1,W531=1),1,0)</f>
        <v/>
      </c>
      <c r="AF531" s="87" t="n">
        <v>0</v>
      </c>
      <c r="AG531" t="n">
        <v>5818</v>
      </c>
      <c r="AH531" t="n">
        <v>110088</v>
      </c>
      <c r="AI531" t="n">
        <v>0</v>
      </c>
      <c r="AJ531" s="88">
        <f>IF(OR(AG531&lt;=0,AH531&lt;=0),"",LN(AG531)-LN(AH531))</f>
        <v/>
      </c>
      <c r="AK531" t="n">
        <v>16212</v>
      </c>
      <c r="AL531" t="n">
        <v>99694</v>
      </c>
      <c r="AM531" s="88">
        <f>IF(OR(AK531&lt;=0,AL531&lt;=0),"",LN(AK531)-LN(AL531))</f>
        <v/>
      </c>
      <c r="AN531" t="n">
        <v>5707</v>
      </c>
      <c r="AO531" t="n">
        <v>105735</v>
      </c>
      <c r="AP531" s="88">
        <f>IF(OR(AN531&lt;=0,AO531&lt;=0),"",LN(AN531)-LN(AO531))</f>
        <v/>
      </c>
      <c r="AQ531" t="n">
        <v>5648</v>
      </c>
      <c r="AR531" t="n">
        <v>110088</v>
      </c>
      <c r="AS531" s="88">
        <f>IF(OR(AQ531&lt;=0,AR531&lt;=0),"",LN(AQ531)-LN(AR531))</f>
        <v/>
      </c>
      <c r="AT531" t="n">
        <v>7157</v>
      </c>
      <c r="AU531" t="n">
        <v>107947</v>
      </c>
      <c r="AV531" t="n">
        <v>803</v>
      </c>
      <c r="AW531" t="n">
        <v>458</v>
      </c>
      <c r="AX531" t="n">
        <v>5309</v>
      </c>
      <c r="AY531" s="88">
        <f>IF(OR(AT531&lt;=0,AU531&lt;=0),"",LN(AT531)-LN(AU531))</f>
        <v/>
      </c>
      <c r="AZ531" s="46" t="n">
        <v>3.8</v>
      </c>
      <c r="BA531" s="46" t="n">
        <v>15.62</v>
      </c>
      <c r="BB531" s="47" t="n">
        <v>8.800000000000001</v>
      </c>
    </row>
    <row r="532">
      <c r="A532" s="48" t="n">
        <v>45822</v>
      </c>
      <c r="B532" s="49" t="n">
        <v>131389</v>
      </c>
      <c r="C532" s="50" t="n">
        <v>15.6</v>
      </c>
      <c r="D532" s="51" t="inlineStr">
        <is>
          <t>Moderate</t>
        </is>
      </c>
      <c r="E532" s="52" t="n">
        <v>25.6</v>
      </c>
      <c r="F532" s="52" t="n"/>
      <c r="G532" s="51" t="inlineStr">
        <is>
          <t>Sat</t>
        </is>
      </c>
      <c r="H532" s="51" t="inlineStr">
        <is>
          <t>Weekend</t>
        </is>
      </c>
      <c r="I532" s="51" t="inlineStr">
        <is>
          <t>Summer</t>
        </is>
      </c>
      <c r="J532" s="51" t="n">
        <v>25</v>
      </c>
      <c r="K532" s="51" t="inlineStr">
        <is>
          <t>강수량 공란</t>
        </is>
      </c>
      <c r="L532" s="46" t="n">
        <v>23.84</v>
      </c>
      <c r="M532" t="inlineStr">
        <is>
          <t>Good</t>
        </is>
      </c>
      <c r="N532" s="87" t="n">
        <v>25</v>
      </c>
      <c r="O532" s="87" t="n">
        <v>0</v>
      </c>
      <c r="P532" s="87" t="n">
        <v>0</v>
      </c>
      <c r="Q532" s="87" t="n">
        <v>0</v>
      </c>
      <c r="R532" s="87" t="n">
        <v>0</v>
      </c>
      <c r="S532" s="47" t="n">
        <v>2</v>
      </c>
      <c r="T532" s="47" t="n">
        <v>66.3</v>
      </c>
      <c r="U532" s="47" t="n"/>
      <c r="V532" s="87" t="n">
        <v>1</v>
      </c>
      <c r="W532" s="87" t="n">
        <v>0</v>
      </c>
      <c r="Y532" t="inlineStr">
        <is>
          <t>Jun</t>
        </is>
      </c>
      <c r="Z532" s="87" t="n">
        <v>2025</v>
      </c>
      <c r="AA532" s="47">
        <f>IF(F532="",0,F532)</f>
        <v/>
      </c>
      <c r="AB532" s="87">
        <f>IF(AA532&gt;=0.1,1,0)</f>
        <v/>
      </c>
      <c r="AC532" s="87" t="n">
        <v>0</v>
      </c>
      <c r="AD532" s="47">
        <f>IF(U532="",0,U532)</f>
        <v/>
      </c>
      <c r="AE532" s="87">
        <f>IF(OR(V532=1,W532=1),1,0)</f>
        <v/>
      </c>
      <c r="AF532" s="87" t="n">
        <v>0</v>
      </c>
      <c r="AG532" t="n">
        <v>9586</v>
      </c>
      <c r="AH532" t="n">
        <v>121803</v>
      </c>
      <c r="AI532" t="n">
        <v>0</v>
      </c>
      <c r="AJ532" s="88">
        <f>IF(OR(AG532&lt;=0,AH532&lt;=0),"",LN(AG532)-LN(AH532))</f>
        <v/>
      </c>
      <c r="AK532" t="n">
        <v>22503</v>
      </c>
      <c r="AL532" t="n">
        <v>108886</v>
      </c>
      <c r="AM532" s="88">
        <f>IF(OR(AK532&lt;=0,AL532&lt;=0),"",LN(AK532)-LN(AL532))</f>
        <v/>
      </c>
      <c r="AN532" t="n">
        <v>9371</v>
      </c>
      <c r="AO532" t="n">
        <v>116789</v>
      </c>
      <c r="AP532" s="88">
        <f>IF(OR(AN532&lt;=0,AO532&lt;=0),"",LN(AN532)-LN(AO532))</f>
        <v/>
      </c>
      <c r="AQ532" t="n">
        <v>9214</v>
      </c>
      <c r="AR532" t="n">
        <v>121803</v>
      </c>
      <c r="AS532" s="88">
        <f>IF(OR(AQ532&lt;=0,AR532&lt;=0),"",LN(AQ532)-LN(AR532))</f>
        <v/>
      </c>
      <c r="AT532" t="n">
        <v>12092</v>
      </c>
      <c r="AU532" t="n">
        <v>118396</v>
      </c>
      <c r="AV532" t="n">
        <v>900</v>
      </c>
      <c r="AW532" t="n">
        <v>1545</v>
      </c>
      <c r="AX532" t="n">
        <v>7956</v>
      </c>
      <c r="AY532" s="88">
        <f>IF(OR(AT532&lt;=0,AU532&lt;=0),"",LN(AT532)-LN(AU532))</f>
        <v/>
      </c>
      <c r="AZ532" s="46" t="n">
        <v>5.9</v>
      </c>
      <c r="BA532" s="46" t="n">
        <v>21.02</v>
      </c>
      <c r="BB532" s="47" t="n">
        <v>4.8</v>
      </c>
    </row>
    <row r="533">
      <c r="A533" s="48" t="n">
        <v>45823</v>
      </c>
      <c r="B533" s="49" t="n">
        <v>88162</v>
      </c>
      <c r="C533" s="50" t="n">
        <v>15.28</v>
      </c>
      <c r="D533" s="51" t="inlineStr">
        <is>
          <t>Moderate</t>
        </is>
      </c>
      <c r="E533" s="52" t="n">
        <v>26.3</v>
      </c>
      <c r="F533" s="52" t="n">
        <v>11.8</v>
      </c>
      <c r="G533" s="51" t="inlineStr">
        <is>
          <t>Sun</t>
        </is>
      </c>
      <c r="H533" s="51" t="inlineStr">
        <is>
          <t>Weekend</t>
        </is>
      </c>
      <c r="I533" s="51" t="inlineStr">
        <is>
          <t>Summer</t>
        </is>
      </c>
      <c r="J533" s="51" t="n">
        <v>25</v>
      </c>
      <c r="K533" s="51" t="inlineStr">
        <is>
          <t>OK</t>
        </is>
      </c>
      <c r="L533" s="46" t="n">
        <v>23.04</v>
      </c>
      <c r="M533" t="inlineStr">
        <is>
          <t>Good</t>
        </is>
      </c>
      <c r="N533" s="87" t="n">
        <v>25</v>
      </c>
      <c r="O533" s="87" t="n">
        <v>0</v>
      </c>
      <c r="P533" s="87" t="n">
        <v>0</v>
      </c>
      <c r="Q533" s="87" t="n">
        <v>0</v>
      </c>
      <c r="R533" s="87" t="n">
        <v>0</v>
      </c>
      <c r="S533" s="47" t="n">
        <v>2.5</v>
      </c>
      <c r="T533" s="47" t="n">
        <v>69.59999999999999</v>
      </c>
      <c r="U533" s="47" t="n"/>
      <c r="V533" s="87" t="n">
        <v>1</v>
      </c>
      <c r="W533" s="87" t="n">
        <v>0</v>
      </c>
      <c r="Y533" t="inlineStr">
        <is>
          <t>Jun</t>
        </is>
      </c>
      <c r="Z533" s="87" t="n">
        <v>2025</v>
      </c>
      <c r="AA533" s="47">
        <f>IF(F533="",0,F533)</f>
        <v/>
      </c>
      <c r="AB533" s="87">
        <f>IF(AA533&gt;=0.1,1,0)</f>
        <v/>
      </c>
      <c r="AC533" s="87" t="n">
        <v>0</v>
      </c>
      <c r="AD533" s="47">
        <f>IF(U533="",0,U533)</f>
        <v/>
      </c>
      <c r="AE533" s="87">
        <f>IF(OR(V533=1,W533=1),1,0)</f>
        <v/>
      </c>
      <c r="AF533" s="87" t="n">
        <v>0</v>
      </c>
      <c r="AG533" t="n">
        <v>5937</v>
      </c>
      <c r="AH533" t="n">
        <v>82225</v>
      </c>
      <c r="AI533" t="n">
        <v>0</v>
      </c>
      <c r="AJ533" s="88">
        <f>IF(OR(AG533&lt;=0,AH533&lt;=0),"",LN(AG533)-LN(AH533))</f>
        <v/>
      </c>
      <c r="AK533" t="n">
        <v>14464</v>
      </c>
      <c r="AL533" t="n">
        <v>73698</v>
      </c>
      <c r="AM533" s="88">
        <f>IF(OR(AK533&lt;=0,AL533&lt;=0),"",LN(AK533)-LN(AL533))</f>
        <v/>
      </c>
      <c r="AN533" t="n">
        <v>5825</v>
      </c>
      <c r="AO533" t="n">
        <v>78934</v>
      </c>
      <c r="AP533" s="88">
        <f>IF(OR(AN533&lt;=0,AO533&lt;=0),"",LN(AN533)-LN(AO533))</f>
        <v/>
      </c>
      <c r="AQ533" t="n">
        <v>5775</v>
      </c>
      <c r="AR533" t="n">
        <v>82225</v>
      </c>
      <c r="AS533" s="88">
        <f>IF(OR(AQ533&lt;=0,AR533&lt;=0),"",LN(AQ533)-LN(AR533))</f>
        <v/>
      </c>
      <c r="AT533" t="n">
        <v>8280</v>
      </c>
      <c r="AU533" t="n">
        <v>79318</v>
      </c>
      <c r="AV533" t="n">
        <v>564</v>
      </c>
      <c r="AW533" t="n">
        <v>842</v>
      </c>
      <c r="AX533" t="n">
        <v>5053</v>
      </c>
      <c r="AY533" s="88">
        <f>IF(OR(AT533&lt;=0,AU533&lt;=0),"",LN(AT533)-LN(AU533))</f>
        <v/>
      </c>
      <c r="AZ533" s="46" t="n">
        <v>7.8</v>
      </c>
      <c r="BA533" s="46" t="n">
        <v>22.08</v>
      </c>
      <c r="BB533" s="47" t="n">
        <v>7.9</v>
      </c>
    </row>
    <row r="534">
      <c r="A534" s="48" t="n">
        <v>45824</v>
      </c>
      <c r="B534" s="49" t="n">
        <v>111001</v>
      </c>
      <c r="C534" s="50" t="n">
        <v>19.28</v>
      </c>
      <c r="D534" s="51" t="inlineStr">
        <is>
          <t>Moderate</t>
        </is>
      </c>
      <c r="E534" s="52" t="n">
        <v>23</v>
      </c>
      <c r="F534" s="52" t="n">
        <v>20</v>
      </c>
      <c r="G534" s="51" t="inlineStr">
        <is>
          <t>Mon</t>
        </is>
      </c>
      <c r="H534" s="51" t="inlineStr">
        <is>
          <t>Weekday</t>
        </is>
      </c>
      <c r="I534" s="51" t="inlineStr">
        <is>
          <t>Summer</t>
        </is>
      </c>
      <c r="J534" s="51" t="n">
        <v>25</v>
      </c>
      <c r="K534" s="51" t="inlineStr">
        <is>
          <t>OK</t>
        </is>
      </c>
      <c r="L534" s="46" t="n">
        <v>32.48</v>
      </c>
      <c r="M534" t="inlineStr">
        <is>
          <t>Moderate</t>
        </is>
      </c>
      <c r="N534" s="87" t="n">
        <v>25</v>
      </c>
      <c r="O534" s="87" t="n">
        <v>0</v>
      </c>
      <c r="P534" s="87" t="n">
        <v>0</v>
      </c>
      <c r="Q534" s="87" t="n">
        <v>0</v>
      </c>
      <c r="R534" s="87" t="n">
        <v>0</v>
      </c>
      <c r="S534" s="47" t="n">
        <v>2.7</v>
      </c>
      <c r="T534" s="47" t="n">
        <v>87.8</v>
      </c>
      <c r="U534" s="47" t="n"/>
      <c r="V534" s="87" t="n">
        <v>0</v>
      </c>
      <c r="W534" s="87" t="n">
        <v>0</v>
      </c>
      <c r="Y534" t="inlineStr">
        <is>
          <t>Jun</t>
        </is>
      </c>
      <c r="Z534" s="87" t="n">
        <v>2025</v>
      </c>
      <c r="AA534" s="47">
        <f>IF(F534="",0,F534)</f>
        <v/>
      </c>
      <c r="AB534" s="87">
        <f>IF(AA534&gt;=0.1,1,0)</f>
        <v/>
      </c>
      <c r="AC534" s="87" t="n">
        <v>0</v>
      </c>
      <c r="AD534" s="47">
        <f>IF(U534="",0,U534)</f>
        <v/>
      </c>
      <c r="AE534" s="87">
        <f>IF(OR(V534=1,W534=1),1,0)</f>
        <v/>
      </c>
      <c r="AF534" s="87" t="n">
        <v>0</v>
      </c>
      <c r="AG534" t="n">
        <v>5817</v>
      </c>
      <c r="AH534" t="n">
        <v>105184</v>
      </c>
      <c r="AI534" t="n">
        <v>0</v>
      </c>
      <c r="AJ534" s="88">
        <f>IF(OR(AG534&lt;=0,AH534&lt;=0),"",LN(AG534)-LN(AH534))</f>
        <v/>
      </c>
      <c r="AK534" t="n">
        <v>16343</v>
      </c>
      <c r="AL534" t="n">
        <v>94658</v>
      </c>
      <c r="AM534" s="88">
        <f>IF(OR(AK534&lt;=0,AL534&lt;=0),"",LN(AK534)-LN(AL534))</f>
        <v/>
      </c>
      <c r="AN534" t="n">
        <v>5708</v>
      </c>
      <c r="AO534" t="n">
        <v>100753</v>
      </c>
      <c r="AP534" s="88">
        <f>IF(OR(AN534&lt;=0,AO534&lt;=0),"",LN(AN534)-LN(AO534))</f>
        <v/>
      </c>
      <c r="AQ534" t="n">
        <v>5671</v>
      </c>
      <c r="AR534" t="n">
        <v>105184</v>
      </c>
      <c r="AS534" s="88">
        <f>IF(OR(AQ534&lt;=0,AR534&lt;=0),"",LN(AQ534)-LN(AR534))</f>
        <v/>
      </c>
      <c r="AT534" t="n">
        <v>7618</v>
      </c>
      <c r="AU534" t="n">
        <v>102574</v>
      </c>
      <c r="AV534" t="n">
        <v>813</v>
      </c>
      <c r="AW534" t="n">
        <v>576</v>
      </c>
      <c r="AX534" t="n">
        <v>5201</v>
      </c>
      <c r="AY534" s="88">
        <f>IF(OR(AT534&lt;=0,AU534&lt;=0),"",LN(AT534)-LN(AU534))</f>
        <v/>
      </c>
      <c r="AZ534" s="46" t="n">
        <v>0.1</v>
      </c>
      <c r="BA534" s="46" t="n">
        <v>5.19</v>
      </c>
      <c r="BB534" s="47" t="n">
        <v>9.300000000000001</v>
      </c>
    </row>
    <row r="535">
      <c r="A535" s="48" t="n">
        <v>45825</v>
      </c>
      <c r="B535" s="49" t="n">
        <v>164921</v>
      </c>
      <c r="C535" s="50" t="n">
        <v>23.36</v>
      </c>
      <c r="D535" s="51" t="inlineStr">
        <is>
          <t>Moderate</t>
        </is>
      </c>
      <c r="E535" s="52" t="n">
        <v>24.8</v>
      </c>
      <c r="F535" s="52" t="n"/>
      <c r="G535" s="51" t="inlineStr">
        <is>
          <t>Tue</t>
        </is>
      </c>
      <c r="H535" s="51" t="inlineStr">
        <is>
          <t>Weekday</t>
        </is>
      </c>
      <c r="I535" s="51" t="inlineStr">
        <is>
          <t>Summer</t>
        </is>
      </c>
      <c r="J535" s="51" t="n">
        <v>25</v>
      </c>
      <c r="K535" s="51" t="inlineStr">
        <is>
          <t>강수량 공란</t>
        </is>
      </c>
      <c r="L535" s="46" t="n">
        <v>43.24</v>
      </c>
      <c r="M535" t="inlineStr">
        <is>
          <t>Moderate</t>
        </is>
      </c>
      <c r="N535" s="87" t="n">
        <v>25</v>
      </c>
      <c r="O535" s="87" t="n">
        <v>0</v>
      </c>
      <c r="P535" s="87" t="n">
        <v>0</v>
      </c>
      <c r="Q535" s="87" t="n">
        <v>0</v>
      </c>
      <c r="R535" s="87" t="n">
        <v>0</v>
      </c>
      <c r="S535" s="47" t="n">
        <v>2.5</v>
      </c>
      <c r="T535" s="47" t="n">
        <v>73.3</v>
      </c>
      <c r="U535" s="47" t="n"/>
      <c r="V535" s="87" t="n">
        <v>0</v>
      </c>
      <c r="W535" s="87" t="n">
        <v>0</v>
      </c>
      <c r="Y535" t="inlineStr">
        <is>
          <t>Jun</t>
        </is>
      </c>
      <c r="Z535" s="87" t="n">
        <v>2025</v>
      </c>
      <c r="AA535" s="47">
        <f>IF(F535="",0,F535)</f>
        <v/>
      </c>
      <c r="AB535" s="87">
        <f>IF(AA535&gt;=0.1,1,0)</f>
        <v/>
      </c>
      <c r="AC535" s="87" t="n">
        <v>0</v>
      </c>
      <c r="AD535" s="47">
        <f>IF(U535="",0,U535)</f>
        <v/>
      </c>
      <c r="AE535" s="87">
        <f>IF(OR(V535=1,W535=1),1,0)</f>
        <v/>
      </c>
      <c r="AF535" s="87" t="n">
        <v>0</v>
      </c>
      <c r="AG535" t="n">
        <v>9340</v>
      </c>
      <c r="AH535" t="n">
        <v>155581</v>
      </c>
      <c r="AI535" t="n">
        <v>0</v>
      </c>
      <c r="AJ535" s="88">
        <f>IF(OR(AG535&lt;=0,AH535&lt;=0),"",LN(AG535)-LN(AH535))</f>
        <v/>
      </c>
      <c r="AK535" t="n">
        <v>24883</v>
      </c>
      <c r="AL535" t="n">
        <v>140038</v>
      </c>
      <c r="AM535" s="88">
        <f>IF(OR(AK535&lt;=0,AL535&lt;=0),"",LN(AK535)-LN(AL535))</f>
        <v/>
      </c>
      <c r="AN535" t="n">
        <v>9153</v>
      </c>
      <c r="AO535" t="n">
        <v>149185</v>
      </c>
      <c r="AP535" s="88">
        <f>IF(OR(AN535&lt;=0,AO535&lt;=0),"",LN(AN535)-LN(AO535))</f>
        <v/>
      </c>
      <c r="AQ535" t="n">
        <v>9031</v>
      </c>
      <c r="AR535" t="n">
        <v>155581</v>
      </c>
      <c r="AS535" s="88">
        <f>IF(OR(AQ535&lt;=0,AR535&lt;=0),"",LN(AQ535)-LN(AR535))</f>
        <v/>
      </c>
      <c r="AT535" t="n">
        <v>10743</v>
      </c>
      <c r="AU535" t="n">
        <v>153084</v>
      </c>
      <c r="AV535" t="n">
        <v>1094</v>
      </c>
      <c r="AW535" t="n">
        <v>987</v>
      </c>
      <c r="AX535" t="n">
        <v>8294</v>
      </c>
      <c r="AY535" s="88">
        <f>IF(OR(AT535&lt;=0,AU535&lt;=0),"",LN(AT535)-LN(AU535))</f>
        <v/>
      </c>
      <c r="AZ535" s="46" t="n">
        <v>8.6</v>
      </c>
      <c r="BA535" s="46" t="n">
        <v>22.97</v>
      </c>
      <c r="BB535" s="47" t="n">
        <v>3.8</v>
      </c>
    </row>
    <row r="536">
      <c r="A536" s="48" t="n">
        <v>45826</v>
      </c>
      <c r="B536" s="49" t="n">
        <v>165123</v>
      </c>
      <c r="C536" s="50" t="n">
        <v>26.48</v>
      </c>
      <c r="D536" s="51" t="inlineStr">
        <is>
          <t>Moderate</t>
        </is>
      </c>
      <c r="E536" s="52" t="n">
        <v>25.5</v>
      </c>
      <c r="F536" s="52" t="n"/>
      <c r="G536" s="51" t="inlineStr">
        <is>
          <t>Wed</t>
        </is>
      </c>
      <c r="H536" s="51" t="inlineStr">
        <is>
          <t>Weekday</t>
        </is>
      </c>
      <c r="I536" s="51" t="inlineStr">
        <is>
          <t>Summer</t>
        </is>
      </c>
      <c r="J536" s="51" t="n">
        <v>25</v>
      </c>
      <c r="K536" s="51" t="inlineStr">
        <is>
          <t>강수량 공란</t>
        </is>
      </c>
      <c r="L536" s="46" t="n">
        <v>43.36</v>
      </c>
      <c r="M536" t="inlineStr">
        <is>
          <t>Moderate</t>
        </is>
      </c>
      <c r="N536" s="87" t="n">
        <v>25</v>
      </c>
      <c r="O536" s="87" t="n">
        <v>0</v>
      </c>
      <c r="P536" s="87" t="n">
        <v>0</v>
      </c>
      <c r="Q536" s="87" t="n">
        <v>0</v>
      </c>
      <c r="R536" s="87" t="n">
        <v>0</v>
      </c>
      <c r="S536" s="47" t="n">
        <v>2</v>
      </c>
      <c r="T536" s="47" t="n">
        <v>65.3</v>
      </c>
      <c r="U536" s="47" t="n"/>
      <c r="V536" s="87" t="n">
        <v>0</v>
      </c>
      <c r="W536" s="87" t="n">
        <v>0</v>
      </c>
      <c r="Y536" t="inlineStr">
        <is>
          <t>Jun</t>
        </is>
      </c>
      <c r="Z536" s="87" t="n">
        <v>2025</v>
      </c>
      <c r="AA536" s="47">
        <f>IF(F536="",0,F536)</f>
        <v/>
      </c>
      <c r="AB536" s="87">
        <f>IF(AA536&gt;=0.1,1,0)</f>
        <v/>
      </c>
      <c r="AC536" s="87" t="n">
        <v>0</v>
      </c>
      <c r="AD536" s="47">
        <f>IF(U536="",0,U536)</f>
        <v/>
      </c>
      <c r="AE536" s="87">
        <f>IF(OR(V536=1,W536=1),1,0)</f>
        <v/>
      </c>
      <c r="AF536" s="87" t="n">
        <v>0</v>
      </c>
      <c r="AG536" t="n">
        <v>9015</v>
      </c>
      <c r="AH536" t="n">
        <v>156108</v>
      </c>
      <c r="AI536" t="n">
        <v>0</v>
      </c>
      <c r="AJ536" s="88">
        <f>IF(OR(AG536&lt;=0,AH536&lt;=0),"",LN(AG536)-LN(AH536))</f>
        <v/>
      </c>
      <c r="AK536" t="n">
        <v>24601</v>
      </c>
      <c r="AL536" t="n">
        <v>140522</v>
      </c>
      <c r="AM536" s="88">
        <f>IF(OR(AK536&lt;=0,AL536&lt;=0),"",LN(AK536)-LN(AL536))</f>
        <v/>
      </c>
      <c r="AN536" t="n">
        <v>8858</v>
      </c>
      <c r="AO536" t="n">
        <v>149629</v>
      </c>
      <c r="AP536" s="88">
        <f>IF(OR(AN536&lt;=0,AO536&lt;=0),"",LN(AN536)-LN(AO536))</f>
        <v/>
      </c>
      <c r="AQ536" t="n">
        <v>8742</v>
      </c>
      <c r="AR536" t="n">
        <v>156108</v>
      </c>
      <c r="AS536" s="88">
        <f>IF(OR(AQ536&lt;=0,AR536&lt;=0),"",LN(AQ536)-LN(AR536))</f>
        <v/>
      </c>
      <c r="AT536" t="n">
        <v>10397</v>
      </c>
      <c r="AU536" t="n">
        <v>153658</v>
      </c>
      <c r="AV536" t="n">
        <v>1069</v>
      </c>
      <c r="AW536" t="n">
        <v>899</v>
      </c>
      <c r="AX536" t="n">
        <v>8056</v>
      </c>
      <c r="AY536" s="88">
        <f>IF(OR(AT536&lt;=0,AU536&lt;=0),"",LN(AT536)-LN(AU536))</f>
        <v/>
      </c>
      <c r="AZ536" s="46" t="n">
        <v>10.3</v>
      </c>
      <c r="BA536" s="46" t="n">
        <v>26.88</v>
      </c>
      <c r="BB536" s="47" t="n">
        <v>3</v>
      </c>
    </row>
    <row r="537">
      <c r="A537" s="48" t="n">
        <v>45827</v>
      </c>
      <c r="B537" s="49" t="n">
        <v>156768</v>
      </c>
      <c r="C537" s="50" t="n">
        <v>18.84</v>
      </c>
      <c r="D537" s="51" t="inlineStr">
        <is>
          <t>Moderate</t>
        </is>
      </c>
      <c r="E537" s="52" t="n">
        <v>28.1</v>
      </c>
      <c r="F537" s="52" t="n">
        <v>0.8</v>
      </c>
      <c r="G537" s="51" t="inlineStr">
        <is>
          <t>Thu</t>
        </is>
      </c>
      <c r="H537" s="51" t="inlineStr">
        <is>
          <t>Weekday</t>
        </is>
      </c>
      <c r="I537" s="51" t="inlineStr">
        <is>
          <t>Summer</t>
        </is>
      </c>
      <c r="J537" s="51" t="n">
        <v>25</v>
      </c>
      <c r="K537" s="51" t="inlineStr">
        <is>
          <t>OK</t>
        </is>
      </c>
      <c r="L537" s="46" t="n">
        <v>30.36</v>
      </c>
      <c r="M537" t="inlineStr">
        <is>
          <t>Moderate</t>
        </is>
      </c>
      <c r="N537" s="87" t="n">
        <v>25</v>
      </c>
      <c r="O537" s="87" t="n">
        <v>0</v>
      </c>
      <c r="P537" s="87" t="n">
        <v>0</v>
      </c>
      <c r="Q537" s="87" t="n">
        <v>0</v>
      </c>
      <c r="R537" s="87" t="n">
        <v>0</v>
      </c>
      <c r="S537" s="47" t="n">
        <v>2</v>
      </c>
      <c r="T537" s="47" t="n">
        <v>57.9</v>
      </c>
      <c r="U537" s="47" t="n"/>
      <c r="V537" s="87" t="n">
        <v>0</v>
      </c>
      <c r="W537" s="87" t="n">
        <v>0</v>
      </c>
      <c r="Y537" t="inlineStr">
        <is>
          <t>Jun</t>
        </is>
      </c>
      <c r="Z537" s="87" t="n">
        <v>2025</v>
      </c>
      <c r="AA537" s="47">
        <f>IF(F537="",0,F537)</f>
        <v/>
      </c>
      <c r="AB537" s="87">
        <f>IF(AA537&gt;=0.1,1,0)</f>
        <v/>
      </c>
      <c r="AC537" s="87" t="n">
        <v>0</v>
      </c>
      <c r="AD537" s="47">
        <f>IF(U537="",0,U537)</f>
        <v/>
      </c>
      <c r="AE537" s="87">
        <f>IF(OR(V537=1,W537=1),1,0)</f>
        <v/>
      </c>
      <c r="AF537" s="87" t="n">
        <v>0</v>
      </c>
      <c r="AG537" t="n">
        <v>8276</v>
      </c>
      <c r="AH537" t="n">
        <v>148492</v>
      </c>
      <c r="AI537" t="n">
        <v>0</v>
      </c>
      <c r="AJ537" s="88">
        <f>IF(OR(AG537&lt;=0,AH537&lt;=0),"",LN(AG537)-LN(AH537))</f>
        <v/>
      </c>
      <c r="AK537" t="n">
        <v>23037</v>
      </c>
      <c r="AL537" t="n">
        <v>133731</v>
      </c>
      <c r="AM537" s="88">
        <f>IF(OR(AK537&lt;=0,AL537&lt;=0),"",LN(AK537)-LN(AL537))</f>
        <v/>
      </c>
      <c r="AN537" t="n">
        <v>8129</v>
      </c>
      <c r="AO537" t="n">
        <v>142147</v>
      </c>
      <c r="AP537" s="88">
        <f>IF(OR(AN537&lt;=0,AO537&lt;=0),"",LN(AN537)-LN(AO537))</f>
        <v/>
      </c>
      <c r="AQ537" t="n">
        <v>8049</v>
      </c>
      <c r="AR537" t="n">
        <v>148492</v>
      </c>
      <c r="AS537" s="88">
        <f>IF(OR(AQ537&lt;=0,AR537&lt;=0),"",LN(AQ537)-LN(AR537))</f>
        <v/>
      </c>
      <c r="AT537" t="n">
        <v>9688</v>
      </c>
      <c r="AU537" t="n">
        <v>145997</v>
      </c>
      <c r="AV537" t="n">
        <v>1085</v>
      </c>
      <c r="AW537" t="n">
        <v>794</v>
      </c>
      <c r="AX537" t="n">
        <v>7414</v>
      </c>
      <c r="AY537" s="88">
        <f>IF(OR(AT537&lt;=0,AU537&lt;=0),"",LN(AT537)-LN(AU537))</f>
        <v/>
      </c>
      <c r="AZ537" s="46" t="n">
        <v>8.800000000000001</v>
      </c>
      <c r="BA537" s="46" t="n">
        <v>23.77</v>
      </c>
      <c r="BB537" s="47" t="n">
        <v>5.8</v>
      </c>
    </row>
    <row r="538">
      <c r="A538" s="48" t="n">
        <v>45828</v>
      </c>
      <c r="B538" s="49" t="n">
        <v>13179</v>
      </c>
      <c r="C538" s="50" t="n">
        <v>3.52</v>
      </c>
      <c r="D538" s="51" t="inlineStr">
        <is>
          <t>Good</t>
        </is>
      </c>
      <c r="E538" s="52" t="n">
        <v>24.1</v>
      </c>
      <c r="F538" s="52" t="n">
        <v>51.1</v>
      </c>
      <c r="G538" s="51" t="inlineStr">
        <is>
          <t>Fri</t>
        </is>
      </c>
      <c r="H538" s="51" t="inlineStr">
        <is>
          <t>Weekday</t>
        </is>
      </c>
      <c r="I538" s="51" t="inlineStr">
        <is>
          <t>Summer</t>
        </is>
      </c>
      <c r="J538" s="51" t="n">
        <v>25</v>
      </c>
      <c r="K538" s="51" t="inlineStr">
        <is>
          <t>OK</t>
        </is>
      </c>
      <c r="L538" s="46" t="n">
        <v>8.16</v>
      </c>
      <c r="M538" t="inlineStr">
        <is>
          <t>Good</t>
        </is>
      </c>
      <c r="N538" s="87" t="n">
        <v>25</v>
      </c>
      <c r="O538" s="87" t="n">
        <v>0</v>
      </c>
      <c r="P538" s="87" t="n">
        <v>0</v>
      </c>
      <c r="Q538" s="87" t="n">
        <v>0</v>
      </c>
      <c r="R538" s="87" t="n">
        <v>0</v>
      </c>
      <c r="S538" s="47" t="n">
        <v>3.9</v>
      </c>
      <c r="T538" s="47" t="n">
        <v>93.40000000000001</v>
      </c>
      <c r="U538" s="47" t="n"/>
      <c r="V538" s="87" t="n">
        <v>0</v>
      </c>
      <c r="W538" s="87" t="n">
        <v>0</v>
      </c>
      <c r="Y538" t="inlineStr">
        <is>
          <t>Jun</t>
        </is>
      </c>
      <c r="Z538" s="87" t="n">
        <v>2025</v>
      </c>
      <c r="AA538" s="47">
        <f>IF(F538="",0,F538)</f>
        <v/>
      </c>
      <c r="AB538" s="87">
        <f>IF(AA538&gt;=0.1,1,0)</f>
        <v/>
      </c>
      <c r="AC538" s="87" t="n">
        <v>0</v>
      </c>
      <c r="AD538" s="47">
        <f>IF(U538="",0,U538)</f>
        <v/>
      </c>
      <c r="AE538" s="87">
        <f>IF(OR(V538=1,W538=1),1,0)</f>
        <v/>
      </c>
      <c r="AF538" s="87" t="n">
        <v>0</v>
      </c>
      <c r="AG538" t="n">
        <v>626</v>
      </c>
      <c r="AH538" t="n">
        <v>12553</v>
      </c>
      <c r="AI538" t="n">
        <v>0</v>
      </c>
      <c r="AJ538" s="88">
        <f>IF(OR(AG538&lt;=0,AH538&lt;=0),"",LN(AG538)-LN(AH538))</f>
        <v/>
      </c>
      <c r="AK538" t="n">
        <v>1807</v>
      </c>
      <c r="AL538" t="n">
        <v>11372</v>
      </c>
      <c r="AM538" s="88">
        <f>IF(OR(AK538&lt;=0,AL538&lt;=0),"",LN(AK538)-LN(AL538))</f>
        <v/>
      </c>
      <c r="AN538" t="n">
        <v>613</v>
      </c>
      <c r="AO538" t="n">
        <v>12040</v>
      </c>
      <c r="AP538" s="88">
        <f>IF(OR(AN538&lt;=0,AO538&lt;=0),"",LN(AN538)-LN(AO538))</f>
        <v/>
      </c>
      <c r="AQ538" t="n">
        <v>611</v>
      </c>
      <c r="AR538" t="n">
        <v>12553</v>
      </c>
      <c r="AS538" s="88">
        <f>IF(OR(AQ538&lt;=0,AR538&lt;=0),"",LN(AQ538)-LN(AR538))</f>
        <v/>
      </c>
      <c r="AT538" t="n">
        <v>849</v>
      </c>
      <c r="AU538" t="n">
        <v>12195</v>
      </c>
      <c r="AV538" t="n">
        <v>135</v>
      </c>
      <c r="AW538" t="n">
        <v>44</v>
      </c>
      <c r="AX538" t="n">
        <v>575</v>
      </c>
      <c r="AY538" s="88">
        <f>IF(OR(AT538&lt;=0,AU538&lt;=0),"",LN(AT538)-LN(AU538))</f>
        <v/>
      </c>
      <c r="AZ538" s="46" t="n">
        <v>0</v>
      </c>
      <c r="BA538" s="46" t="n">
        <v>2.92</v>
      </c>
      <c r="BB538" s="47" t="n">
        <v>10</v>
      </c>
    </row>
    <row r="539">
      <c r="A539" s="48" t="n">
        <v>45829</v>
      </c>
      <c r="B539" s="49" t="n">
        <v>108852</v>
      </c>
      <c r="C539" s="50" t="n">
        <v>13.958333</v>
      </c>
      <c r="D539" s="51" t="inlineStr">
        <is>
          <t>Good</t>
        </is>
      </c>
      <c r="E539" s="52" t="n">
        <v>22</v>
      </c>
      <c r="F539" s="52" t="n">
        <v>0.2</v>
      </c>
      <c r="G539" s="51" t="inlineStr">
        <is>
          <t>Sat</t>
        </is>
      </c>
      <c r="H539" s="51" t="inlineStr">
        <is>
          <t>Weekend</t>
        </is>
      </c>
      <c r="I539" s="51" t="inlineStr">
        <is>
          <t>Summer</t>
        </is>
      </c>
      <c r="J539" s="51" t="n">
        <v>24</v>
      </c>
      <c r="K539" s="51" t="inlineStr">
        <is>
          <t>OK</t>
        </is>
      </c>
      <c r="L539" s="46" t="n">
        <v>21.08333333333333</v>
      </c>
      <c r="M539" t="inlineStr">
        <is>
          <t>Good</t>
        </is>
      </c>
      <c r="N539" s="87" t="n">
        <v>24</v>
      </c>
      <c r="O539" s="87" t="n">
        <v>0</v>
      </c>
      <c r="P539" s="87" t="n">
        <v>0</v>
      </c>
      <c r="Q539" s="87" t="n">
        <v>0</v>
      </c>
      <c r="R539" s="87" t="n">
        <v>0</v>
      </c>
      <c r="S539" s="47" t="n">
        <v>2.1</v>
      </c>
      <c r="T539" s="47" t="n">
        <v>88.09999999999999</v>
      </c>
      <c r="U539" s="47" t="n"/>
      <c r="V539" s="87" t="n">
        <v>1</v>
      </c>
      <c r="W539" s="87" t="n">
        <v>0</v>
      </c>
      <c r="Y539" t="inlineStr">
        <is>
          <t>Jun</t>
        </is>
      </c>
      <c r="Z539" s="87" t="n">
        <v>2025</v>
      </c>
      <c r="AA539" s="47">
        <f>IF(F539="",0,F539)</f>
        <v/>
      </c>
      <c r="AB539" s="87">
        <f>IF(AA539&gt;=0.1,1,0)</f>
        <v/>
      </c>
      <c r="AC539" s="87" t="n">
        <v>0</v>
      </c>
      <c r="AD539" s="47">
        <f>IF(U539="",0,U539)</f>
        <v/>
      </c>
      <c r="AE539" s="87">
        <f>IF(OR(V539=1,W539=1),1,0)</f>
        <v/>
      </c>
      <c r="AF539" s="87" t="n">
        <v>0</v>
      </c>
      <c r="AG539" t="n">
        <v>7552</v>
      </c>
      <c r="AH539" t="n">
        <v>101300</v>
      </c>
      <c r="AI539" t="n">
        <v>0</v>
      </c>
      <c r="AJ539" s="88">
        <f>IF(OR(AG539&lt;=0,AH539&lt;=0),"",LN(AG539)-LN(AH539))</f>
        <v/>
      </c>
      <c r="AK539" t="n">
        <v>18038</v>
      </c>
      <c r="AL539" t="n">
        <v>90814</v>
      </c>
      <c r="AM539" s="88">
        <f>IF(OR(AK539&lt;=0,AL539&lt;=0),"",LN(AK539)-LN(AL539))</f>
        <v/>
      </c>
      <c r="AN539" t="n">
        <v>7416</v>
      </c>
      <c r="AO539" t="n">
        <v>97155</v>
      </c>
      <c r="AP539" s="88">
        <f>IF(OR(AN539&lt;=0,AO539&lt;=0),"",LN(AN539)-LN(AO539))</f>
        <v/>
      </c>
      <c r="AQ539" t="n">
        <v>7279</v>
      </c>
      <c r="AR539" t="n">
        <v>101300</v>
      </c>
      <c r="AS539" s="88">
        <f>IF(OR(AQ539&lt;=0,AR539&lt;=0),"",LN(AQ539)-LN(AR539))</f>
        <v/>
      </c>
      <c r="AT539" t="n">
        <v>10311</v>
      </c>
      <c r="AU539" t="n">
        <v>97797</v>
      </c>
      <c r="AV539" t="n">
        <v>744</v>
      </c>
      <c r="AW539" t="n">
        <v>1231</v>
      </c>
      <c r="AX539" t="n">
        <v>6259</v>
      </c>
      <c r="AY539" s="88">
        <f>IF(OR(AT539&lt;=0,AU539&lt;=0),"",LN(AT539)-LN(AU539))</f>
        <v/>
      </c>
      <c r="AZ539" s="46" t="n">
        <v>0</v>
      </c>
      <c r="BA539" s="46" t="n">
        <v>7</v>
      </c>
      <c r="BB539" s="47" t="n">
        <v>9.800000000000001</v>
      </c>
    </row>
    <row r="540">
      <c r="A540" s="48" t="n">
        <v>45830</v>
      </c>
      <c r="B540" s="49" t="n">
        <v>124126</v>
      </c>
      <c r="C540" s="50" t="n">
        <v>18.041667</v>
      </c>
      <c r="D540" s="51" t="inlineStr">
        <is>
          <t>Moderate</t>
        </is>
      </c>
      <c r="E540" s="52" t="n">
        <v>23.3</v>
      </c>
      <c r="F540" s="52" t="n"/>
      <c r="G540" s="51" t="inlineStr">
        <is>
          <t>Sun</t>
        </is>
      </c>
      <c r="H540" s="51" t="inlineStr">
        <is>
          <t>Weekend</t>
        </is>
      </c>
      <c r="I540" s="51" t="inlineStr">
        <is>
          <t>Summer</t>
        </is>
      </c>
      <c r="J540" s="51" t="n">
        <v>24</v>
      </c>
      <c r="K540" s="51" t="inlineStr">
        <is>
          <t>강수량 공란</t>
        </is>
      </c>
      <c r="L540" s="46" t="n">
        <v>29.25</v>
      </c>
      <c r="M540" t="inlineStr">
        <is>
          <t>Good</t>
        </is>
      </c>
      <c r="N540" s="87" t="n">
        <v>24</v>
      </c>
      <c r="O540" s="87" t="n">
        <v>0</v>
      </c>
      <c r="P540" s="87" t="n">
        <v>0</v>
      </c>
      <c r="Q540" s="87" t="n">
        <v>0</v>
      </c>
      <c r="R540" s="87" t="n">
        <v>0</v>
      </c>
      <c r="S540" s="47" t="n">
        <v>2.3</v>
      </c>
      <c r="T540" s="47" t="n">
        <v>68.59999999999999</v>
      </c>
      <c r="U540" s="47" t="n"/>
      <c r="V540" s="87" t="n">
        <v>1</v>
      </c>
      <c r="W540" s="87" t="n">
        <v>0</v>
      </c>
      <c r="Y540" t="inlineStr">
        <is>
          <t>Jun</t>
        </is>
      </c>
      <c r="Z540" s="87" t="n">
        <v>2025</v>
      </c>
      <c r="AA540" s="47">
        <f>IF(F540="",0,F540)</f>
        <v/>
      </c>
      <c r="AB540" s="87">
        <f>IF(AA540&gt;=0.1,1,0)</f>
        <v/>
      </c>
      <c r="AC540" s="87" t="n">
        <v>0</v>
      </c>
      <c r="AD540" s="47">
        <f>IF(U540="",0,U540)</f>
        <v/>
      </c>
      <c r="AE540" s="87">
        <f>IF(OR(V540=1,W540=1),1,0)</f>
        <v/>
      </c>
      <c r="AF540" s="87" t="n">
        <v>0</v>
      </c>
      <c r="AG540" t="n">
        <v>10588</v>
      </c>
      <c r="AH540" t="n">
        <v>113538</v>
      </c>
      <c r="AI540" t="n">
        <v>0</v>
      </c>
      <c r="AJ540" s="88">
        <f>IF(OR(AG540&lt;=0,AH540&lt;=0),"",LN(AG540)-LN(AH540))</f>
        <v/>
      </c>
      <c r="AK540" t="n">
        <v>23013</v>
      </c>
      <c r="AL540" t="n">
        <v>101113</v>
      </c>
      <c r="AM540" s="88">
        <f>IF(OR(AK540&lt;=0,AL540&lt;=0),"",LN(AK540)-LN(AL540))</f>
        <v/>
      </c>
      <c r="AN540" t="n">
        <v>10396</v>
      </c>
      <c r="AO540" t="n">
        <v>109150</v>
      </c>
      <c r="AP540" s="88">
        <f>IF(OR(AN540&lt;=0,AO540&lt;=0),"",LN(AN540)-LN(AO540))</f>
        <v/>
      </c>
      <c r="AQ540" t="n">
        <v>10235</v>
      </c>
      <c r="AR540" t="n">
        <v>113538</v>
      </c>
      <c r="AS540" s="88">
        <f>IF(OR(AQ540&lt;=0,AR540&lt;=0),"",LN(AQ540)-LN(AR540))</f>
        <v/>
      </c>
      <c r="AT540" t="n">
        <v>13126</v>
      </c>
      <c r="AU540" t="n">
        <v>110221</v>
      </c>
      <c r="AV540" t="n">
        <v>779</v>
      </c>
      <c r="AW540" t="n">
        <v>1842</v>
      </c>
      <c r="AX540" t="n">
        <v>8670</v>
      </c>
      <c r="AY540" s="88">
        <f>IF(OR(AT540&lt;=0,AU540&lt;=0),"",LN(AT540)-LN(AU540))</f>
        <v/>
      </c>
      <c r="AZ540" s="46" t="n">
        <v>13.4</v>
      </c>
      <c r="BA540" s="46" t="n">
        <v>30.56</v>
      </c>
      <c r="BB540" s="47" t="n">
        <v>0.3</v>
      </c>
    </row>
    <row r="541">
      <c r="A541" s="48" t="n">
        <v>45831</v>
      </c>
      <c r="B541" s="49" t="n">
        <v>159484</v>
      </c>
      <c r="C541" s="50" t="n">
        <v>22.12</v>
      </c>
      <c r="D541" s="51" t="inlineStr">
        <is>
          <t>Moderate</t>
        </is>
      </c>
      <c r="E541" s="52" t="n">
        <v>26.1</v>
      </c>
      <c r="F541" s="52" t="n"/>
      <c r="G541" s="51" t="inlineStr">
        <is>
          <t>Mon</t>
        </is>
      </c>
      <c r="H541" s="51" t="inlineStr">
        <is>
          <t>Weekday</t>
        </is>
      </c>
      <c r="I541" s="51" t="inlineStr">
        <is>
          <t>Summer</t>
        </is>
      </c>
      <c r="J541" s="51" t="n">
        <v>25</v>
      </c>
      <c r="K541" s="51" t="inlineStr">
        <is>
          <t>강수량 공란</t>
        </is>
      </c>
      <c r="L541" s="46" t="n">
        <v>34.52</v>
      </c>
      <c r="M541" t="inlineStr">
        <is>
          <t>Moderate</t>
        </is>
      </c>
      <c r="N541" s="87" t="n">
        <v>25</v>
      </c>
      <c r="O541" s="87" t="n">
        <v>0</v>
      </c>
      <c r="P541" s="87" t="n">
        <v>0</v>
      </c>
      <c r="Q541" s="87" t="n">
        <v>0</v>
      </c>
      <c r="R541" s="87" t="n">
        <v>0</v>
      </c>
      <c r="S541" s="47" t="n">
        <v>1.8</v>
      </c>
      <c r="T541" s="47" t="n">
        <v>64.8</v>
      </c>
      <c r="U541" s="47" t="n"/>
      <c r="V541" s="87" t="n">
        <v>0</v>
      </c>
      <c r="W541" s="87" t="n">
        <v>0</v>
      </c>
      <c r="Y541" t="inlineStr">
        <is>
          <t>Jun</t>
        </is>
      </c>
      <c r="Z541" s="87" t="n">
        <v>2025</v>
      </c>
      <c r="AA541" s="47">
        <f>IF(F541="",0,F541)</f>
        <v/>
      </c>
      <c r="AB541" s="87">
        <f>IF(AA541&gt;=0.1,1,0)</f>
        <v/>
      </c>
      <c r="AC541" s="87" t="n">
        <v>0</v>
      </c>
      <c r="AD541" s="47">
        <f>IF(U541="",0,U541)</f>
        <v/>
      </c>
      <c r="AE541" s="87">
        <f>IF(OR(V541=1,W541=1),1,0)</f>
        <v/>
      </c>
      <c r="AF541" s="87" t="n">
        <v>0</v>
      </c>
      <c r="AG541" t="n">
        <v>9463</v>
      </c>
      <c r="AH541" t="n">
        <v>150021</v>
      </c>
      <c r="AI541" t="n">
        <v>0</v>
      </c>
      <c r="AJ541" s="88">
        <f>IF(OR(AG541&lt;=0,AH541&lt;=0),"",LN(AG541)-LN(AH541))</f>
        <v/>
      </c>
      <c r="AK541" t="n">
        <v>24715</v>
      </c>
      <c r="AL541" t="n">
        <v>134769</v>
      </c>
      <c r="AM541" s="88">
        <f>IF(OR(AK541&lt;=0,AL541&lt;=0),"",LN(AK541)-LN(AL541))</f>
        <v/>
      </c>
      <c r="AN541" t="n">
        <v>9289</v>
      </c>
      <c r="AO541" t="n">
        <v>143839</v>
      </c>
      <c r="AP541" s="88">
        <f>IF(OR(AN541&lt;=0,AO541&lt;=0),"",LN(AN541)-LN(AO541))</f>
        <v/>
      </c>
      <c r="AQ541" t="n">
        <v>9211</v>
      </c>
      <c r="AR541" t="n">
        <v>150021</v>
      </c>
      <c r="AS541" s="88">
        <f>IF(OR(AQ541&lt;=0,AR541&lt;=0),"",LN(AQ541)-LN(AR541))</f>
        <v/>
      </c>
      <c r="AT541" t="n">
        <v>10679</v>
      </c>
      <c r="AU541" t="n">
        <v>147725</v>
      </c>
      <c r="AV541" t="n">
        <v>1080</v>
      </c>
      <c r="AW541" t="n">
        <v>1032</v>
      </c>
      <c r="AX541" t="n">
        <v>8353</v>
      </c>
      <c r="AY541" s="88">
        <f>IF(OR(AT541&lt;=0,AU541&lt;=0),"",LN(AT541)-LN(AU541))</f>
        <v/>
      </c>
      <c r="AZ541" s="46" t="n">
        <v>12.8</v>
      </c>
      <c r="BA541" s="46" t="n">
        <v>27.7</v>
      </c>
      <c r="BB541" s="47" t="n">
        <v>1.3</v>
      </c>
    </row>
    <row r="542">
      <c r="A542" s="48" t="n">
        <v>45832</v>
      </c>
      <c r="B542" s="49" t="n">
        <v>136676</v>
      </c>
      <c r="C542" s="50" t="n">
        <v>12.64</v>
      </c>
      <c r="D542" s="51" t="inlineStr">
        <is>
          <t>Good</t>
        </is>
      </c>
      <c r="E542" s="52" t="n">
        <v>25</v>
      </c>
      <c r="F542" s="52" t="n">
        <v>2.3</v>
      </c>
      <c r="G542" s="51" t="inlineStr">
        <is>
          <t>Tue</t>
        </is>
      </c>
      <c r="H542" s="51" t="inlineStr">
        <is>
          <t>Weekday</t>
        </is>
      </c>
      <c r="I542" s="51" t="inlineStr">
        <is>
          <t>Summer</t>
        </is>
      </c>
      <c r="J542" s="51" t="n">
        <v>25</v>
      </c>
      <c r="K542" s="51" t="inlineStr">
        <is>
          <t>OK</t>
        </is>
      </c>
      <c r="L542" s="46" t="n">
        <v>21.84</v>
      </c>
      <c r="M542" t="inlineStr">
        <is>
          <t>Good</t>
        </is>
      </c>
      <c r="N542" s="87" t="n">
        <v>25</v>
      </c>
      <c r="O542" s="87" t="n">
        <v>0</v>
      </c>
      <c r="P542" s="87" t="n">
        <v>0</v>
      </c>
      <c r="Q542" s="87" t="n">
        <v>0</v>
      </c>
      <c r="R542" s="87" t="n">
        <v>0</v>
      </c>
      <c r="S542" s="47" t="n">
        <v>2.6</v>
      </c>
      <c r="T542" s="47" t="n">
        <v>63.4</v>
      </c>
      <c r="U542" s="47" t="n"/>
      <c r="V542" s="87" t="n">
        <v>0</v>
      </c>
      <c r="W542" s="87" t="n">
        <v>0</v>
      </c>
      <c r="Y542" t="inlineStr">
        <is>
          <t>Jun</t>
        </is>
      </c>
      <c r="Z542" s="87" t="n">
        <v>2025</v>
      </c>
      <c r="AA542" s="47">
        <f>IF(F542="",0,F542)</f>
        <v/>
      </c>
      <c r="AB542" s="87">
        <f>IF(AA542&gt;=0.1,1,0)</f>
        <v/>
      </c>
      <c r="AC542" s="87" t="n">
        <v>0</v>
      </c>
      <c r="AD542" s="47">
        <f>IF(U542="",0,U542)</f>
        <v/>
      </c>
      <c r="AE542" s="87">
        <f>IF(OR(V542=1,W542=1),1,0)</f>
        <v/>
      </c>
      <c r="AF542" s="87" t="n">
        <v>0</v>
      </c>
      <c r="AG542" t="n">
        <v>7197</v>
      </c>
      <c r="AH542" t="n">
        <v>129479</v>
      </c>
      <c r="AI542" t="n">
        <v>0</v>
      </c>
      <c r="AJ542" s="88">
        <f>IF(OR(AG542&lt;=0,AH542&lt;=0),"",LN(AG542)-LN(AH542))</f>
        <v/>
      </c>
      <c r="AK542" t="n">
        <v>20137</v>
      </c>
      <c r="AL542" t="n">
        <v>116539</v>
      </c>
      <c r="AM542" s="88">
        <f>IF(OR(AK542&lt;=0,AL542&lt;=0),"",LN(AK542)-LN(AL542))</f>
        <v/>
      </c>
      <c r="AN542" t="n">
        <v>7070</v>
      </c>
      <c r="AO542" t="n">
        <v>124018</v>
      </c>
      <c r="AP542" s="88">
        <f>IF(OR(AN542&lt;=0,AO542&lt;=0),"",LN(AN542)-LN(AO542))</f>
        <v/>
      </c>
      <c r="AQ542" t="n">
        <v>7004</v>
      </c>
      <c r="AR542" t="n">
        <v>129479</v>
      </c>
      <c r="AS542" s="88">
        <f>IF(OR(AQ542&lt;=0,AR542&lt;=0),"",LN(AQ542)-LN(AR542))</f>
        <v/>
      </c>
      <c r="AT542" t="n">
        <v>7962</v>
      </c>
      <c r="AU542" t="n">
        <v>127831</v>
      </c>
      <c r="AV542" t="n">
        <v>884</v>
      </c>
      <c r="AW542" t="n">
        <v>620</v>
      </c>
      <c r="AX542" t="n">
        <v>6520</v>
      </c>
      <c r="AY542" s="88">
        <f>IF(OR(AT542&lt;=0,AU542&lt;=0),"",LN(AT542)-LN(AU542))</f>
        <v/>
      </c>
      <c r="AZ542" s="46" t="n">
        <v>0.2</v>
      </c>
      <c r="BA542" s="46" t="n">
        <v>10.18</v>
      </c>
      <c r="BB542" s="47" t="n">
        <v>8.9</v>
      </c>
    </row>
    <row r="543">
      <c r="A543" s="48" t="n">
        <v>45833</v>
      </c>
      <c r="B543" s="49" t="n">
        <v>51322</v>
      </c>
      <c r="C543" s="50" t="n">
        <v>4.84</v>
      </c>
      <c r="D543" s="51" t="inlineStr">
        <is>
          <t>Good</t>
        </is>
      </c>
      <c r="E543" s="52" t="n">
        <v>20.9</v>
      </c>
      <c r="F543" s="52" t="n">
        <v>8</v>
      </c>
      <c r="G543" s="51" t="inlineStr">
        <is>
          <t>Wed</t>
        </is>
      </c>
      <c r="H543" s="51" t="inlineStr">
        <is>
          <t>Weekday</t>
        </is>
      </c>
      <c r="I543" s="51" t="inlineStr">
        <is>
          <t>Summer</t>
        </is>
      </c>
      <c r="J543" s="51" t="n">
        <v>25</v>
      </c>
      <c r="K543" s="51" t="inlineStr">
        <is>
          <t>OK</t>
        </is>
      </c>
      <c r="L543" s="46" t="n">
        <v>10.04</v>
      </c>
      <c r="M543" t="inlineStr">
        <is>
          <t>Good</t>
        </is>
      </c>
      <c r="N543" s="87" t="n">
        <v>25</v>
      </c>
      <c r="O543" s="87" t="n">
        <v>0</v>
      </c>
      <c r="P543" s="87" t="n">
        <v>0</v>
      </c>
      <c r="Q543" s="87" t="n">
        <v>0</v>
      </c>
      <c r="R543" s="87" t="n">
        <v>0</v>
      </c>
      <c r="S543" s="47" t="n">
        <v>2.5</v>
      </c>
      <c r="T543" s="47" t="n">
        <v>88.90000000000001</v>
      </c>
      <c r="U543" s="47" t="n"/>
      <c r="V543" s="87" t="n">
        <v>0</v>
      </c>
      <c r="W543" s="87" t="n">
        <v>0</v>
      </c>
      <c r="Y543" t="inlineStr">
        <is>
          <t>Jun</t>
        </is>
      </c>
      <c r="Z543" s="87" t="n">
        <v>2025</v>
      </c>
      <c r="AA543" s="47">
        <f>IF(F543="",0,F543)</f>
        <v/>
      </c>
      <c r="AB543" s="87">
        <f>IF(AA543&gt;=0.1,1,0)</f>
        <v/>
      </c>
      <c r="AC543" s="87" t="n">
        <v>0</v>
      </c>
      <c r="AD543" s="47">
        <f>IF(U543="",0,U543)</f>
        <v/>
      </c>
      <c r="AE543" s="87">
        <f>IF(OR(V543=1,W543=1),1,0)</f>
        <v/>
      </c>
      <c r="AF543" s="87" t="n">
        <v>0</v>
      </c>
      <c r="AG543" t="n">
        <v>2425</v>
      </c>
      <c r="AH543" t="n">
        <v>48897</v>
      </c>
      <c r="AI543" t="n">
        <v>0</v>
      </c>
      <c r="AJ543" s="88">
        <f>IF(OR(AG543&lt;=0,AH543&lt;=0),"",LN(AG543)-LN(AH543))</f>
        <v/>
      </c>
      <c r="AK543" t="n">
        <v>7166</v>
      </c>
      <c r="AL543" t="n">
        <v>44156</v>
      </c>
      <c r="AM543" s="88">
        <f>IF(OR(AK543&lt;=0,AL543&lt;=0),"",LN(AK543)-LN(AL543))</f>
        <v/>
      </c>
      <c r="AN543" t="n">
        <v>2387</v>
      </c>
      <c r="AO543" t="n">
        <v>46886</v>
      </c>
      <c r="AP543" s="88">
        <f>IF(OR(AN543&lt;=0,AO543&lt;=0),"",LN(AN543)-LN(AO543))</f>
        <v/>
      </c>
      <c r="AQ543" t="n">
        <v>2357</v>
      </c>
      <c r="AR543" t="n">
        <v>48897</v>
      </c>
      <c r="AS543" s="88">
        <f>IF(OR(AQ543&lt;=0,AR543&lt;=0),"",LN(AQ543)-LN(AR543))</f>
        <v/>
      </c>
      <c r="AT543" t="n">
        <v>3464</v>
      </c>
      <c r="AU543" t="n">
        <v>47517</v>
      </c>
      <c r="AV543" t="n">
        <v>342</v>
      </c>
      <c r="AW543" t="n">
        <v>212</v>
      </c>
      <c r="AX543" t="n">
        <v>2197</v>
      </c>
      <c r="AY543" s="88">
        <f>IF(OR(AT543&lt;=0,AU543&lt;=0),"",LN(AT543)-LN(AU543))</f>
        <v/>
      </c>
      <c r="AZ543" s="46" t="n">
        <v>0</v>
      </c>
      <c r="BA543" s="46" t="n">
        <v>5.11</v>
      </c>
      <c r="BB543" s="47" t="n">
        <v>10</v>
      </c>
    </row>
    <row r="544">
      <c r="A544" s="48" t="n">
        <v>45834</v>
      </c>
      <c r="B544" s="49" t="n">
        <v>146464</v>
      </c>
      <c r="C544" s="50" t="n">
        <v>9.6</v>
      </c>
      <c r="D544" s="51" t="inlineStr">
        <is>
          <t>Good</t>
        </is>
      </c>
      <c r="E544" s="52" t="n">
        <v>22.2</v>
      </c>
      <c r="F544" s="52" t="n">
        <v>1.1</v>
      </c>
      <c r="G544" s="51" t="inlineStr">
        <is>
          <t>Thu</t>
        </is>
      </c>
      <c r="H544" s="51" t="inlineStr">
        <is>
          <t>Weekday</t>
        </is>
      </c>
      <c r="I544" s="51" t="inlineStr">
        <is>
          <t>Summer</t>
        </is>
      </c>
      <c r="J544" s="51" t="n">
        <v>25</v>
      </c>
      <c r="K544" s="51" t="inlineStr">
        <is>
          <t>OK</t>
        </is>
      </c>
      <c r="L544" s="46" t="n">
        <v>16.76</v>
      </c>
      <c r="M544" t="inlineStr">
        <is>
          <t>Good</t>
        </is>
      </c>
      <c r="N544" s="87" t="n">
        <v>25</v>
      </c>
      <c r="O544" s="87" t="n">
        <v>0</v>
      </c>
      <c r="P544" s="87" t="n">
        <v>0</v>
      </c>
      <c r="Q544" s="87" t="n">
        <v>0</v>
      </c>
      <c r="R544" s="87" t="n">
        <v>0</v>
      </c>
      <c r="S544" s="47" t="n">
        <v>1.7</v>
      </c>
      <c r="T544" s="47" t="n">
        <v>85.3</v>
      </c>
      <c r="U544" s="47" t="n"/>
      <c r="V544" s="87" t="n">
        <v>0</v>
      </c>
      <c r="W544" s="87" t="n">
        <v>0</v>
      </c>
      <c r="Y544" t="inlineStr">
        <is>
          <t>Jun</t>
        </is>
      </c>
      <c r="Z544" s="87" t="n">
        <v>2025</v>
      </c>
      <c r="AA544" s="47">
        <f>IF(F544="",0,F544)</f>
        <v/>
      </c>
      <c r="AB544" s="87">
        <f>IF(AA544&gt;=0.1,1,0)</f>
        <v/>
      </c>
      <c r="AC544" s="87" t="n">
        <v>0</v>
      </c>
      <c r="AD544" s="47">
        <f>IF(U544="",0,U544)</f>
        <v/>
      </c>
      <c r="AE544" s="87">
        <f>IF(OR(V544=1,W544=1),1,0)</f>
        <v/>
      </c>
      <c r="AF544" s="87" t="n">
        <v>0</v>
      </c>
      <c r="AG544" t="n">
        <v>8276</v>
      </c>
      <c r="AH544" t="n">
        <v>138188</v>
      </c>
      <c r="AI544" t="n">
        <v>0</v>
      </c>
      <c r="AJ544" s="88">
        <f>IF(OR(AG544&lt;=0,AH544&lt;=0),"",LN(AG544)-LN(AH544))</f>
        <v/>
      </c>
      <c r="AK544" t="n">
        <v>22416</v>
      </c>
      <c r="AL544" t="n">
        <v>124048</v>
      </c>
      <c r="AM544" s="88">
        <f>IF(OR(AK544&lt;=0,AL544&lt;=0),"",LN(AK544)-LN(AL544))</f>
        <v/>
      </c>
      <c r="AN544" t="n">
        <v>8109</v>
      </c>
      <c r="AO544" t="n">
        <v>132328</v>
      </c>
      <c r="AP544" s="88">
        <f>IF(OR(AN544&lt;=0,AO544&lt;=0),"",LN(AN544)-LN(AO544))</f>
        <v/>
      </c>
      <c r="AQ544" t="n">
        <v>8046</v>
      </c>
      <c r="AR544" t="n">
        <v>138188</v>
      </c>
      <c r="AS544" s="88">
        <f>IF(OR(AQ544&lt;=0,AR544&lt;=0),"",LN(AQ544)-LN(AR544))</f>
        <v/>
      </c>
      <c r="AT544" t="n">
        <v>9768</v>
      </c>
      <c r="AU544" t="n">
        <v>135731</v>
      </c>
      <c r="AV544" t="n">
        <v>965</v>
      </c>
      <c r="AW544" t="n">
        <v>883</v>
      </c>
      <c r="AX544" t="n">
        <v>7335</v>
      </c>
      <c r="AY544" s="88">
        <f>IF(OR(AT544&lt;=0,AU544&lt;=0),"",LN(AT544)-LN(AU544))</f>
        <v/>
      </c>
      <c r="AZ544" s="46" t="n">
        <v>0.1</v>
      </c>
      <c r="BA544" s="46" t="n">
        <v>7.23</v>
      </c>
      <c r="BB544" s="47" t="n">
        <v>8.4</v>
      </c>
    </row>
    <row r="545">
      <c r="A545" s="48" t="n">
        <v>45835</v>
      </c>
      <c r="B545" s="49" t="n">
        <v>154648</v>
      </c>
      <c r="C545" s="50" t="n">
        <v>18.88</v>
      </c>
      <c r="D545" s="51" t="inlineStr">
        <is>
          <t>Moderate</t>
        </is>
      </c>
      <c r="E545" s="52" t="n">
        <v>25</v>
      </c>
      <c r="F545" s="52" t="n">
        <v>0</v>
      </c>
      <c r="G545" s="51" t="inlineStr">
        <is>
          <t>Fri</t>
        </is>
      </c>
      <c r="H545" s="51" t="inlineStr">
        <is>
          <t>Weekday</t>
        </is>
      </c>
      <c r="I545" s="51" t="inlineStr">
        <is>
          <t>Summer</t>
        </is>
      </c>
      <c r="J545" s="51" t="n">
        <v>25</v>
      </c>
      <c r="K545" s="51" t="inlineStr">
        <is>
          <t>OK</t>
        </is>
      </c>
      <c r="L545" s="46" t="n">
        <v>28.52</v>
      </c>
      <c r="M545" t="inlineStr">
        <is>
          <t>Good</t>
        </is>
      </c>
      <c r="N545" s="87" t="n">
        <v>25</v>
      </c>
      <c r="O545" s="87" t="n">
        <v>0</v>
      </c>
      <c r="P545" s="87" t="n">
        <v>0</v>
      </c>
      <c r="Q545" s="87" t="n">
        <v>0</v>
      </c>
      <c r="R545" s="87" t="n">
        <v>0</v>
      </c>
      <c r="S545" s="47" t="n">
        <v>1.4</v>
      </c>
      <c r="T545" s="47" t="n">
        <v>78.09999999999999</v>
      </c>
      <c r="U545" s="47" t="n"/>
      <c r="V545" s="87" t="n">
        <v>0</v>
      </c>
      <c r="W545" s="87" t="n">
        <v>0</v>
      </c>
      <c r="Y545" t="inlineStr">
        <is>
          <t>Jun</t>
        </is>
      </c>
      <c r="Z545" s="87" t="n">
        <v>2025</v>
      </c>
      <c r="AA545" s="47">
        <f>IF(F545="",0,F545)</f>
        <v/>
      </c>
      <c r="AB545" s="87">
        <f>IF(AA545&gt;=0.1,1,0)</f>
        <v/>
      </c>
      <c r="AC545" s="87" t="n">
        <v>1</v>
      </c>
      <c r="AD545" s="47">
        <f>IF(U545="",0,U545)</f>
        <v/>
      </c>
      <c r="AE545" s="87">
        <f>IF(OR(V545=1,W545=1),1,0)</f>
        <v/>
      </c>
      <c r="AF545" s="87" t="n">
        <v>0</v>
      </c>
      <c r="AG545" t="n">
        <v>8629</v>
      </c>
      <c r="AH545" t="n">
        <v>146019</v>
      </c>
      <c r="AI545" t="n">
        <v>0</v>
      </c>
      <c r="AJ545" s="88">
        <f>IF(OR(AG545&lt;=0,AH545&lt;=0),"",LN(AG545)-LN(AH545))</f>
        <v/>
      </c>
      <c r="AK545" t="n">
        <v>23232</v>
      </c>
      <c r="AL545" t="n">
        <v>131416</v>
      </c>
      <c r="AM545" s="88">
        <f>IF(OR(AK545&lt;=0,AL545&lt;=0),"",LN(AK545)-LN(AL545))</f>
        <v/>
      </c>
      <c r="AN545" t="n">
        <v>8456</v>
      </c>
      <c r="AO545" t="n">
        <v>139975</v>
      </c>
      <c r="AP545" s="88">
        <f>IF(OR(AN545&lt;=0,AO545&lt;=0),"",LN(AN545)-LN(AO545))</f>
        <v/>
      </c>
      <c r="AQ545" t="n">
        <v>8360</v>
      </c>
      <c r="AR545" t="n">
        <v>146019</v>
      </c>
      <c r="AS545" s="88">
        <f>IF(OR(AQ545&lt;=0,AR545&lt;=0),"",LN(AQ545)-LN(AR545))</f>
        <v/>
      </c>
      <c r="AT545" t="n">
        <v>10151</v>
      </c>
      <c r="AU545" t="n">
        <v>143465</v>
      </c>
      <c r="AV545" t="n">
        <v>1033</v>
      </c>
      <c r="AW545" t="n">
        <v>875</v>
      </c>
      <c r="AX545" t="n">
        <v>7690</v>
      </c>
      <c r="AY545" s="88">
        <f>IF(OR(AT545&lt;=0,AU545&lt;=0),"",LN(AT545)-LN(AU545))</f>
        <v/>
      </c>
      <c r="AZ545" s="46" t="n">
        <v>3.1</v>
      </c>
      <c r="BA545" s="46" t="n">
        <v>12.92</v>
      </c>
      <c r="BB545" s="47" t="n">
        <v>8.6</v>
      </c>
    </row>
    <row r="546">
      <c r="A546" s="48" t="n">
        <v>45836</v>
      </c>
      <c r="B546" s="49" t="n">
        <v>100480</v>
      </c>
      <c r="C546" s="50" t="n">
        <v>22.56</v>
      </c>
      <c r="D546" s="51" t="inlineStr">
        <is>
          <t>Moderate</t>
        </is>
      </c>
      <c r="E546" s="52" t="n">
        <v>26.2</v>
      </c>
      <c r="F546" s="52" t="n">
        <v>0.6</v>
      </c>
      <c r="G546" s="51" t="inlineStr">
        <is>
          <t>Sat</t>
        </is>
      </c>
      <c r="H546" s="51" t="inlineStr">
        <is>
          <t>Weekend</t>
        </is>
      </c>
      <c r="I546" s="51" t="inlineStr">
        <is>
          <t>Summer</t>
        </is>
      </c>
      <c r="J546" s="51" t="n">
        <v>25</v>
      </c>
      <c r="K546" s="51" t="inlineStr">
        <is>
          <t>OK</t>
        </is>
      </c>
      <c r="L546" s="46" t="n">
        <v>31.68</v>
      </c>
      <c r="M546" t="inlineStr">
        <is>
          <t>Moderate</t>
        </is>
      </c>
      <c r="N546" s="87" t="n">
        <v>25</v>
      </c>
      <c r="O546" s="87" t="n">
        <v>0</v>
      </c>
      <c r="P546" s="87" t="n">
        <v>0</v>
      </c>
      <c r="Q546" s="87" t="n">
        <v>0</v>
      </c>
      <c r="R546" s="87" t="n">
        <v>0</v>
      </c>
      <c r="S546" s="47" t="n">
        <v>1.4</v>
      </c>
      <c r="T546" s="47" t="n">
        <v>85</v>
      </c>
      <c r="U546" s="47" t="n"/>
      <c r="V546" s="87" t="n">
        <v>1</v>
      </c>
      <c r="W546" s="87" t="n">
        <v>0</v>
      </c>
      <c r="Y546" t="inlineStr">
        <is>
          <t>Jun</t>
        </is>
      </c>
      <c r="Z546" s="87" t="n">
        <v>2025</v>
      </c>
      <c r="AA546" s="47">
        <f>IF(F546="",0,F546)</f>
        <v/>
      </c>
      <c r="AB546" s="87">
        <f>IF(AA546&gt;=0.1,1,0)</f>
        <v/>
      </c>
      <c r="AC546" s="87" t="n">
        <v>0</v>
      </c>
      <c r="AD546" s="47">
        <f>IF(U546="",0,U546)</f>
        <v/>
      </c>
      <c r="AE546" s="87">
        <f>IF(OR(V546=1,W546=1),1,0)</f>
        <v/>
      </c>
      <c r="AF546" s="87" t="n">
        <v>0</v>
      </c>
      <c r="AG546" t="n">
        <v>6267</v>
      </c>
      <c r="AH546" t="n">
        <v>94213</v>
      </c>
      <c r="AI546" t="n">
        <v>0</v>
      </c>
      <c r="AJ546" s="88">
        <f>IF(OR(AG546&lt;=0,AH546&lt;=0),"",LN(AG546)-LN(AH546))</f>
        <v/>
      </c>
      <c r="AK546" t="n">
        <v>15595</v>
      </c>
      <c r="AL546" t="n">
        <v>84885</v>
      </c>
      <c r="AM546" s="88">
        <f>IF(OR(AK546&lt;=0,AL546&lt;=0),"",LN(AK546)-LN(AL546))</f>
        <v/>
      </c>
      <c r="AN546" t="n">
        <v>6157</v>
      </c>
      <c r="AO546" t="n">
        <v>90417</v>
      </c>
      <c r="AP546" s="88">
        <f>IF(OR(AN546&lt;=0,AO546&lt;=0),"",LN(AN546)-LN(AO546))</f>
        <v/>
      </c>
      <c r="AQ546" t="n">
        <v>6071</v>
      </c>
      <c r="AR546" t="n">
        <v>94213</v>
      </c>
      <c r="AS546" s="88">
        <f>IF(OR(AQ546&lt;=0,AR546&lt;=0),"",LN(AQ546)-LN(AR546))</f>
        <v/>
      </c>
      <c r="AT546" t="n">
        <v>9056</v>
      </c>
      <c r="AU546" t="n">
        <v>90766</v>
      </c>
      <c r="AV546" t="n">
        <v>659</v>
      </c>
      <c r="AW546" t="n">
        <v>937</v>
      </c>
      <c r="AX546" t="n">
        <v>5286</v>
      </c>
      <c r="AY546" s="88">
        <f>IF(OR(AT546&lt;=0,AU546&lt;=0),"",LN(AT546)-LN(AU546))</f>
        <v/>
      </c>
      <c r="AZ546" s="46" t="n">
        <v>0</v>
      </c>
      <c r="BA546" s="46" t="n">
        <v>7.13</v>
      </c>
      <c r="BB546" s="47" t="n">
        <v>9.300000000000001</v>
      </c>
    </row>
    <row r="547">
      <c r="A547" s="48" t="n">
        <v>45837</v>
      </c>
      <c r="B547" s="49" t="n">
        <v>111429</v>
      </c>
      <c r="C547" s="50" t="n">
        <v>10.56</v>
      </c>
      <c r="D547" s="51" t="inlineStr">
        <is>
          <t>Good</t>
        </is>
      </c>
      <c r="E547" s="52" t="n">
        <v>27.1</v>
      </c>
      <c r="F547" s="52" t="n">
        <v>0</v>
      </c>
      <c r="G547" s="51" t="inlineStr">
        <is>
          <t>Sun</t>
        </is>
      </c>
      <c r="H547" s="51" t="inlineStr">
        <is>
          <t>Weekend</t>
        </is>
      </c>
      <c r="I547" s="51" t="inlineStr">
        <is>
          <t>Summer</t>
        </is>
      </c>
      <c r="J547" s="51" t="n">
        <v>25</v>
      </c>
      <c r="K547" s="51" t="inlineStr">
        <is>
          <t>OK</t>
        </is>
      </c>
      <c r="L547" s="46" t="n">
        <v>15.8</v>
      </c>
      <c r="M547" t="inlineStr">
        <is>
          <t>Good</t>
        </is>
      </c>
      <c r="N547" s="87" t="n">
        <v>25</v>
      </c>
      <c r="O547" s="87" t="n">
        <v>0</v>
      </c>
      <c r="P547" s="87" t="n">
        <v>0</v>
      </c>
      <c r="Q547" s="87" t="n">
        <v>0</v>
      </c>
      <c r="R547" s="87" t="n">
        <v>0</v>
      </c>
      <c r="S547" s="47" t="n">
        <v>2.3</v>
      </c>
      <c r="T547" s="47" t="n">
        <v>77.09999999999999</v>
      </c>
      <c r="U547" s="47" t="n"/>
      <c r="V547" s="87" t="n">
        <v>1</v>
      </c>
      <c r="W547" s="87" t="n">
        <v>0</v>
      </c>
      <c r="Y547" t="inlineStr">
        <is>
          <t>Jun</t>
        </is>
      </c>
      <c r="Z547" s="87" t="n">
        <v>2025</v>
      </c>
      <c r="AA547" s="47">
        <f>IF(F547="",0,F547)</f>
        <v/>
      </c>
      <c r="AB547" s="87">
        <f>IF(AA547&gt;=0.1,1,0)</f>
        <v/>
      </c>
      <c r="AC547" s="87" t="n">
        <v>1</v>
      </c>
      <c r="AD547" s="47">
        <f>IF(U547="",0,U547)</f>
        <v/>
      </c>
      <c r="AE547" s="87">
        <f>IF(OR(V547=1,W547=1),1,0)</f>
        <v/>
      </c>
      <c r="AF547" s="87" t="n">
        <v>0</v>
      </c>
      <c r="AG547" t="n">
        <v>8258</v>
      </c>
      <c r="AH547" t="n">
        <v>103171</v>
      </c>
      <c r="AI547" t="n">
        <v>0</v>
      </c>
      <c r="AJ547" s="88">
        <f>IF(OR(AG547&lt;=0,AH547&lt;=0),"",LN(AG547)-LN(AH547))</f>
        <v/>
      </c>
      <c r="AK547" t="n">
        <v>19171</v>
      </c>
      <c r="AL547" t="n">
        <v>92258</v>
      </c>
      <c r="AM547" s="88">
        <f>IF(OR(AK547&lt;=0,AL547&lt;=0),"",LN(AK547)-LN(AL547))</f>
        <v/>
      </c>
      <c r="AN547" t="n">
        <v>8089</v>
      </c>
      <c r="AO547" t="n">
        <v>98948</v>
      </c>
      <c r="AP547" s="88">
        <f>IF(OR(AN547&lt;=0,AO547&lt;=0),"",LN(AN547)-LN(AO547))</f>
        <v/>
      </c>
      <c r="AQ547" t="n">
        <v>7965</v>
      </c>
      <c r="AR547" t="n">
        <v>103171</v>
      </c>
      <c r="AS547" s="88">
        <f>IF(OR(AQ547&lt;=0,AR547&lt;=0),"",LN(AQ547)-LN(AR547))</f>
        <v/>
      </c>
      <c r="AT547" t="n">
        <v>11027</v>
      </c>
      <c r="AU547" t="n">
        <v>99742</v>
      </c>
      <c r="AV547" t="n">
        <v>660</v>
      </c>
      <c r="AW547" t="n">
        <v>1274</v>
      </c>
      <c r="AX547" t="n">
        <v>6920</v>
      </c>
      <c r="AY547" s="88">
        <f>IF(OR(AT547&lt;=0,AU547&lt;=0),"",LN(AT547)-LN(AU547))</f>
        <v/>
      </c>
      <c r="AZ547" s="46" t="n">
        <v>2.5</v>
      </c>
      <c r="BA547" s="46" t="n">
        <v>12.41</v>
      </c>
      <c r="BB547" s="47" t="n">
        <v>6.1</v>
      </c>
    </row>
    <row r="548">
      <c r="A548" s="48" t="n">
        <v>45838</v>
      </c>
      <c r="B548" s="49" t="n">
        <v>150277</v>
      </c>
      <c r="C548" s="50" t="n">
        <v>5.56</v>
      </c>
      <c r="D548" s="51" t="inlineStr">
        <is>
          <t>Good</t>
        </is>
      </c>
      <c r="E548" s="52" t="n">
        <v>28.2</v>
      </c>
      <c r="F548" s="52" t="n"/>
      <c r="G548" s="51" t="inlineStr">
        <is>
          <t>Mon</t>
        </is>
      </c>
      <c r="H548" s="51" t="inlineStr">
        <is>
          <t>Weekday</t>
        </is>
      </c>
      <c r="I548" s="51" t="inlineStr">
        <is>
          <t>Summer</t>
        </is>
      </c>
      <c r="J548" s="51" t="n">
        <v>25</v>
      </c>
      <c r="K548" s="51" t="inlineStr">
        <is>
          <t>강수량 공란</t>
        </is>
      </c>
      <c r="L548" s="46" t="n">
        <v>10.6</v>
      </c>
      <c r="M548" t="inlineStr">
        <is>
          <t>Good</t>
        </is>
      </c>
      <c r="N548" s="87" t="n">
        <v>25</v>
      </c>
      <c r="O548" s="87" t="n">
        <v>0</v>
      </c>
      <c r="P548" s="87" t="n">
        <v>0</v>
      </c>
      <c r="Q548" s="87" t="n">
        <v>0</v>
      </c>
      <c r="R548" s="87" t="n">
        <v>0</v>
      </c>
      <c r="S548" s="47" t="n">
        <v>2.4</v>
      </c>
      <c r="T548" s="47" t="n">
        <v>74.59999999999999</v>
      </c>
      <c r="U548" s="47" t="n"/>
      <c r="V548" s="87" t="n">
        <v>0</v>
      </c>
      <c r="W548" s="87" t="n">
        <v>0</v>
      </c>
      <c r="Y548" t="inlineStr">
        <is>
          <t>Jun</t>
        </is>
      </c>
      <c r="Z548" s="87" t="n">
        <v>2025</v>
      </c>
      <c r="AA548" s="47">
        <f>IF(F548="",0,F548)</f>
        <v/>
      </c>
      <c r="AB548" s="87">
        <f>IF(AA548&gt;=0.1,1,0)</f>
        <v/>
      </c>
      <c r="AC548" s="87" t="n">
        <v>0</v>
      </c>
      <c r="AD548" s="47">
        <f>IF(U548="",0,U548)</f>
        <v/>
      </c>
      <c r="AE548" s="87">
        <f>IF(OR(V548=1,W548=1),1,0)</f>
        <v/>
      </c>
      <c r="AF548" s="87" t="n">
        <v>0</v>
      </c>
      <c r="AG548" t="n">
        <v>8281</v>
      </c>
      <c r="AH548" t="n">
        <v>141996</v>
      </c>
      <c r="AI548" t="n">
        <v>0</v>
      </c>
      <c r="AJ548" s="88">
        <f>IF(OR(AG548&lt;=0,AH548&lt;=0),"",LN(AG548)-LN(AH548))</f>
        <v/>
      </c>
      <c r="AK548" t="n">
        <v>22818</v>
      </c>
      <c r="AL548" t="n">
        <v>127459</v>
      </c>
      <c r="AM548" s="88">
        <f>IF(OR(AK548&lt;=0,AL548&lt;=0),"",LN(AK548)-LN(AL548))</f>
        <v/>
      </c>
      <c r="AN548" t="n">
        <v>8130</v>
      </c>
      <c r="AO548" t="n">
        <v>136042</v>
      </c>
      <c r="AP548" s="88">
        <f>IF(OR(AN548&lt;=0,AO548&lt;=0),"",LN(AN548)-LN(AO548))</f>
        <v/>
      </c>
      <c r="AQ548" t="n">
        <v>8046</v>
      </c>
      <c r="AR548" t="n">
        <v>141996</v>
      </c>
      <c r="AS548" s="88">
        <f>IF(OR(AQ548&lt;=0,AR548&lt;=0),"",LN(AQ548)-LN(AR548))</f>
        <v/>
      </c>
      <c r="AT548" t="n">
        <v>9939</v>
      </c>
      <c r="AU548" t="n">
        <v>139412</v>
      </c>
      <c r="AV548" t="n">
        <v>928</v>
      </c>
      <c r="AW548" t="n">
        <v>866</v>
      </c>
      <c r="AX548" t="n">
        <v>7364</v>
      </c>
      <c r="AY548" s="88">
        <f>IF(OR(AT548&lt;=0,AU548&lt;=0),"",LN(AT548)-LN(AU548))</f>
        <v/>
      </c>
      <c r="AZ548" s="46" t="n">
        <v>2.8</v>
      </c>
      <c r="BA548" s="46" t="n">
        <v>15.61</v>
      </c>
      <c r="BB548" s="47" t="n">
        <v>7.8</v>
      </c>
    </row>
    <row r="549">
      <c r="A549" s="48" t="n">
        <v>45839</v>
      </c>
      <c r="B549" s="49" t="n">
        <v>132912</v>
      </c>
      <c r="C549" s="50" t="n">
        <v>5.28</v>
      </c>
      <c r="D549" s="51" t="inlineStr">
        <is>
          <t>Good</t>
        </is>
      </c>
      <c r="E549" s="52" t="n">
        <v>28.6</v>
      </c>
      <c r="F549" s="52" t="n">
        <v>0.9</v>
      </c>
      <c r="G549" s="51" t="inlineStr">
        <is>
          <t>Tue</t>
        </is>
      </c>
      <c r="H549" s="51" t="inlineStr">
        <is>
          <t>Weekday</t>
        </is>
      </c>
      <c r="I549" s="51" t="inlineStr">
        <is>
          <t>Summer</t>
        </is>
      </c>
      <c r="J549" s="51" t="n">
        <v>25</v>
      </c>
      <c r="K549" s="51" t="inlineStr">
        <is>
          <t>OK</t>
        </is>
      </c>
      <c r="L549" s="46" t="n">
        <v>10.88</v>
      </c>
      <c r="M549" t="inlineStr">
        <is>
          <t>Good</t>
        </is>
      </c>
      <c r="N549" s="87" t="n">
        <v>25</v>
      </c>
      <c r="O549" s="87" t="n">
        <v>0</v>
      </c>
      <c r="P549" s="87" t="n">
        <v>0</v>
      </c>
      <c r="Q549" s="87" t="n">
        <v>0</v>
      </c>
      <c r="R549" s="87" t="n">
        <v>0</v>
      </c>
      <c r="S549" s="47" t="n">
        <v>3</v>
      </c>
      <c r="T549" s="47" t="n">
        <v>78.59999999999999</v>
      </c>
      <c r="U549" s="47" t="n"/>
      <c r="V549" s="87" t="n">
        <v>0</v>
      </c>
      <c r="W549" s="87" t="n">
        <v>0</v>
      </c>
      <c r="Y549" t="inlineStr">
        <is>
          <t>Jul</t>
        </is>
      </c>
      <c r="Z549" s="87" t="n">
        <v>2025</v>
      </c>
      <c r="AA549" s="47">
        <f>IF(F549="",0,F549)</f>
        <v/>
      </c>
      <c r="AB549" s="87">
        <f>IF(AA549&gt;=0.1,1,0)</f>
        <v/>
      </c>
      <c r="AC549" s="87" t="n">
        <v>0</v>
      </c>
      <c r="AD549" s="47">
        <f>IF(U549="",0,U549)</f>
        <v/>
      </c>
      <c r="AE549" s="87">
        <f>IF(OR(V549=1,W549=1),1,0)</f>
        <v/>
      </c>
      <c r="AF549" s="87" t="n">
        <v>0</v>
      </c>
      <c r="AG549" t="n">
        <v>7254</v>
      </c>
      <c r="AH549" t="n">
        <v>125658</v>
      </c>
      <c r="AI549" t="n">
        <v>0</v>
      </c>
      <c r="AJ549" s="88">
        <f>IF(OR(AG549&lt;=0,AH549&lt;=0),"",LN(AG549)-LN(AH549))</f>
        <v/>
      </c>
      <c r="AK549" t="n">
        <v>19889</v>
      </c>
      <c r="AL549" t="n">
        <v>113023</v>
      </c>
      <c r="AM549" s="88">
        <f>IF(OR(AK549&lt;=0,AL549&lt;=0),"",LN(AK549)-LN(AL549))</f>
        <v/>
      </c>
      <c r="AN549" t="n">
        <v>7078</v>
      </c>
      <c r="AO549" t="n">
        <v>120385</v>
      </c>
      <c r="AP549" s="88">
        <f>IF(OR(AN549&lt;=0,AO549&lt;=0),"",LN(AN549)-LN(AO549))</f>
        <v/>
      </c>
      <c r="AQ549" t="n">
        <v>7040</v>
      </c>
      <c r="AR549" t="n">
        <v>125658</v>
      </c>
      <c r="AS549" s="88">
        <f>IF(OR(AQ549&lt;=0,AR549&lt;=0),"",LN(AQ549)-LN(AR549))</f>
        <v/>
      </c>
      <c r="AT549" t="n">
        <v>8824</v>
      </c>
      <c r="AU549" t="n">
        <v>123233</v>
      </c>
      <c r="AV549" t="n">
        <v>857</v>
      </c>
      <c r="AW549" t="n">
        <v>724</v>
      </c>
      <c r="AX549" t="n">
        <v>6485</v>
      </c>
      <c r="AY549" s="88">
        <f>IF(OR(AT549&lt;=0,AU549&lt;=0),"",LN(AT549)-LN(AU549))</f>
        <v/>
      </c>
      <c r="AZ549" s="46" t="n">
        <v>3.8</v>
      </c>
      <c r="BA549" s="46" t="n">
        <v>17.38</v>
      </c>
      <c r="BB549" s="47" t="n">
        <v>7</v>
      </c>
    </row>
    <row r="550">
      <c r="A550" s="48" t="n">
        <v>45840</v>
      </c>
      <c r="B550" s="49" t="n">
        <v>151651</v>
      </c>
      <c r="C550" s="50" t="n">
        <v>6.6</v>
      </c>
      <c r="D550" s="51" t="inlineStr">
        <is>
          <t>Good</t>
        </is>
      </c>
      <c r="E550" s="52" t="n">
        <v>28.6</v>
      </c>
      <c r="F550" s="52" t="n">
        <v>0</v>
      </c>
      <c r="G550" s="51" t="inlineStr">
        <is>
          <t>Wed</t>
        </is>
      </c>
      <c r="H550" s="51" t="inlineStr">
        <is>
          <t>Weekday</t>
        </is>
      </c>
      <c r="I550" s="51" t="inlineStr">
        <is>
          <t>Summer</t>
        </is>
      </c>
      <c r="J550" s="51" t="n">
        <v>25</v>
      </c>
      <c r="K550" s="51" t="inlineStr">
        <is>
          <t>OK</t>
        </is>
      </c>
      <c r="L550" s="46" t="n">
        <v>12.88</v>
      </c>
      <c r="M550" t="inlineStr">
        <is>
          <t>Good</t>
        </is>
      </c>
      <c r="N550" s="87" t="n">
        <v>25</v>
      </c>
      <c r="O550" s="87" t="n">
        <v>0</v>
      </c>
      <c r="P550" s="87" t="n">
        <v>0</v>
      </c>
      <c r="Q550" s="87" t="n">
        <v>0</v>
      </c>
      <c r="R550" s="87" t="n">
        <v>0</v>
      </c>
      <c r="S550" s="47" t="n">
        <v>2.9</v>
      </c>
      <c r="T550" s="47" t="n">
        <v>76.3</v>
      </c>
      <c r="U550" s="47" t="n"/>
      <c r="V550" s="87" t="n">
        <v>0</v>
      </c>
      <c r="W550" s="87" t="n">
        <v>0</v>
      </c>
      <c r="Y550" t="inlineStr">
        <is>
          <t>Jul</t>
        </is>
      </c>
      <c r="Z550" s="87" t="n">
        <v>2025</v>
      </c>
      <c r="AA550" s="47">
        <f>IF(F550="",0,F550)</f>
        <v/>
      </c>
      <c r="AB550" s="87">
        <f>IF(AA550&gt;=0.1,1,0)</f>
        <v/>
      </c>
      <c r="AC550" s="87" t="n">
        <v>1</v>
      </c>
      <c r="AD550" s="47">
        <f>IF(U550="",0,U550)</f>
        <v/>
      </c>
      <c r="AE550" s="87">
        <f>IF(OR(V550=1,W550=1),1,0)</f>
        <v/>
      </c>
      <c r="AF550" s="87" t="n">
        <v>0</v>
      </c>
      <c r="AG550" t="n">
        <v>8135</v>
      </c>
      <c r="AH550" t="n">
        <v>143516</v>
      </c>
      <c r="AI550" t="n">
        <v>0</v>
      </c>
      <c r="AJ550" s="88">
        <f>IF(OR(AG550&lt;=0,AH550&lt;=0),"",LN(AG550)-LN(AH550))</f>
        <v/>
      </c>
      <c r="AK550" t="n">
        <v>22349</v>
      </c>
      <c r="AL550" t="n">
        <v>129302</v>
      </c>
      <c r="AM550" s="88">
        <f>IF(OR(AK550&lt;=0,AL550&lt;=0),"",LN(AK550)-LN(AL550))</f>
        <v/>
      </c>
      <c r="AN550" t="n">
        <v>8021</v>
      </c>
      <c r="AO550" t="n">
        <v>137359</v>
      </c>
      <c r="AP550" s="88">
        <f>IF(OR(AN550&lt;=0,AO550&lt;=0),"",LN(AN550)-LN(AO550))</f>
        <v/>
      </c>
      <c r="AQ550" t="n">
        <v>7905</v>
      </c>
      <c r="AR550" t="n">
        <v>143516</v>
      </c>
      <c r="AS550" s="88">
        <f>IF(OR(AQ550&lt;=0,AR550&lt;=0),"",LN(AQ550)-LN(AR550))</f>
        <v/>
      </c>
      <c r="AT550" t="n">
        <v>9585</v>
      </c>
      <c r="AU550" t="n">
        <v>141108</v>
      </c>
      <c r="AV550" t="n">
        <v>960</v>
      </c>
      <c r="AW550" t="n">
        <v>773</v>
      </c>
      <c r="AX550" t="n">
        <v>7301</v>
      </c>
      <c r="AY550" s="88">
        <f>IF(OR(AT550&lt;=0,AU550&lt;=0),"",LN(AT550)-LN(AU550))</f>
        <v/>
      </c>
      <c r="AZ550" s="46" t="n">
        <v>2.3</v>
      </c>
      <c r="BA550" s="46" t="n">
        <v>14.4</v>
      </c>
      <c r="BB550" s="47" t="n">
        <v>8</v>
      </c>
    </row>
    <row r="551">
      <c r="A551" s="48" t="n">
        <v>45841</v>
      </c>
      <c r="B551" s="49" t="n">
        <v>151091</v>
      </c>
      <c r="C551" s="50" t="n">
        <v>16.08</v>
      </c>
      <c r="D551" s="51" t="inlineStr">
        <is>
          <t>Moderate</t>
        </is>
      </c>
      <c r="E551" s="52" t="n">
        <v>28.3</v>
      </c>
      <c r="F551" s="52" t="n">
        <v>0</v>
      </c>
      <c r="G551" s="51" t="inlineStr">
        <is>
          <t>Thu</t>
        </is>
      </c>
      <c r="H551" s="51" t="inlineStr">
        <is>
          <t>Weekday</t>
        </is>
      </c>
      <c r="I551" s="51" t="inlineStr">
        <is>
          <t>Summer</t>
        </is>
      </c>
      <c r="J551" s="51" t="n">
        <v>25</v>
      </c>
      <c r="K551" s="51" t="inlineStr">
        <is>
          <t>OK</t>
        </is>
      </c>
      <c r="L551" s="46" t="n">
        <v>23.44</v>
      </c>
      <c r="M551" t="inlineStr">
        <is>
          <t>Good</t>
        </is>
      </c>
      <c r="N551" s="87" t="n">
        <v>25</v>
      </c>
      <c r="O551" s="87" t="n">
        <v>0</v>
      </c>
      <c r="P551" s="87" t="n">
        <v>0</v>
      </c>
      <c r="Q551" s="87" t="n">
        <v>0</v>
      </c>
      <c r="R551" s="87" t="n">
        <v>0</v>
      </c>
      <c r="S551" s="47" t="n">
        <v>2.8</v>
      </c>
      <c r="T551" s="47" t="n">
        <v>75.5</v>
      </c>
      <c r="U551" s="47" t="n"/>
      <c r="V551" s="87" t="n">
        <v>0</v>
      </c>
      <c r="W551" s="87" t="n">
        <v>0</v>
      </c>
      <c r="Y551" t="inlineStr">
        <is>
          <t>Jul</t>
        </is>
      </c>
      <c r="Z551" s="87" t="n">
        <v>2025</v>
      </c>
      <c r="AA551" s="47">
        <f>IF(F551="",0,F551)</f>
        <v/>
      </c>
      <c r="AB551" s="87">
        <f>IF(AA551&gt;=0.1,1,0)</f>
        <v/>
      </c>
      <c r="AC551" s="87" t="n">
        <v>1</v>
      </c>
      <c r="AD551" s="47">
        <f>IF(U551="",0,U551)</f>
        <v/>
      </c>
      <c r="AE551" s="87">
        <f>IF(OR(V551=1,W551=1),1,0)</f>
        <v/>
      </c>
      <c r="AF551" s="87" t="n">
        <v>0</v>
      </c>
      <c r="AG551" t="n">
        <v>8266</v>
      </c>
      <c r="AH551" t="n">
        <v>142825</v>
      </c>
      <c r="AI551" t="n">
        <v>0</v>
      </c>
      <c r="AJ551" s="88">
        <f>IF(OR(AG551&lt;=0,AH551&lt;=0),"",LN(AG551)-LN(AH551))</f>
        <v/>
      </c>
      <c r="AK551" t="n">
        <v>22393</v>
      </c>
      <c r="AL551" t="n">
        <v>128698</v>
      </c>
      <c r="AM551" s="88">
        <f>IF(OR(AK551&lt;=0,AL551&lt;=0),"",LN(AK551)-LN(AL551))</f>
        <v/>
      </c>
      <c r="AN551" t="n">
        <v>8157</v>
      </c>
      <c r="AO551" t="n">
        <v>136584</v>
      </c>
      <c r="AP551" s="88">
        <f>IF(OR(AN551&lt;=0,AO551&lt;=0),"",LN(AN551)-LN(AO551))</f>
        <v/>
      </c>
      <c r="AQ551" t="n">
        <v>8030</v>
      </c>
      <c r="AR551" t="n">
        <v>142825</v>
      </c>
      <c r="AS551" s="88">
        <f>IF(OR(AQ551&lt;=0,AR551&lt;=0),"",LN(AQ551)-LN(AR551))</f>
        <v/>
      </c>
      <c r="AT551" t="n">
        <v>9580</v>
      </c>
      <c r="AU551" t="n">
        <v>140568</v>
      </c>
      <c r="AV551" t="n">
        <v>944</v>
      </c>
      <c r="AW551" t="n">
        <v>807</v>
      </c>
      <c r="AX551" t="n">
        <v>7399</v>
      </c>
      <c r="AY551" s="88">
        <f>IF(OR(AT551&lt;=0,AU551&lt;=0),"",LN(AT551)-LN(AU551))</f>
        <v/>
      </c>
      <c r="AZ551" s="46" t="n">
        <v>2.7</v>
      </c>
      <c r="BA551" s="46" t="n">
        <v>13.6</v>
      </c>
      <c r="BB551" s="47" t="n">
        <v>7.5</v>
      </c>
    </row>
    <row r="552">
      <c r="A552" s="48" t="n">
        <v>45842</v>
      </c>
      <c r="B552" s="49" t="n">
        <v>151365</v>
      </c>
      <c r="C552" s="50" t="n">
        <v>13.44</v>
      </c>
      <c r="D552" s="51" t="inlineStr">
        <is>
          <t>Good</t>
        </is>
      </c>
      <c r="E552" s="52" t="n">
        <v>27.2</v>
      </c>
      <c r="F552" s="52" t="n">
        <v>0</v>
      </c>
      <c r="G552" s="51" t="inlineStr">
        <is>
          <t>Fri</t>
        </is>
      </c>
      <c r="H552" s="51" t="inlineStr">
        <is>
          <t>Weekday</t>
        </is>
      </c>
      <c r="I552" s="51" t="inlineStr">
        <is>
          <t>Summer</t>
        </is>
      </c>
      <c r="J552" s="51" t="n">
        <v>25</v>
      </c>
      <c r="K552" s="51" t="inlineStr">
        <is>
          <t>OK</t>
        </is>
      </c>
      <c r="L552" s="46" t="n">
        <v>23.72</v>
      </c>
      <c r="M552" t="inlineStr">
        <is>
          <t>Good</t>
        </is>
      </c>
      <c r="N552" s="87" t="n">
        <v>25</v>
      </c>
      <c r="O552" s="87" t="n">
        <v>0</v>
      </c>
      <c r="P552" s="87" t="n">
        <v>0</v>
      </c>
      <c r="Q552" s="87" t="n">
        <v>0</v>
      </c>
      <c r="R552" s="87" t="n">
        <v>0</v>
      </c>
      <c r="S552" s="47" t="n">
        <v>3.2</v>
      </c>
      <c r="T552" s="47" t="n">
        <v>77</v>
      </c>
      <c r="U552" s="47" t="n"/>
      <c r="V552" s="87" t="n">
        <v>0</v>
      </c>
      <c r="W552" s="87" t="n">
        <v>0</v>
      </c>
      <c r="Y552" t="inlineStr">
        <is>
          <t>Jul</t>
        </is>
      </c>
      <c r="Z552" s="87" t="n">
        <v>2025</v>
      </c>
      <c r="AA552" s="47">
        <f>IF(F552="",0,F552)</f>
        <v/>
      </c>
      <c r="AB552" s="87">
        <f>IF(AA552&gt;=0.1,1,0)</f>
        <v/>
      </c>
      <c r="AC552" s="87" t="n">
        <v>1</v>
      </c>
      <c r="AD552" s="47">
        <f>IF(U552="",0,U552)</f>
        <v/>
      </c>
      <c r="AE552" s="87">
        <f>IF(OR(V552=1,W552=1),1,0)</f>
        <v/>
      </c>
      <c r="AF552" s="87" t="n">
        <v>0</v>
      </c>
      <c r="AG552" t="n">
        <v>8390</v>
      </c>
      <c r="AH552" t="n">
        <v>142975</v>
      </c>
      <c r="AI552" t="n">
        <v>0</v>
      </c>
      <c r="AJ552" s="88">
        <f>IF(OR(AG552&lt;=0,AH552&lt;=0),"",LN(AG552)-LN(AH552))</f>
        <v/>
      </c>
      <c r="AK552" t="n">
        <v>22495</v>
      </c>
      <c r="AL552" t="n">
        <v>128870</v>
      </c>
      <c r="AM552" s="88">
        <f>IF(OR(AK552&lt;=0,AL552&lt;=0),"",LN(AK552)-LN(AL552))</f>
        <v/>
      </c>
      <c r="AN552" t="n">
        <v>8234</v>
      </c>
      <c r="AO552" t="n">
        <v>137008</v>
      </c>
      <c r="AP552" s="88">
        <f>IF(OR(AN552&lt;=0,AO552&lt;=0),"",LN(AN552)-LN(AO552))</f>
        <v/>
      </c>
      <c r="AQ552" t="n">
        <v>8142</v>
      </c>
      <c r="AR552" t="n">
        <v>142975</v>
      </c>
      <c r="AS552" s="88">
        <f>IF(OR(AQ552&lt;=0,AR552&lt;=0),"",LN(AQ552)-LN(AR552))</f>
        <v/>
      </c>
      <c r="AT552" t="n">
        <v>9421</v>
      </c>
      <c r="AU552" t="n">
        <v>140964</v>
      </c>
      <c r="AV552" t="n">
        <v>982</v>
      </c>
      <c r="AW552" t="n">
        <v>820</v>
      </c>
      <c r="AX552" t="n">
        <v>7520</v>
      </c>
      <c r="AY552" s="88">
        <f>IF(OR(AT552&lt;=0,AU552&lt;=0),"",LN(AT552)-LN(AU552))</f>
        <v/>
      </c>
      <c r="AZ552" s="46" t="n">
        <v>0.8</v>
      </c>
      <c r="BA552" s="46" t="n">
        <v>7.72</v>
      </c>
      <c r="BB552" s="47" t="n">
        <v>8.800000000000001</v>
      </c>
    </row>
    <row r="553">
      <c r="A553" s="48" t="n">
        <v>45843</v>
      </c>
      <c r="B553" s="49" t="n">
        <v>118353</v>
      </c>
      <c r="C553" s="50" t="n">
        <v>11</v>
      </c>
      <c r="D553" s="51" t="inlineStr">
        <is>
          <t>Good</t>
        </is>
      </c>
      <c r="E553" s="52" t="n">
        <v>28.4</v>
      </c>
      <c r="F553" s="52" t="n"/>
      <c r="G553" s="51" t="inlineStr">
        <is>
          <t>Sat</t>
        </is>
      </c>
      <c r="H553" s="51" t="inlineStr">
        <is>
          <t>Weekend</t>
        </is>
      </c>
      <c r="I553" s="51" t="inlineStr">
        <is>
          <t>Summer</t>
        </is>
      </c>
      <c r="J553" s="51" t="n">
        <v>25</v>
      </c>
      <c r="K553" s="51" t="inlineStr">
        <is>
          <t>강수량 공란</t>
        </is>
      </c>
      <c r="L553" s="46" t="n">
        <v>21.12</v>
      </c>
      <c r="M553" t="inlineStr">
        <is>
          <t>Good</t>
        </is>
      </c>
      <c r="N553" s="87" t="n">
        <v>25</v>
      </c>
      <c r="O553" s="87" t="n">
        <v>0</v>
      </c>
      <c r="P553" s="87" t="n">
        <v>0</v>
      </c>
      <c r="Q553" s="87" t="n">
        <v>0</v>
      </c>
      <c r="R553" s="87" t="n">
        <v>0</v>
      </c>
      <c r="S553" s="47" t="n">
        <v>2.8</v>
      </c>
      <c r="T553" s="47" t="n">
        <v>72.90000000000001</v>
      </c>
      <c r="U553" s="47" t="n"/>
      <c r="V553" s="87" t="n">
        <v>1</v>
      </c>
      <c r="W553" s="87" t="n">
        <v>0</v>
      </c>
      <c r="Y553" t="inlineStr">
        <is>
          <t>Jul</t>
        </is>
      </c>
      <c r="Z553" s="87" t="n">
        <v>2025</v>
      </c>
      <c r="AA553" s="47">
        <f>IF(F553="",0,F553)</f>
        <v/>
      </c>
      <c r="AB553" s="87">
        <f>IF(AA553&gt;=0.1,1,0)</f>
        <v/>
      </c>
      <c r="AC553" s="87" t="n">
        <v>0</v>
      </c>
      <c r="AD553" s="47">
        <f>IF(U553="",0,U553)</f>
        <v/>
      </c>
      <c r="AE553" s="87">
        <f>IF(OR(V553=1,W553=1),1,0)</f>
        <v/>
      </c>
      <c r="AF553" s="87" t="n">
        <v>0</v>
      </c>
      <c r="AG553" t="n">
        <v>8201</v>
      </c>
      <c r="AH553" t="n">
        <v>110152</v>
      </c>
      <c r="AI553" t="n">
        <v>0</v>
      </c>
      <c r="AJ553" s="88">
        <f>IF(OR(AG553&lt;=0,AH553&lt;=0),"",LN(AG553)-LN(AH553))</f>
        <v/>
      </c>
      <c r="AK553" t="n">
        <v>19517</v>
      </c>
      <c r="AL553" t="n">
        <v>98836</v>
      </c>
      <c r="AM553" s="88">
        <f>IF(OR(AK553&lt;=0,AL553&lt;=0),"",LN(AK553)-LN(AL553))</f>
        <v/>
      </c>
      <c r="AN553" t="n">
        <v>8052</v>
      </c>
      <c r="AO553" t="n">
        <v>105569</v>
      </c>
      <c r="AP553" s="88">
        <f>IF(OR(AN553&lt;=0,AO553&lt;=0),"",LN(AN553)-LN(AO553))</f>
        <v/>
      </c>
      <c r="AQ553" t="n">
        <v>7956</v>
      </c>
      <c r="AR553" t="n">
        <v>110152</v>
      </c>
      <c r="AS553" s="88">
        <f>IF(OR(AQ553&lt;=0,AR553&lt;=0),"",LN(AQ553)-LN(AR553))</f>
        <v/>
      </c>
      <c r="AT553" t="n">
        <v>10687</v>
      </c>
      <c r="AU553" t="n">
        <v>106902</v>
      </c>
      <c r="AV553" t="n">
        <v>765</v>
      </c>
      <c r="AW553" t="n">
        <v>1252</v>
      </c>
      <c r="AX553" t="n">
        <v>6884</v>
      </c>
      <c r="AY553" s="88">
        <f>IF(OR(AT553&lt;=0,AU553&lt;=0),"",LN(AT553)-LN(AU553))</f>
        <v/>
      </c>
      <c r="AZ553" s="46" t="n">
        <v>3</v>
      </c>
      <c r="BA553" s="46" t="n">
        <v>14.77</v>
      </c>
      <c r="BB553" s="47" t="n">
        <v>8.1</v>
      </c>
    </row>
    <row r="554">
      <c r="A554" s="48" t="n">
        <v>45844</v>
      </c>
      <c r="B554" s="49" t="n">
        <v>106785</v>
      </c>
      <c r="C554" s="50" t="n">
        <v>15.44</v>
      </c>
      <c r="D554" s="51" t="inlineStr">
        <is>
          <t>Moderate</t>
        </is>
      </c>
      <c r="E554" s="52" t="n">
        <v>29.1</v>
      </c>
      <c r="F554" s="52" t="n"/>
      <c r="G554" s="51" t="inlineStr">
        <is>
          <t>Sun</t>
        </is>
      </c>
      <c r="H554" s="51" t="inlineStr">
        <is>
          <t>Weekend</t>
        </is>
      </c>
      <c r="I554" s="51" t="inlineStr">
        <is>
          <t>Summer</t>
        </is>
      </c>
      <c r="J554" s="51" t="n">
        <v>25</v>
      </c>
      <c r="K554" s="51" t="inlineStr">
        <is>
          <t>강수량 공란</t>
        </is>
      </c>
      <c r="L554" s="46" t="n">
        <v>25.48</v>
      </c>
      <c r="M554" t="inlineStr">
        <is>
          <t>Good</t>
        </is>
      </c>
      <c r="N554" s="87" t="n">
        <v>25</v>
      </c>
      <c r="O554" s="87" t="n">
        <v>0</v>
      </c>
      <c r="P554" s="87" t="n">
        <v>0</v>
      </c>
      <c r="Q554" s="87" t="n">
        <v>0</v>
      </c>
      <c r="R554" s="87" t="n">
        <v>0</v>
      </c>
      <c r="S554" s="47" t="n">
        <v>2.5</v>
      </c>
      <c r="T554" s="47" t="n">
        <v>74.3</v>
      </c>
      <c r="U554" s="47" t="n"/>
      <c r="V554" s="87" t="n">
        <v>1</v>
      </c>
      <c r="W554" s="87" t="n">
        <v>0</v>
      </c>
      <c r="Y554" t="inlineStr">
        <is>
          <t>Jul</t>
        </is>
      </c>
      <c r="Z554" s="87" t="n">
        <v>2025</v>
      </c>
      <c r="AA554" s="47">
        <f>IF(F554="",0,F554)</f>
        <v/>
      </c>
      <c r="AB554" s="87">
        <f>IF(AA554&gt;=0.1,1,0)</f>
        <v/>
      </c>
      <c r="AC554" s="87" t="n">
        <v>0</v>
      </c>
      <c r="AD554" s="47">
        <f>IF(U554="",0,U554)</f>
        <v/>
      </c>
      <c r="AE554" s="87">
        <f>IF(OR(V554=1,W554=1),1,0)</f>
        <v/>
      </c>
      <c r="AF554" s="87" t="n">
        <v>0</v>
      </c>
      <c r="AG554" t="n">
        <v>7641</v>
      </c>
      <c r="AH554" t="n">
        <v>99144</v>
      </c>
      <c r="AI554" t="n">
        <v>0</v>
      </c>
      <c r="AJ554" s="88">
        <f>IF(OR(AG554&lt;=0,AH554&lt;=0),"",LN(AG554)-LN(AH554))</f>
        <v/>
      </c>
      <c r="AK554" t="n">
        <v>18057</v>
      </c>
      <c r="AL554" t="n">
        <v>88728</v>
      </c>
      <c r="AM554" s="88">
        <f>IF(OR(AK554&lt;=0,AL554&lt;=0),"",LN(AK554)-LN(AL554))</f>
        <v/>
      </c>
      <c r="AN554" t="n">
        <v>7523</v>
      </c>
      <c r="AO554" t="n">
        <v>95154</v>
      </c>
      <c r="AP554" s="88">
        <f>IF(OR(AN554&lt;=0,AO554&lt;=0),"",LN(AN554)-LN(AO554))</f>
        <v/>
      </c>
      <c r="AQ554" t="n">
        <v>7401</v>
      </c>
      <c r="AR554" t="n">
        <v>99144</v>
      </c>
      <c r="AS554" s="88">
        <f>IF(OR(AQ554&lt;=0,AR554&lt;=0),"",LN(AQ554)-LN(AR554))</f>
        <v/>
      </c>
      <c r="AT554" t="n">
        <v>10649</v>
      </c>
      <c r="AU554" t="n">
        <v>95506</v>
      </c>
      <c r="AV554" t="n">
        <v>630</v>
      </c>
      <c r="AW554" t="n">
        <v>1180</v>
      </c>
      <c r="AX554" t="n">
        <v>6402</v>
      </c>
      <c r="AY554" s="88">
        <f>IF(OR(AT554&lt;=0,AU554&lt;=0),"",LN(AT554)-LN(AU554))</f>
        <v/>
      </c>
      <c r="AZ554" s="46" t="n">
        <v>1.7</v>
      </c>
      <c r="BA554" s="46" t="n">
        <v>14.7</v>
      </c>
      <c r="BB554" s="47" t="n">
        <v>8.800000000000001</v>
      </c>
    </row>
    <row r="555">
      <c r="A555" s="48" t="n">
        <v>45845</v>
      </c>
      <c r="B555" s="49" t="n">
        <v>146663</v>
      </c>
      <c r="C555" s="50" t="n">
        <v>31.64</v>
      </c>
      <c r="D555" s="51" t="inlineStr">
        <is>
          <t>Moderate</t>
        </is>
      </c>
      <c r="E555" s="52" t="n">
        <v>29.1</v>
      </c>
      <c r="F555" s="52" t="n"/>
      <c r="G555" s="51" t="inlineStr">
        <is>
          <t>Mon</t>
        </is>
      </c>
      <c r="H555" s="51" t="inlineStr">
        <is>
          <t>Weekday</t>
        </is>
      </c>
      <c r="I555" s="51" t="inlineStr">
        <is>
          <t>Summer</t>
        </is>
      </c>
      <c r="J555" s="51" t="n">
        <v>25</v>
      </c>
      <c r="K555" s="51" t="inlineStr">
        <is>
          <t>강수량 공란</t>
        </is>
      </c>
      <c r="L555" s="46" t="n">
        <v>44.56</v>
      </c>
      <c r="M555" t="inlineStr">
        <is>
          <t>Moderate</t>
        </is>
      </c>
      <c r="N555" s="87" t="n">
        <v>25</v>
      </c>
      <c r="O555" s="87" t="n">
        <v>0</v>
      </c>
      <c r="P555" s="87" t="n">
        <v>0</v>
      </c>
      <c r="Q555" s="87" t="n">
        <v>0</v>
      </c>
      <c r="R555" s="87" t="n">
        <v>0</v>
      </c>
      <c r="S555" s="47" t="n">
        <v>1.9</v>
      </c>
      <c r="T555" s="47" t="n">
        <v>79</v>
      </c>
      <c r="U555" s="47" t="n"/>
      <c r="V555" s="87" t="n">
        <v>0</v>
      </c>
      <c r="W555" s="87" t="n">
        <v>0</v>
      </c>
      <c r="Y555" t="inlineStr">
        <is>
          <t>Jul</t>
        </is>
      </c>
      <c r="Z555" s="87" t="n">
        <v>2025</v>
      </c>
      <c r="AA555" s="47">
        <f>IF(F555="",0,F555)</f>
        <v/>
      </c>
      <c r="AB555" s="87">
        <f>IF(AA555&gt;=0.1,1,0)</f>
        <v/>
      </c>
      <c r="AC555" s="87" t="n">
        <v>0</v>
      </c>
      <c r="AD555" s="47">
        <f>IF(U555="",0,U555)</f>
        <v/>
      </c>
      <c r="AE555" s="87">
        <f>IF(OR(V555=1,W555=1),1,0)</f>
        <v/>
      </c>
      <c r="AF555" s="87" t="n">
        <v>0</v>
      </c>
      <c r="AG555" t="n">
        <v>7864</v>
      </c>
      <c r="AH555" t="n">
        <v>138799</v>
      </c>
      <c r="AI555" t="n">
        <v>0</v>
      </c>
      <c r="AJ555" s="88">
        <f>IF(OR(AG555&lt;=0,AH555&lt;=0),"",LN(AG555)-LN(AH555))</f>
        <v/>
      </c>
      <c r="AK555" t="n">
        <v>21644</v>
      </c>
      <c r="AL555" t="n">
        <v>125019</v>
      </c>
      <c r="AM555" s="88">
        <f>IF(OR(AK555&lt;=0,AL555&lt;=0),"",LN(AK555)-LN(AL555))</f>
        <v/>
      </c>
      <c r="AN555" t="n">
        <v>7718</v>
      </c>
      <c r="AO555" t="n">
        <v>133023</v>
      </c>
      <c r="AP555" s="88">
        <f>IF(OR(AN555&lt;=0,AO555&lt;=0),"",LN(AN555)-LN(AO555))</f>
        <v/>
      </c>
      <c r="AQ555" t="n">
        <v>7670</v>
      </c>
      <c r="AR555" t="n">
        <v>138799</v>
      </c>
      <c r="AS555" s="88">
        <f>IF(OR(AQ555&lt;=0,AR555&lt;=0),"",LN(AQ555)-LN(AR555))</f>
        <v/>
      </c>
      <c r="AT555" t="n">
        <v>9555</v>
      </c>
      <c r="AU555" t="n">
        <v>136243</v>
      </c>
      <c r="AV555" t="n">
        <v>866</v>
      </c>
      <c r="AW555" t="n">
        <v>738</v>
      </c>
      <c r="AX555" t="n">
        <v>7077</v>
      </c>
      <c r="AY555" s="88">
        <f>IF(OR(AT555&lt;=0,AU555&lt;=0),"",LN(AT555)-LN(AU555))</f>
        <v/>
      </c>
      <c r="AZ555" s="46" t="n">
        <v>2.5</v>
      </c>
      <c r="BA555" s="46" t="n">
        <v>11.21</v>
      </c>
      <c r="BB555" s="47" t="n">
        <v>5.8</v>
      </c>
    </row>
    <row r="556">
      <c r="A556" s="48" t="n">
        <v>45846</v>
      </c>
      <c r="B556" s="49" t="n">
        <v>115370</v>
      </c>
      <c r="C556" s="50" t="n">
        <v>27.56</v>
      </c>
      <c r="D556" s="51" t="inlineStr">
        <is>
          <t>Moderate</t>
        </is>
      </c>
      <c r="E556" s="52" t="n">
        <v>31.3</v>
      </c>
      <c r="F556" s="52" t="n">
        <v>11.8</v>
      </c>
      <c r="G556" s="51" t="inlineStr">
        <is>
          <t>Tue</t>
        </is>
      </c>
      <c r="H556" s="51" t="inlineStr">
        <is>
          <t>Weekday</t>
        </is>
      </c>
      <c r="I556" s="51" t="inlineStr">
        <is>
          <t>Summer</t>
        </is>
      </c>
      <c r="J556" s="51" t="n">
        <v>25</v>
      </c>
      <c r="K556" s="51" t="inlineStr">
        <is>
          <t>OK</t>
        </is>
      </c>
      <c r="L556" s="46" t="n">
        <v>38</v>
      </c>
      <c r="M556" t="inlineStr">
        <is>
          <t>Moderate</t>
        </is>
      </c>
      <c r="N556" s="87" t="n">
        <v>24</v>
      </c>
      <c r="O556" s="87" t="n">
        <v>0</v>
      </c>
      <c r="P556" s="87" t="n">
        <v>0</v>
      </c>
      <c r="Q556" s="87" t="n">
        <v>0</v>
      </c>
      <c r="R556" s="87" t="n">
        <v>0</v>
      </c>
      <c r="S556" s="47" t="n">
        <v>1.9</v>
      </c>
      <c r="T556" s="47" t="n">
        <v>72.5</v>
      </c>
      <c r="U556" s="47" t="n"/>
      <c r="V556" s="87" t="n">
        <v>0</v>
      </c>
      <c r="W556" s="87" t="n">
        <v>0</v>
      </c>
      <c r="Y556" t="inlineStr">
        <is>
          <t>Jul</t>
        </is>
      </c>
      <c r="Z556" s="87" t="n">
        <v>2025</v>
      </c>
      <c r="AA556" s="47">
        <f>IF(F556="",0,F556)</f>
        <v/>
      </c>
      <c r="AB556" s="87">
        <f>IF(AA556&gt;=0.1,1,0)</f>
        <v/>
      </c>
      <c r="AC556" s="87" t="n">
        <v>0</v>
      </c>
      <c r="AD556" s="47">
        <f>IF(U556="",0,U556)</f>
        <v/>
      </c>
      <c r="AE556" s="87">
        <f>IF(OR(V556=1,W556=1),1,0)</f>
        <v/>
      </c>
      <c r="AF556" s="87" t="n">
        <v>0</v>
      </c>
      <c r="AG556" t="n">
        <v>5235</v>
      </c>
      <c r="AH556" t="n">
        <v>110135</v>
      </c>
      <c r="AI556" t="n">
        <v>0</v>
      </c>
      <c r="AJ556" s="88">
        <f>IF(OR(AG556&lt;=0,AH556&lt;=0),"",LN(AG556)-LN(AH556))</f>
        <v/>
      </c>
      <c r="AK556" t="n">
        <v>15627</v>
      </c>
      <c r="AL556" t="n">
        <v>99743</v>
      </c>
      <c r="AM556" s="88">
        <f>IF(OR(AK556&lt;=0,AL556&lt;=0),"",LN(AK556)-LN(AL556))</f>
        <v/>
      </c>
      <c r="AN556" t="n">
        <v>5151</v>
      </c>
      <c r="AO556" t="n">
        <v>105385</v>
      </c>
      <c r="AP556" s="88">
        <f>IF(OR(AN556&lt;=0,AO556&lt;=0),"",LN(AN556)-LN(AO556))</f>
        <v/>
      </c>
      <c r="AQ556" t="n">
        <v>5094</v>
      </c>
      <c r="AR556" t="n">
        <v>110135</v>
      </c>
      <c r="AS556" s="88">
        <f>IF(OR(AQ556&lt;=0,AR556&lt;=0),"",LN(AQ556)-LN(AR556))</f>
        <v/>
      </c>
      <c r="AT556" t="n">
        <v>7201</v>
      </c>
      <c r="AU556" t="n">
        <v>107379</v>
      </c>
      <c r="AV556" t="n">
        <v>791</v>
      </c>
      <c r="AW556" t="n">
        <v>488</v>
      </c>
      <c r="AX556" t="n">
        <v>4706</v>
      </c>
      <c r="AY556" s="88">
        <f>IF(OR(AT556&lt;=0,AU556&lt;=0),"",LN(AT556)-LN(AU556))</f>
        <v/>
      </c>
      <c r="AZ556" s="46" t="n">
        <v>8.4</v>
      </c>
      <c r="BA556" s="46" t="n">
        <v>22.64</v>
      </c>
      <c r="BB556" s="47" t="n">
        <v>4.3</v>
      </c>
    </row>
    <row r="557">
      <c r="A557" s="48" t="n">
        <v>45847</v>
      </c>
      <c r="B557" s="49" t="n">
        <v>136302</v>
      </c>
      <c r="C557" s="50" t="n">
        <v>15.28</v>
      </c>
      <c r="D557" s="51" t="inlineStr">
        <is>
          <t>Moderate</t>
        </is>
      </c>
      <c r="E557" s="52" t="n">
        <v>31.9</v>
      </c>
      <c r="F557" s="52" t="n"/>
      <c r="G557" s="51" t="inlineStr">
        <is>
          <t>Wed</t>
        </is>
      </c>
      <c r="H557" s="51" t="inlineStr">
        <is>
          <t>Weekday</t>
        </is>
      </c>
      <c r="I557" s="51" t="inlineStr">
        <is>
          <t>Summer</t>
        </is>
      </c>
      <c r="J557" s="51" t="n">
        <v>25</v>
      </c>
      <c r="K557" s="51" t="inlineStr">
        <is>
          <t>강수량 공란</t>
        </is>
      </c>
      <c r="L557" s="46" t="n">
        <v>22.08</v>
      </c>
      <c r="M557" t="inlineStr">
        <is>
          <t>Good</t>
        </is>
      </c>
      <c r="N557" s="87" t="n">
        <v>25</v>
      </c>
      <c r="O557" s="87" t="n">
        <v>0</v>
      </c>
      <c r="P557" s="87" t="n">
        <v>0</v>
      </c>
      <c r="Q557" s="87" t="n">
        <v>0</v>
      </c>
      <c r="R557" s="87" t="n">
        <v>0</v>
      </c>
      <c r="S557" s="47" t="n">
        <v>2.2</v>
      </c>
      <c r="T557" s="47" t="n">
        <v>61.1</v>
      </c>
      <c r="U557" s="47" t="n"/>
      <c r="V557" s="87" t="n">
        <v>0</v>
      </c>
      <c r="W557" s="87" t="n">
        <v>0</v>
      </c>
      <c r="Y557" t="inlineStr">
        <is>
          <t>Jul</t>
        </is>
      </c>
      <c r="Z557" s="87" t="n">
        <v>2025</v>
      </c>
      <c r="AA557" s="47">
        <f>IF(F557="",0,F557)</f>
        <v/>
      </c>
      <c r="AB557" s="87">
        <f>IF(AA557&gt;=0.1,1,0)</f>
        <v/>
      </c>
      <c r="AC557" s="87" t="n">
        <v>0</v>
      </c>
      <c r="AD557" s="47">
        <f>IF(U557="",0,U557)</f>
        <v/>
      </c>
      <c r="AE557" s="87">
        <f>IF(OR(V557=1,W557=1),1,0)</f>
        <v/>
      </c>
      <c r="AF557" s="87" t="n">
        <v>0</v>
      </c>
      <c r="AG557" t="n">
        <v>7137</v>
      </c>
      <c r="AH557" t="n">
        <v>129165</v>
      </c>
      <c r="AI557" t="n">
        <v>0</v>
      </c>
      <c r="AJ557" s="88">
        <f>IF(OR(AG557&lt;=0,AH557&lt;=0),"",LN(AG557)-LN(AH557))</f>
        <v/>
      </c>
      <c r="AK557" t="n">
        <v>19989</v>
      </c>
      <c r="AL557" t="n">
        <v>116313</v>
      </c>
      <c r="AM557" s="88">
        <f>IF(OR(AK557&lt;=0,AL557&lt;=0),"",LN(AK557)-LN(AL557))</f>
        <v/>
      </c>
      <c r="AN557" t="n">
        <v>7017</v>
      </c>
      <c r="AO557" t="n">
        <v>123575</v>
      </c>
      <c r="AP557" s="88">
        <f>IF(OR(AN557&lt;=0,AO557&lt;=0),"",LN(AN557)-LN(AO557))</f>
        <v/>
      </c>
      <c r="AQ557" t="n">
        <v>6966</v>
      </c>
      <c r="AR557" t="n">
        <v>129165</v>
      </c>
      <c r="AS557" s="88">
        <f>IF(OR(AQ557&lt;=0,AR557&lt;=0),"",LN(AQ557)-LN(AR557))</f>
        <v/>
      </c>
      <c r="AT557" t="n">
        <v>8494</v>
      </c>
      <c r="AU557" t="n">
        <v>126892</v>
      </c>
      <c r="AV557" t="n">
        <v>921</v>
      </c>
      <c r="AW557" t="n">
        <v>657</v>
      </c>
      <c r="AX557" t="n">
        <v>6425</v>
      </c>
      <c r="AY557" s="88">
        <f>IF(OR(AT557&lt;=0,AU557&lt;=0),"",LN(AT557)-LN(AU557))</f>
        <v/>
      </c>
      <c r="AZ557" s="46" t="n">
        <v>8</v>
      </c>
      <c r="BA557" s="46" t="n">
        <v>23.55</v>
      </c>
      <c r="BB557" s="47" t="n">
        <v>3.4</v>
      </c>
    </row>
    <row r="558">
      <c r="A558" s="48" t="n">
        <v>45848</v>
      </c>
      <c r="B558" s="49" t="n">
        <v>139732</v>
      </c>
      <c r="C558" s="50" t="n">
        <v>8.24</v>
      </c>
      <c r="D558" s="51" t="inlineStr">
        <is>
          <t>Good</t>
        </is>
      </c>
      <c r="E558" s="52" t="n">
        <v>31.4</v>
      </c>
      <c r="F558" s="52" t="n"/>
      <c r="G558" s="51" t="inlineStr">
        <is>
          <t>Thu</t>
        </is>
      </c>
      <c r="H558" s="51" t="inlineStr">
        <is>
          <t>Weekday</t>
        </is>
      </c>
      <c r="I558" s="51" t="inlineStr">
        <is>
          <t>Summer</t>
        </is>
      </c>
      <c r="J558" s="51" t="n">
        <v>25</v>
      </c>
      <c r="K558" s="51" t="inlineStr">
        <is>
          <t>강수량 공란</t>
        </is>
      </c>
      <c r="L558" s="46" t="n">
        <v>15.96</v>
      </c>
      <c r="M558" t="inlineStr">
        <is>
          <t>Good</t>
        </is>
      </c>
      <c r="N558" s="87" t="n">
        <v>25</v>
      </c>
      <c r="O558" s="87" t="n">
        <v>0</v>
      </c>
      <c r="P558" s="87" t="n">
        <v>0</v>
      </c>
      <c r="Q558" s="87" t="n">
        <v>0</v>
      </c>
      <c r="R558" s="87" t="n">
        <v>0</v>
      </c>
      <c r="S558" s="47" t="n">
        <v>2.9</v>
      </c>
      <c r="T558" s="47" t="n">
        <v>46.6</v>
      </c>
      <c r="U558" s="47" t="n"/>
      <c r="V558" s="87" t="n">
        <v>0</v>
      </c>
      <c r="W558" s="87" t="n">
        <v>0</v>
      </c>
      <c r="Y558" t="inlineStr">
        <is>
          <t>Jul</t>
        </is>
      </c>
      <c r="Z558" s="87" t="n">
        <v>2025</v>
      </c>
      <c r="AA558" s="47">
        <f>IF(F558="",0,F558)</f>
        <v/>
      </c>
      <c r="AB558" s="87">
        <f>IF(AA558&gt;=0.1,1,0)</f>
        <v/>
      </c>
      <c r="AC558" s="87" t="n">
        <v>0</v>
      </c>
      <c r="AD558" s="47">
        <f>IF(U558="",0,U558)</f>
        <v/>
      </c>
      <c r="AE558" s="87">
        <f>IF(OR(V558=1,W558=1),1,0)</f>
        <v/>
      </c>
      <c r="AF558" s="87" t="n">
        <v>0</v>
      </c>
      <c r="AG558" t="n">
        <v>7524</v>
      </c>
      <c r="AH558" t="n">
        <v>132208</v>
      </c>
      <c r="AI558" t="n">
        <v>0</v>
      </c>
      <c r="AJ558" s="88">
        <f>IF(OR(AG558&lt;=0,AH558&lt;=0),"",LN(AG558)-LN(AH558))</f>
        <v/>
      </c>
      <c r="AK558" t="n">
        <v>20613</v>
      </c>
      <c r="AL558" t="n">
        <v>119119</v>
      </c>
      <c r="AM558" s="88">
        <f>IF(OR(AK558&lt;=0,AL558&lt;=0),"",LN(AK558)-LN(AL558))</f>
        <v/>
      </c>
      <c r="AN558" t="n">
        <v>7399</v>
      </c>
      <c r="AO558" t="n">
        <v>126404</v>
      </c>
      <c r="AP558" s="88">
        <f>IF(OR(AN558&lt;=0,AO558&lt;=0),"",LN(AN558)-LN(AO558))</f>
        <v/>
      </c>
      <c r="AQ558" t="n">
        <v>7318</v>
      </c>
      <c r="AR558" t="n">
        <v>132208</v>
      </c>
      <c r="AS558" s="88">
        <f>IF(OR(AQ558&lt;=0,AR558&lt;=0),"",LN(AQ558)-LN(AR558))</f>
        <v/>
      </c>
      <c r="AT558" t="n">
        <v>8719</v>
      </c>
      <c r="AU558" t="n">
        <v>130015</v>
      </c>
      <c r="AV558" t="n">
        <v>999</v>
      </c>
      <c r="AW558" t="n">
        <v>730</v>
      </c>
      <c r="AX558" t="n">
        <v>6734</v>
      </c>
      <c r="AY558" s="88">
        <f>IF(OR(AT558&lt;=0,AU558&lt;=0),"",LN(AT558)-LN(AU558))</f>
        <v/>
      </c>
      <c r="AZ558" s="46" t="n">
        <v>13.3</v>
      </c>
      <c r="BA558" s="46" t="n">
        <v>29.95</v>
      </c>
      <c r="BB558" s="47" t="n">
        <v>0.4</v>
      </c>
    </row>
    <row r="559">
      <c r="A559" s="48" t="n">
        <v>45849</v>
      </c>
      <c r="B559" s="49" t="n">
        <v>144181</v>
      </c>
      <c r="C559" s="50" t="n">
        <v>6.96</v>
      </c>
      <c r="D559" s="51" t="inlineStr">
        <is>
          <t>Good</t>
        </is>
      </c>
      <c r="E559" s="52" t="n">
        <v>30.2</v>
      </c>
      <c r="F559" s="52" t="n"/>
      <c r="G559" s="51" t="inlineStr">
        <is>
          <t>Fri</t>
        </is>
      </c>
      <c r="H559" s="51" t="inlineStr">
        <is>
          <t>Weekday</t>
        </is>
      </c>
      <c r="I559" s="51" t="inlineStr">
        <is>
          <t>Summer</t>
        </is>
      </c>
      <c r="J559" s="51" t="n">
        <v>25</v>
      </c>
      <c r="K559" s="51" t="inlineStr">
        <is>
          <t>강수량 공란</t>
        </is>
      </c>
      <c r="L559" s="46" t="n">
        <v>14.16</v>
      </c>
      <c r="M559" t="inlineStr">
        <is>
          <t>Good</t>
        </is>
      </c>
      <c r="N559" s="87" t="n">
        <v>25</v>
      </c>
      <c r="O559" s="87" t="n">
        <v>0</v>
      </c>
      <c r="P559" s="87" t="n">
        <v>0</v>
      </c>
      <c r="Q559" s="87" t="n">
        <v>0</v>
      </c>
      <c r="R559" s="87" t="n">
        <v>0</v>
      </c>
      <c r="S559" s="47" t="n">
        <v>3.3</v>
      </c>
      <c r="T559" s="47" t="n">
        <v>47.1</v>
      </c>
      <c r="U559" s="47" t="n"/>
      <c r="V559" s="87" t="n">
        <v>0</v>
      </c>
      <c r="W559" s="87" t="n">
        <v>0</v>
      </c>
      <c r="Y559" t="inlineStr">
        <is>
          <t>Jul</t>
        </is>
      </c>
      <c r="Z559" s="87" t="n">
        <v>2025</v>
      </c>
      <c r="AA559" s="47">
        <f>IF(F559="",0,F559)</f>
        <v/>
      </c>
      <c r="AB559" s="87">
        <f>IF(AA559&gt;=0.1,1,0)</f>
        <v/>
      </c>
      <c r="AC559" s="87" t="n">
        <v>0</v>
      </c>
      <c r="AD559" s="47">
        <f>IF(U559="",0,U559)</f>
        <v/>
      </c>
      <c r="AE559" s="87">
        <f>IF(OR(V559=1,W559=1),1,0)</f>
        <v/>
      </c>
      <c r="AF559" s="87" t="n">
        <v>0</v>
      </c>
      <c r="AG559" t="n">
        <v>7936</v>
      </c>
      <c r="AH559" t="n">
        <v>136245</v>
      </c>
      <c r="AI559" t="n">
        <v>0</v>
      </c>
      <c r="AJ559" s="88">
        <f>IF(OR(AG559&lt;=0,AH559&lt;=0),"",LN(AG559)-LN(AH559))</f>
        <v/>
      </c>
      <c r="AK559" t="n">
        <v>21313</v>
      </c>
      <c r="AL559" t="n">
        <v>122868</v>
      </c>
      <c r="AM559" s="88">
        <f>IF(OR(AK559&lt;=0,AL559&lt;=0),"",LN(AK559)-LN(AL559))</f>
        <v/>
      </c>
      <c r="AN559" t="n">
        <v>7803</v>
      </c>
      <c r="AO559" t="n">
        <v>130387</v>
      </c>
      <c r="AP559" s="88">
        <f>IF(OR(AN559&lt;=0,AO559&lt;=0),"",LN(AN559)-LN(AO559))</f>
        <v/>
      </c>
      <c r="AQ559" t="n">
        <v>7703</v>
      </c>
      <c r="AR559" t="n">
        <v>136245</v>
      </c>
      <c r="AS559" s="88">
        <f>IF(OR(AQ559&lt;=0,AR559&lt;=0),"",LN(AQ559)-LN(AR559))</f>
        <v/>
      </c>
      <c r="AT559" t="n">
        <v>9428</v>
      </c>
      <c r="AU559" t="n">
        <v>133769</v>
      </c>
      <c r="AV559" t="n">
        <v>984</v>
      </c>
      <c r="AW559" t="n">
        <v>825</v>
      </c>
      <c r="AX559" t="n">
        <v>7046</v>
      </c>
      <c r="AY559" s="88">
        <f>IF(OR(AT559&lt;=0,AU559&lt;=0),"",LN(AT559)-LN(AU559))</f>
        <v/>
      </c>
      <c r="AZ559" s="46" t="n">
        <v>13.5</v>
      </c>
      <c r="BA559" s="46" t="n">
        <v>30.35</v>
      </c>
      <c r="BB559" s="47" t="n">
        <v>0.1</v>
      </c>
    </row>
    <row r="560">
      <c r="A560" s="48" t="n">
        <v>45850</v>
      </c>
      <c r="B560" s="49" t="n">
        <v>109929</v>
      </c>
      <c r="C560" s="50" t="n">
        <v>7.12</v>
      </c>
      <c r="D560" s="51" t="inlineStr">
        <is>
          <t>Good</t>
        </is>
      </c>
      <c r="E560" s="52" t="n">
        <v>30.3</v>
      </c>
      <c r="F560" s="52" t="n"/>
      <c r="G560" s="51" t="inlineStr">
        <is>
          <t>Sat</t>
        </is>
      </c>
      <c r="H560" s="51" t="inlineStr">
        <is>
          <t>Weekend</t>
        </is>
      </c>
      <c r="I560" s="51" t="inlineStr">
        <is>
          <t>Summer</t>
        </is>
      </c>
      <c r="J560" s="51" t="n">
        <v>25</v>
      </c>
      <c r="K560" s="51" t="inlineStr">
        <is>
          <t>강수량 공란</t>
        </is>
      </c>
      <c r="L560" s="46" t="n">
        <v>14.28</v>
      </c>
      <c r="M560" t="inlineStr">
        <is>
          <t>Good</t>
        </is>
      </c>
      <c r="N560" s="87" t="n">
        <v>25</v>
      </c>
      <c r="O560" s="87" t="n">
        <v>0</v>
      </c>
      <c r="P560" s="87" t="n">
        <v>0</v>
      </c>
      <c r="Q560" s="87" t="n">
        <v>0</v>
      </c>
      <c r="R560" s="87" t="n">
        <v>0</v>
      </c>
      <c r="S560" s="47" t="n">
        <v>2.3</v>
      </c>
      <c r="T560" s="47" t="n">
        <v>47.5</v>
      </c>
      <c r="U560" s="47" t="n"/>
      <c r="V560" s="87" t="n">
        <v>1</v>
      </c>
      <c r="W560" s="87" t="n">
        <v>0</v>
      </c>
      <c r="Y560" t="inlineStr">
        <is>
          <t>Jul</t>
        </is>
      </c>
      <c r="Z560" s="87" t="n">
        <v>2025</v>
      </c>
      <c r="AA560" s="47">
        <f>IF(F560="",0,F560)</f>
        <v/>
      </c>
      <c r="AB560" s="87">
        <f>IF(AA560&gt;=0.1,1,0)</f>
        <v/>
      </c>
      <c r="AC560" s="87" t="n">
        <v>0</v>
      </c>
      <c r="AD560" s="47">
        <f>IF(U560="",0,U560)</f>
        <v/>
      </c>
      <c r="AE560" s="87">
        <f>IF(OR(V560=1,W560=1),1,0)</f>
        <v/>
      </c>
      <c r="AF560" s="87" t="n">
        <v>0</v>
      </c>
      <c r="AG560" t="n">
        <v>7622</v>
      </c>
      <c r="AH560" t="n">
        <v>102307</v>
      </c>
      <c r="AI560" t="n">
        <v>0</v>
      </c>
      <c r="AJ560" s="88">
        <f>IF(OR(AG560&lt;=0,AH560&lt;=0),"",LN(AG560)-LN(AH560))</f>
        <v/>
      </c>
      <c r="AK560" t="n">
        <v>18148</v>
      </c>
      <c r="AL560" t="n">
        <v>91781</v>
      </c>
      <c r="AM560" s="88">
        <f>IF(OR(AK560&lt;=0,AL560&lt;=0),"",LN(AK560)-LN(AL560))</f>
        <v/>
      </c>
      <c r="AN560" t="n">
        <v>7479</v>
      </c>
      <c r="AO560" t="n">
        <v>98018</v>
      </c>
      <c r="AP560" s="88">
        <f>IF(OR(AN560&lt;=0,AO560&lt;=0),"",LN(AN560)-LN(AO560))</f>
        <v/>
      </c>
      <c r="AQ560" t="n">
        <v>7369</v>
      </c>
      <c r="AR560" t="n">
        <v>102307</v>
      </c>
      <c r="AS560" s="88">
        <f>IF(OR(AQ560&lt;=0,AR560&lt;=0),"",LN(AQ560)-LN(AR560))</f>
        <v/>
      </c>
      <c r="AT560" t="n">
        <v>10143</v>
      </c>
      <c r="AU560" t="n">
        <v>99065</v>
      </c>
      <c r="AV560" t="n">
        <v>721</v>
      </c>
      <c r="AW560" t="n">
        <v>1125</v>
      </c>
      <c r="AX560" t="n">
        <v>6448</v>
      </c>
      <c r="AY560" s="88">
        <f>IF(OR(AT560&lt;=0,AU560&lt;=0),"",LN(AT560)-LN(AU560))</f>
        <v/>
      </c>
      <c r="AZ560" s="46" t="n">
        <v>13.2</v>
      </c>
      <c r="BA560" s="46" t="n">
        <v>30.02</v>
      </c>
      <c r="BB560" s="47" t="n">
        <v>2.6</v>
      </c>
    </row>
    <row r="561">
      <c r="A561" s="48" t="n">
        <v>45851</v>
      </c>
      <c r="B561" s="49" t="n">
        <v>90889</v>
      </c>
      <c r="C561" s="50" t="n">
        <v>19.2</v>
      </c>
      <c r="D561" s="51" t="inlineStr">
        <is>
          <t>Moderate</t>
        </is>
      </c>
      <c r="E561" s="52" t="n">
        <v>27.7</v>
      </c>
      <c r="F561" s="52" t="n">
        <v>0</v>
      </c>
      <c r="G561" s="51" t="inlineStr">
        <is>
          <t>Sun</t>
        </is>
      </c>
      <c r="H561" s="51" t="inlineStr">
        <is>
          <t>Weekend</t>
        </is>
      </c>
      <c r="I561" s="51" t="inlineStr">
        <is>
          <t>Summer</t>
        </is>
      </c>
      <c r="J561" s="51" t="n">
        <v>25</v>
      </c>
      <c r="K561" s="51" t="inlineStr">
        <is>
          <t>OK</t>
        </is>
      </c>
      <c r="L561" s="46" t="n">
        <v>29.56</v>
      </c>
      <c r="M561" t="inlineStr">
        <is>
          <t>Good</t>
        </is>
      </c>
      <c r="N561" s="87" t="n">
        <v>25</v>
      </c>
      <c r="O561" s="87" t="n">
        <v>0</v>
      </c>
      <c r="P561" s="87" t="n">
        <v>0</v>
      </c>
      <c r="Q561" s="87" t="n">
        <v>0</v>
      </c>
      <c r="R561" s="87" t="n">
        <v>0</v>
      </c>
      <c r="S561" s="47" t="n">
        <v>1.5</v>
      </c>
      <c r="T561" s="47" t="n">
        <v>66.8</v>
      </c>
      <c r="U561" s="47" t="n"/>
      <c r="V561" s="87" t="n">
        <v>1</v>
      </c>
      <c r="W561" s="87" t="n">
        <v>0</v>
      </c>
      <c r="Y561" t="inlineStr">
        <is>
          <t>Jul</t>
        </is>
      </c>
      <c r="Z561" s="87" t="n">
        <v>2025</v>
      </c>
      <c r="AA561" s="47">
        <f>IF(F561="",0,F561)</f>
        <v/>
      </c>
      <c r="AB561" s="87">
        <f>IF(AA561&gt;=0.1,1,0)</f>
        <v/>
      </c>
      <c r="AC561" s="87" t="n">
        <v>1</v>
      </c>
      <c r="AD561" s="47">
        <f>IF(U561="",0,U561)</f>
        <v/>
      </c>
      <c r="AE561" s="87">
        <f>IF(OR(V561=1,W561=1),1,0)</f>
        <v/>
      </c>
      <c r="AF561" s="87" t="n">
        <v>0</v>
      </c>
      <c r="AG561" t="n">
        <v>6554</v>
      </c>
      <c r="AH561" t="n">
        <v>84335</v>
      </c>
      <c r="AI561" t="n">
        <v>0</v>
      </c>
      <c r="AJ561" s="88">
        <f>IF(OR(AG561&lt;=0,AH561&lt;=0),"",LN(AG561)-LN(AH561))</f>
        <v/>
      </c>
      <c r="AK561" t="n">
        <v>14926</v>
      </c>
      <c r="AL561" t="n">
        <v>75963</v>
      </c>
      <c r="AM561" s="88">
        <f>IF(OR(AK561&lt;=0,AL561&lt;=0),"",LN(AK561)-LN(AL561))</f>
        <v/>
      </c>
      <c r="AN561" t="n">
        <v>6447</v>
      </c>
      <c r="AO561" t="n">
        <v>81033</v>
      </c>
      <c r="AP561" s="88">
        <f>IF(OR(AN561&lt;=0,AO561&lt;=0),"",LN(AN561)-LN(AO561))</f>
        <v/>
      </c>
      <c r="AQ561" t="n">
        <v>6302</v>
      </c>
      <c r="AR561" t="n">
        <v>84335</v>
      </c>
      <c r="AS561" s="88">
        <f>IF(OR(AQ561&lt;=0,AR561&lt;=0),"",LN(AQ561)-LN(AR561))</f>
        <v/>
      </c>
      <c r="AT561" t="n">
        <v>9287</v>
      </c>
      <c r="AU561" t="n">
        <v>81128</v>
      </c>
      <c r="AV561" t="n">
        <v>475</v>
      </c>
      <c r="AW561" t="n">
        <v>1064</v>
      </c>
      <c r="AX561" t="n">
        <v>5458</v>
      </c>
      <c r="AY561" s="88">
        <f>IF(OR(AT561&lt;=0,AU561&lt;=0),"",LN(AT561)-LN(AU561))</f>
        <v/>
      </c>
      <c r="AZ561" s="46" t="n">
        <v>1.7</v>
      </c>
      <c r="BA561" s="46" t="n">
        <v>10.39</v>
      </c>
      <c r="BB561" s="47" t="n">
        <v>9</v>
      </c>
    </row>
    <row r="562">
      <c r="A562" s="48" t="n">
        <v>45852</v>
      </c>
      <c r="B562" s="49" t="n">
        <v>67420</v>
      </c>
      <c r="C562" s="50" t="n">
        <v>12.72</v>
      </c>
      <c r="D562" s="51" t="inlineStr">
        <is>
          <t>Good</t>
        </is>
      </c>
      <c r="E562" s="52" t="n">
        <v>24.2</v>
      </c>
      <c r="F562" s="52" t="n">
        <v>13.6</v>
      </c>
      <c r="G562" s="51" t="inlineStr">
        <is>
          <t>Mon</t>
        </is>
      </c>
      <c r="H562" s="51" t="inlineStr">
        <is>
          <t>Weekday</t>
        </is>
      </c>
      <c r="I562" s="51" t="inlineStr">
        <is>
          <t>Summer</t>
        </is>
      </c>
      <c r="J562" s="51" t="n">
        <v>25</v>
      </c>
      <c r="K562" s="51" t="inlineStr">
        <is>
          <t>OK</t>
        </is>
      </c>
      <c r="L562" s="46" t="n">
        <v>20.56</v>
      </c>
      <c r="M562" t="inlineStr">
        <is>
          <t>Good</t>
        </is>
      </c>
      <c r="N562" s="87" t="n">
        <v>25</v>
      </c>
      <c r="O562" s="87" t="n">
        <v>0</v>
      </c>
      <c r="P562" s="87" t="n">
        <v>0</v>
      </c>
      <c r="Q562" s="87" t="n">
        <v>0</v>
      </c>
      <c r="R562" s="87" t="n">
        <v>0</v>
      </c>
      <c r="S562" s="47" t="n">
        <v>2</v>
      </c>
      <c r="T562" s="47" t="n">
        <v>78.3</v>
      </c>
      <c r="U562" s="47" t="n"/>
      <c r="V562" s="87" t="n">
        <v>0</v>
      </c>
      <c r="W562" s="87" t="n">
        <v>0</v>
      </c>
      <c r="Y562" t="inlineStr">
        <is>
          <t>Jul</t>
        </is>
      </c>
      <c r="Z562" s="87" t="n">
        <v>2025</v>
      </c>
      <c r="AA562" s="47">
        <f>IF(F562="",0,F562)</f>
        <v/>
      </c>
      <c r="AB562" s="87">
        <f>IF(AA562&gt;=0.1,1,0)</f>
        <v/>
      </c>
      <c r="AC562" s="87" t="n">
        <v>0</v>
      </c>
      <c r="AD562" s="47">
        <f>IF(U562="",0,U562)</f>
        <v/>
      </c>
      <c r="AE562" s="87">
        <f>IF(OR(V562=1,W562=1),1,0)</f>
        <v/>
      </c>
      <c r="AF562" s="87" t="n">
        <v>0</v>
      </c>
      <c r="AG562" t="n">
        <v>3383</v>
      </c>
      <c r="AH562" t="n">
        <v>64037</v>
      </c>
      <c r="AI562" t="n">
        <v>0</v>
      </c>
      <c r="AJ562" s="88">
        <f>IF(OR(AG562&lt;=0,AH562&lt;=0),"",LN(AG562)-LN(AH562))</f>
        <v/>
      </c>
      <c r="AK562" t="n">
        <v>9185</v>
      </c>
      <c r="AL562" t="n">
        <v>58235</v>
      </c>
      <c r="AM562" s="88">
        <f>IF(OR(AK562&lt;=0,AL562&lt;=0),"",LN(AK562)-LN(AL562))</f>
        <v/>
      </c>
      <c r="AN562" t="n">
        <v>3343</v>
      </c>
      <c r="AO562" t="n">
        <v>61427</v>
      </c>
      <c r="AP562" s="88">
        <f>IF(OR(AN562&lt;=0,AO562&lt;=0),"",LN(AN562)-LN(AO562))</f>
        <v/>
      </c>
      <c r="AQ562" t="n">
        <v>3287</v>
      </c>
      <c r="AR562" t="n">
        <v>64037</v>
      </c>
      <c r="AS562" s="88">
        <f>IF(OR(AQ562&lt;=0,AR562&lt;=0),"",LN(AQ562)-LN(AR562))</f>
        <v/>
      </c>
      <c r="AT562" t="n">
        <v>3786</v>
      </c>
      <c r="AU562" t="n">
        <v>63179</v>
      </c>
      <c r="AV562" t="n">
        <v>458</v>
      </c>
      <c r="AW562" t="n">
        <v>253</v>
      </c>
      <c r="AX562" t="n">
        <v>3111</v>
      </c>
      <c r="AY562" s="88">
        <f>IF(OR(AT562&lt;=0,AU562&lt;=0),"",LN(AT562)-LN(AU562))</f>
        <v/>
      </c>
      <c r="AZ562" s="46" t="n">
        <v>0.5</v>
      </c>
      <c r="BA562" s="46" t="n">
        <v>7.19</v>
      </c>
      <c r="BB562" s="47" t="n">
        <v>8.4</v>
      </c>
    </row>
    <row r="563">
      <c r="A563" s="48" t="n">
        <v>45853</v>
      </c>
      <c r="B563" s="49" t="n">
        <v>109498</v>
      </c>
      <c r="C563" s="50" t="n">
        <v>4.28</v>
      </c>
      <c r="D563" s="51" t="inlineStr">
        <is>
          <t>Good</t>
        </is>
      </c>
      <c r="E563" s="52" t="n">
        <v>23.6</v>
      </c>
      <c r="F563" s="52" t="n">
        <v>4</v>
      </c>
      <c r="G563" s="51" t="inlineStr">
        <is>
          <t>Tue</t>
        </is>
      </c>
      <c r="H563" s="51" t="inlineStr">
        <is>
          <t>Weekday</t>
        </is>
      </c>
      <c r="I563" s="51" t="inlineStr">
        <is>
          <t>Summer</t>
        </is>
      </c>
      <c r="J563" s="51" t="n">
        <v>25</v>
      </c>
      <c r="K563" s="51" t="inlineStr">
        <is>
          <t>OK</t>
        </is>
      </c>
      <c r="L563" s="46" t="n">
        <v>9.24</v>
      </c>
      <c r="M563" t="inlineStr">
        <is>
          <t>Good</t>
        </is>
      </c>
      <c r="N563" s="87" t="n">
        <v>25</v>
      </c>
      <c r="O563" s="87" t="n">
        <v>0</v>
      </c>
      <c r="P563" s="87" t="n">
        <v>0</v>
      </c>
      <c r="Q563" s="87" t="n">
        <v>0</v>
      </c>
      <c r="R563" s="87" t="n">
        <v>0</v>
      </c>
      <c r="S563" s="47" t="n">
        <v>2.3</v>
      </c>
      <c r="T563" s="47" t="n">
        <v>84.09999999999999</v>
      </c>
      <c r="U563" s="47" t="n"/>
      <c r="V563" s="87" t="n">
        <v>0</v>
      </c>
      <c r="W563" s="87" t="n">
        <v>0</v>
      </c>
      <c r="Y563" t="inlineStr">
        <is>
          <t>Jul</t>
        </is>
      </c>
      <c r="Z563" s="87" t="n">
        <v>2025</v>
      </c>
      <c r="AA563" s="47">
        <f>IF(F563="",0,F563)</f>
        <v/>
      </c>
      <c r="AB563" s="87">
        <f>IF(AA563&gt;=0.1,1,0)</f>
        <v/>
      </c>
      <c r="AC563" s="87" t="n">
        <v>0</v>
      </c>
      <c r="AD563" s="47">
        <f>IF(U563="",0,U563)</f>
        <v/>
      </c>
      <c r="AE563" s="87">
        <f>IF(OR(V563=1,W563=1),1,0)</f>
        <v/>
      </c>
      <c r="AF563" s="87" t="n">
        <v>0</v>
      </c>
      <c r="AG563" t="n">
        <v>6206</v>
      </c>
      <c r="AH563" t="n">
        <v>103292</v>
      </c>
      <c r="AI563" t="n">
        <v>0</v>
      </c>
      <c r="AJ563" s="88">
        <f>IF(OR(AG563&lt;=0,AH563&lt;=0),"",LN(AG563)-LN(AH563))</f>
        <v/>
      </c>
      <c r="AK563" t="n">
        <v>16327</v>
      </c>
      <c r="AL563" t="n">
        <v>93171</v>
      </c>
      <c r="AM563" s="88">
        <f>IF(OR(AK563&lt;=0,AL563&lt;=0),"",LN(AK563)-LN(AL563))</f>
        <v/>
      </c>
      <c r="AN563" t="n">
        <v>6081</v>
      </c>
      <c r="AO563" t="n">
        <v>98870</v>
      </c>
      <c r="AP563" s="88">
        <f>IF(OR(AN563&lt;=0,AO563&lt;=0),"",LN(AN563)-LN(AO563))</f>
        <v/>
      </c>
      <c r="AQ563" t="n">
        <v>6027</v>
      </c>
      <c r="AR563" t="n">
        <v>103292</v>
      </c>
      <c r="AS563" s="88">
        <f>IF(OR(AQ563&lt;=0,AR563&lt;=0),"",LN(AQ563)-LN(AR563))</f>
        <v/>
      </c>
      <c r="AT563" t="n">
        <v>7152</v>
      </c>
      <c r="AU563" t="n">
        <v>101531</v>
      </c>
      <c r="AV563" t="n">
        <v>816</v>
      </c>
      <c r="AW563" t="n">
        <v>628</v>
      </c>
      <c r="AX563" t="n">
        <v>5533</v>
      </c>
      <c r="AY563" s="88">
        <f>IF(OR(AT563&lt;=0,AU563&lt;=0),"",LN(AT563)-LN(AU563))</f>
        <v/>
      </c>
      <c r="AZ563" s="46" t="n">
        <v>0.6</v>
      </c>
      <c r="BA563" s="46" t="n">
        <v>10.03</v>
      </c>
      <c r="BB563" s="47" t="n">
        <v>9.300000000000001</v>
      </c>
    </row>
    <row r="564">
      <c r="A564" s="48" t="n">
        <v>45854</v>
      </c>
      <c r="B564" s="49" t="n">
        <v>51408</v>
      </c>
      <c r="C564" s="50" t="n">
        <v>11.16</v>
      </c>
      <c r="D564" s="51" t="inlineStr">
        <is>
          <t>Good</t>
        </is>
      </c>
      <c r="E564" s="52" t="n">
        <v>23.3</v>
      </c>
      <c r="F564" s="52" t="n">
        <v>73.09999999999999</v>
      </c>
      <c r="G564" s="51" t="inlineStr">
        <is>
          <t>Wed</t>
        </is>
      </c>
      <c r="H564" s="51" t="inlineStr">
        <is>
          <t>Weekday</t>
        </is>
      </c>
      <c r="I564" s="51" t="inlineStr">
        <is>
          <t>Summer</t>
        </is>
      </c>
      <c r="J564" s="51" t="n">
        <v>25</v>
      </c>
      <c r="K564" s="51" t="inlineStr">
        <is>
          <t>OK</t>
        </is>
      </c>
      <c r="L564" s="46" t="n">
        <v>19.72</v>
      </c>
      <c r="M564" t="inlineStr">
        <is>
          <t>Good</t>
        </is>
      </c>
      <c r="N564" s="87" t="n">
        <v>25</v>
      </c>
      <c r="O564" s="87" t="n">
        <v>0</v>
      </c>
      <c r="P564" s="87" t="n">
        <v>0</v>
      </c>
      <c r="Q564" s="87" t="n">
        <v>0</v>
      </c>
      <c r="R564" s="87" t="n">
        <v>0</v>
      </c>
      <c r="S564" s="47" t="n">
        <v>2.1</v>
      </c>
      <c r="T564" s="47" t="n">
        <v>90.09999999999999</v>
      </c>
      <c r="U564" s="47" t="n"/>
      <c r="V564" s="87" t="n">
        <v>0</v>
      </c>
      <c r="W564" s="87" t="n">
        <v>0</v>
      </c>
      <c r="Y564" t="inlineStr">
        <is>
          <t>Jul</t>
        </is>
      </c>
      <c r="Z564" s="87" t="n">
        <v>2025</v>
      </c>
      <c r="AA564" s="47">
        <f>IF(F564="",0,F564)</f>
        <v/>
      </c>
      <c r="AB564" s="87">
        <f>IF(AA564&gt;=0.1,1,0)</f>
        <v/>
      </c>
      <c r="AC564" s="87" t="n">
        <v>0</v>
      </c>
      <c r="AD564" s="47">
        <f>IF(U564="",0,U564)</f>
        <v/>
      </c>
      <c r="AE564" s="87">
        <f>IF(OR(V564=1,W564=1),1,0)</f>
        <v/>
      </c>
      <c r="AF564" s="87" t="n">
        <v>0</v>
      </c>
      <c r="AG564" t="n">
        <v>2576</v>
      </c>
      <c r="AH564" t="n">
        <v>48832</v>
      </c>
      <c r="AI564" t="n">
        <v>0</v>
      </c>
      <c r="AJ564" s="88">
        <f>IF(OR(AG564&lt;=0,AH564&lt;=0),"",LN(AG564)-LN(AH564))</f>
        <v/>
      </c>
      <c r="AK564" t="n">
        <v>6980</v>
      </c>
      <c r="AL564" t="n">
        <v>44428</v>
      </c>
      <c r="AM564" s="88">
        <f>IF(OR(AK564&lt;=0,AL564&lt;=0),"",LN(AK564)-LN(AL564))</f>
        <v/>
      </c>
      <c r="AN564" t="n">
        <v>2544</v>
      </c>
      <c r="AO564" t="n">
        <v>46809</v>
      </c>
      <c r="AP564" s="88">
        <f>IF(OR(AN564&lt;=0,AO564&lt;=0),"",LN(AN564)-LN(AO564))</f>
        <v/>
      </c>
      <c r="AQ564" t="n">
        <v>2497</v>
      </c>
      <c r="AR564" t="n">
        <v>48832</v>
      </c>
      <c r="AS564" s="88">
        <f>IF(OR(AQ564&lt;=0,AR564&lt;=0),"",LN(AQ564)-LN(AR564))</f>
        <v/>
      </c>
      <c r="AT564" t="n">
        <v>2446</v>
      </c>
      <c r="AU564" t="n">
        <v>48548</v>
      </c>
      <c r="AV564" t="n">
        <v>414</v>
      </c>
      <c r="AW564" t="n">
        <v>154</v>
      </c>
      <c r="AX564" t="n">
        <v>2402</v>
      </c>
      <c r="AY564" s="88">
        <f>IF(OR(AT564&lt;=0,AU564&lt;=0),"",LN(AT564)-LN(AU564))</f>
        <v/>
      </c>
      <c r="AZ564" s="46" t="n">
        <v>0</v>
      </c>
      <c r="BA564" s="46" t="n">
        <v>2.34</v>
      </c>
      <c r="BB564" s="47" t="n">
        <v>9.6</v>
      </c>
    </row>
    <row r="565">
      <c r="A565" s="48" t="n">
        <v>45855</v>
      </c>
      <c r="B565" s="49" t="n">
        <v>30839</v>
      </c>
      <c r="C565" s="50" t="n">
        <v>4.32</v>
      </c>
      <c r="D565" s="51" t="inlineStr">
        <is>
          <t>Good</t>
        </is>
      </c>
      <c r="E565" s="52" t="n">
        <v>23.3</v>
      </c>
      <c r="F565" s="52" t="n">
        <v>75.5</v>
      </c>
      <c r="G565" s="51" t="inlineStr">
        <is>
          <t>Thu</t>
        </is>
      </c>
      <c r="H565" s="51" t="inlineStr">
        <is>
          <t>Weekday</t>
        </is>
      </c>
      <c r="I565" s="51" t="inlineStr">
        <is>
          <t>Summer</t>
        </is>
      </c>
      <c r="J565" s="51" t="n">
        <v>25</v>
      </c>
      <c r="K565" s="51" t="inlineStr">
        <is>
          <t>OK</t>
        </is>
      </c>
      <c r="L565" s="46" t="n">
        <v>7.92</v>
      </c>
      <c r="M565" t="inlineStr">
        <is>
          <t>Good</t>
        </is>
      </c>
      <c r="N565" s="87" t="n">
        <v>25</v>
      </c>
      <c r="O565" s="87" t="n">
        <v>0</v>
      </c>
      <c r="P565" s="87" t="n">
        <v>0</v>
      </c>
      <c r="Q565" s="87" t="n">
        <v>0</v>
      </c>
      <c r="R565" s="87" t="n">
        <v>0</v>
      </c>
      <c r="S565" s="47" t="n">
        <v>2.1</v>
      </c>
      <c r="T565" s="47" t="n">
        <v>94.3</v>
      </c>
      <c r="U565" s="47" t="n"/>
      <c r="V565" s="87" t="n">
        <v>0</v>
      </c>
      <c r="W565" s="87" t="n">
        <v>0</v>
      </c>
      <c r="Y565" t="inlineStr">
        <is>
          <t>Jul</t>
        </is>
      </c>
      <c r="Z565" s="87" t="n">
        <v>2025</v>
      </c>
      <c r="AA565" s="47">
        <f>IF(F565="",0,F565)</f>
        <v/>
      </c>
      <c r="AB565" s="87">
        <f>IF(AA565&gt;=0.1,1,0)</f>
        <v/>
      </c>
      <c r="AC565" s="87" t="n">
        <v>0</v>
      </c>
      <c r="AD565" s="47">
        <f>IF(U565="",0,U565)</f>
        <v/>
      </c>
      <c r="AE565" s="87">
        <f>IF(OR(V565=1,W565=1),1,0)</f>
        <v/>
      </c>
      <c r="AF565" s="87" t="n">
        <v>0</v>
      </c>
      <c r="AG565" t="n">
        <v>1442</v>
      </c>
      <c r="AH565" t="n">
        <v>29397</v>
      </c>
      <c r="AI565" t="n">
        <v>0</v>
      </c>
      <c r="AJ565" s="88">
        <f>IF(OR(AG565&lt;=0,AH565&lt;=0),"",LN(AG565)-LN(AH565))</f>
        <v/>
      </c>
      <c r="AK565" t="n">
        <v>4110</v>
      </c>
      <c r="AL565" t="n">
        <v>26729</v>
      </c>
      <c r="AM565" s="88">
        <f>IF(OR(AK565&lt;=0,AL565&lt;=0),"",LN(AK565)-LN(AL565))</f>
        <v/>
      </c>
      <c r="AN565" t="n">
        <v>1409</v>
      </c>
      <c r="AO565" t="n">
        <v>28130</v>
      </c>
      <c r="AP565" s="88">
        <f>IF(OR(AN565&lt;=0,AO565&lt;=0),"",LN(AN565)-LN(AO565))</f>
        <v/>
      </c>
      <c r="AQ565" t="n">
        <v>1400</v>
      </c>
      <c r="AR565" t="n">
        <v>29397</v>
      </c>
      <c r="AS565" s="88">
        <f>IF(OR(AQ565&lt;=0,AR565&lt;=0),"",LN(AQ565)-LN(AR565))</f>
        <v/>
      </c>
      <c r="AT565" t="n">
        <v>2644</v>
      </c>
      <c r="AU565" t="n">
        <v>27937</v>
      </c>
      <c r="AV565" t="n">
        <v>257</v>
      </c>
      <c r="AW565" t="n">
        <v>163</v>
      </c>
      <c r="AX565" t="n">
        <v>1264</v>
      </c>
      <c r="AY565" s="88">
        <f>IF(OR(AT565&lt;=0,AU565&lt;=0),"",LN(AT565)-LN(AU565))</f>
        <v/>
      </c>
      <c r="AZ565" s="46" t="n">
        <v>0</v>
      </c>
      <c r="BA565" s="46" t="n">
        <v>4.77</v>
      </c>
      <c r="BB565" s="47" t="n">
        <v>10</v>
      </c>
    </row>
    <row r="566">
      <c r="A566" s="48" t="n">
        <v>45856</v>
      </c>
      <c r="B566" s="49" t="n">
        <v>83541</v>
      </c>
      <c r="C566" s="50" t="n">
        <v>5.2</v>
      </c>
      <c r="D566" s="51" t="inlineStr">
        <is>
          <t>Good</t>
        </is>
      </c>
      <c r="E566" s="52" t="n">
        <v>24.7</v>
      </c>
      <c r="F566" s="52" t="n">
        <v>16.1</v>
      </c>
      <c r="G566" s="51" t="inlineStr">
        <is>
          <t>Fri</t>
        </is>
      </c>
      <c r="H566" s="51" t="inlineStr">
        <is>
          <t>Weekday</t>
        </is>
      </c>
      <c r="I566" s="51" t="inlineStr">
        <is>
          <t>Summer</t>
        </is>
      </c>
      <c r="J566" s="51" t="n">
        <v>25</v>
      </c>
      <c r="K566" s="51" t="inlineStr">
        <is>
          <t>OK</t>
        </is>
      </c>
      <c r="L566" s="46" t="n">
        <v>11.36</v>
      </c>
      <c r="M566" t="inlineStr">
        <is>
          <t>Good</t>
        </is>
      </c>
      <c r="N566" s="87" t="n">
        <v>25</v>
      </c>
      <c r="O566" s="87" t="n">
        <v>0</v>
      </c>
      <c r="P566" s="87" t="n">
        <v>0</v>
      </c>
      <c r="Q566" s="87" t="n">
        <v>0</v>
      </c>
      <c r="R566" s="87" t="n">
        <v>0</v>
      </c>
      <c r="S566" s="47" t="n">
        <v>1.7</v>
      </c>
      <c r="T566" s="47" t="n">
        <v>89.5</v>
      </c>
      <c r="U566" s="47" t="n"/>
      <c r="V566" s="87" t="n">
        <v>0</v>
      </c>
      <c r="W566" s="87" t="n">
        <v>0</v>
      </c>
      <c r="Y566" t="inlineStr">
        <is>
          <t>Jul</t>
        </is>
      </c>
      <c r="Z566" s="87" t="n">
        <v>2025</v>
      </c>
      <c r="AA566" s="47">
        <f>IF(F566="",0,F566)</f>
        <v/>
      </c>
      <c r="AB566" s="87">
        <f>IF(AA566&gt;=0.1,1,0)</f>
        <v/>
      </c>
      <c r="AC566" s="87" t="n">
        <v>0</v>
      </c>
      <c r="AD566" s="47">
        <f>IF(U566="",0,U566)</f>
        <v/>
      </c>
      <c r="AE566" s="87">
        <f>IF(OR(V566=1,W566=1),1,0)</f>
        <v/>
      </c>
      <c r="AF566" s="87" t="n">
        <v>0</v>
      </c>
      <c r="AG566" t="n">
        <v>4270</v>
      </c>
      <c r="AH566" t="n">
        <v>79271</v>
      </c>
      <c r="AI566" t="n">
        <v>0</v>
      </c>
      <c r="AJ566" s="88">
        <f>IF(OR(AG566&lt;=0,AH566&lt;=0),"",LN(AG566)-LN(AH566))</f>
        <v/>
      </c>
      <c r="AK566" t="n">
        <v>12108</v>
      </c>
      <c r="AL566" t="n">
        <v>71433</v>
      </c>
      <c r="AM566" s="88">
        <f>IF(OR(AK566&lt;=0,AL566&lt;=0),"",LN(AK566)-LN(AL566))</f>
        <v/>
      </c>
      <c r="AN566" t="n">
        <v>4196</v>
      </c>
      <c r="AO566" t="n">
        <v>75831</v>
      </c>
      <c r="AP566" s="88">
        <f>IF(OR(AN566&lt;=0,AO566&lt;=0),"",LN(AN566)-LN(AO566))</f>
        <v/>
      </c>
      <c r="AQ566" t="n">
        <v>4161</v>
      </c>
      <c r="AR566" t="n">
        <v>79271</v>
      </c>
      <c r="AS566" s="88">
        <f>IF(OR(AQ566&lt;=0,AR566&lt;=0),"",LN(AQ566)-LN(AR566))</f>
        <v/>
      </c>
      <c r="AT566" t="n">
        <v>5583</v>
      </c>
      <c r="AU566" t="n">
        <v>77239</v>
      </c>
      <c r="AV566" t="n">
        <v>719</v>
      </c>
      <c r="AW566" t="n">
        <v>434</v>
      </c>
      <c r="AX566" t="n">
        <v>3787</v>
      </c>
      <c r="AY566" s="88">
        <f>IF(OR(AT566&lt;=0,AU566&lt;=0),"",LN(AT566)-LN(AU566))</f>
        <v/>
      </c>
      <c r="AZ566" s="46" t="n">
        <v>0.3</v>
      </c>
      <c r="BA566" s="46" t="n">
        <v>7.44</v>
      </c>
      <c r="BB566" s="47" t="n">
        <v>9.5</v>
      </c>
    </row>
    <row r="567">
      <c r="A567" s="48" t="n">
        <v>45857</v>
      </c>
      <c r="B567" s="49" t="n">
        <v>37126</v>
      </c>
      <c r="C567" s="50" t="n">
        <v>3.76</v>
      </c>
      <c r="D567" s="51" t="inlineStr">
        <is>
          <t>Good</t>
        </is>
      </c>
      <c r="E567" s="52" t="n">
        <v>23.9</v>
      </c>
      <c r="F567" s="52" t="n">
        <v>84</v>
      </c>
      <c r="G567" s="51" t="inlineStr">
        <is>
          <t>Sat</t>
        </is>
      </c>
      <c r="H567" s="51" t="inlineStr">
        <is>
          <t>Weekend</t>
        </is>
      </c>
      <c r="I567" s="51" t="inlineStr">
        <is>
          <t>Summer</t>
        </is>
      </c>
      <c r="J567" s="51" t="n">
        <v>25</v>
      </c>
      <c r="K567" s="51" t="inlineStr">
        <is>
          <t>OK</t>
        </is>
      </c>
      <c r="L567" s="46" t="n">
        <v>9.039999999999999</v>
      </c>
      <c r="M567" t="inlineStr">
        <is>
          <t>Good</t>
        </is>
      </c>
      <c r="N567" s="87" t="n">
        <v>25</v>
      </c>
      <c r="O567" s="87" t="n">
        <v>0</v>
      </c>
      <c r="P567" s="87" t="n">
        <v>0</v>
      </c>
      <c r="Q567" s="87" t="n">
        <v>0</v>
      </c>
      <c r="R567" s="87" t="n">
        <v>0</v>
      </c>
      <c r="S567" s="47" t="n">
        <v>2</v>
      </c>
      <c r="T567" s="47" t="n">
        <v>95.40000000000001</v>
      </c>
      <c r="U567" s="47" t="n"/>
      <c r="V567" s="87" t="n">
        <v>1</v>
      </c>
      <c r="W567" s="87" t="n">
        <v>0</v>
      </c>
      <c r="Y567" t="inlineStr">
        <is>
          <t>Jul</t>
        </is>
      </c>
      <c r="Z567" s="87" t="n">
        <v>2025</v>
      </c>
      <c r="AA567" s="47">
        <f>IF(F567="",0,F567)</f>
        <v/>
      </c>
      <c r="AB567" s="87">
        <f>IF(AA567&gt;=0.1,1,0)</f>
        <v/>
      </c>
      <c r="AC567" s="87" t="n">
        <v>0</v>
      </c>
      <c r="AD567" s="47">
        <f>IF(U567="",0,U567)</f>
        <v/>
      </c>
      <c r="AE567" s="87">
        <f>IF(OR(V567=1,W567=1),1,0)</f>
        <v/>
      </c>
      <c r="AF567" s="87" t="n">
        <v>0</v>
      </c>
      <c r="AG567" t="n">
        <v>2196</v>
      </c>
      <c r="AH567" t="n">
        <v>34930</v>
      </c>
      <c r="AI567" t="n">
        <v>0</v>
      </c>
      <c r="AJ567" s="88">
        <f>IF(OR(AG567&lt;=0,AH567&lt;=0),"",LN(AG567)-LN(AH567))</f>
        <v/>
      </c>
      <c r="AK567" t="n">
        <v>5833</v>
      </c>
      <c r="AL567" t="n">
        <v>31293</v>
      </c>
      <c r="AM567" s="88">
        <f>IF(OR(AK567&lt;=0,AL567&lt;=0),"",LN(AK567)-LN(AL567))</f>
        <v/>
      </c>
      <c r="AN567" t="n">
        <v>2152</v>
      </c>
      <c r="AO567" t="n">
        <v>33442</v>
      </c>
      <c r="AP567" s="88">
        <f>IF(OR(AN567&lt;=0,AO567&lt;=0),"",LN(AN567)-LN(AO567))</f>
        <v/>
      </c>
      <c r="AQ567" t="n">
        <v>2131</v>
      </c>
      <c r="AR567" t="n">
        <v>34930</v>
      </c>
      <c r="AS567" s="88">
        <f>IF(OR(AQ567&lt;=0,AR567&lt;=0),"",LN(AQ567)-LN(AR567))</f>
        <v/>
      </c>
      <c r="AT567" t="n">
        <v>3454</v>
      </c>
      <c r="AU567" t="n">
        <v>33354</v>
      </c>
      <c r="AV567" t="n">
        <v>318</v>
      </c>
      <c r="AW567" t="n">
        <v>299</v>
      </c>
      <c r="AX567" t="n">
        <v>1873</v>
      </c>
      <c r="AY567" s="88">
        <f>IF(OR(AT567&lt;=0,AU567&lt;=0),"",LN(AT567)-LN(AU567))</f>
        <v/>
      </c>
      <c r="AZ567" s="46" t="n">
        <v>0</v>
      </c>
      <c r="BA567" s="46" t="n">
        <v>3.79</v>
      </c>
      <c r="BB567" s="47" t="n">
        <v>10</v>
      </c>
    </row>
    <row r="568">
      <c r="A568" s="48" t="n">
        <v>45858</v>
      </c>
      <c r="B568" s="49" t="n">
        <v>90404</v>
      </c>
      <c r="C568" s="50" t="n">
        <v>6.32</v>
      </c>
      <c r="D568" s="51" t="inlineStr">
        <is>
          <t>Good</t>
        </is>
      </c>
      <c r="E568" s="52" t="n">
        <v>27.7</v>
      </c>
      <c r="F568" s="52" t="n">
        <v>14.8</v>
      </c>
      <c r="G568" s="51" t="inlineStr">
        <is>
          <t>Sun</t>
        </is>
      </c>
      <c r="H568" s="51" t="inlineStr">
        <is>
          <t>Weekend</t>
        </is>
      </c>
      <c r="I568" s="51" t="inlineStr">
        <is>
          <t>Summer</t>
        </is>
      </c>
      <c r="J568" s="51" t="n">
        <v>25</v>
      </c>
      <c r="K568" s="51" t="inlineStr">
        <is>
          <t>OK</t>
        </is>
      </c>
      <c r="L568" s="46" t="n">
        <v>16</v>
      </c>
      <c r="M568" t="inlineStr">
        <is>
          <t>Good</t>
        </is>
      </c>
      <c r="N568" s="87" t="n">
        <v>25</v>
      </c>
      <c r="O568" s="87" t="n">
        <v>0</v>
      </c>
      <c r="P568" s="87" t="n">
        <v>0</v>
      </c>
      <c r="Q568" s="87" t="n">
        <v>0</v>
      </c>
      <c r="R568" s="87" t="n">
        <v>0</v>
      </c>
      <c r="S568" s="47" t="n">
        <v>2.8</v>
      </c>
      <c r="T568" s="47" t="n">
        <v>82.8</v>
      </c>
      <c r="U568" s="47" t="n"/>
      <c r="V568" s="87" t="n">
        <v>1</v>
      </c>
      <c r="W568" s="87" t="n">
        <v>0</v>
      </c>
      <c r="Y568" t="inlineStr">
        <is>
          <t>Jul</t>
        </is>
      </c>
      <c r="Z568" s="87" t="n">
        <v>2025</v>
      </c>
      <c r="AA568" s="47">
        <f>IF(F568="",0,F568)</f>
        <v/>
      </c>
      <c r="AB568" s="87">
        <f>IF(AA568&gt;=0.1,1,0)</f>
        <v/>
      </c>
      <c r="AC568" s="87" t="n">
        <v>0</v>
      </c>
      <c r="AD568" s="47">
        <f>IF(U568="",0,U568)</f>
        <v/>
      </c>
      <c r="AE568" s="87">
        <f>IF(OR(V568=1,W568=1),1,0)</f>
        <v/>
      </c>
      <c r="AF568" s="87" t="n">
        <v>0</v>
      </c>
      <c r="AG568" t="n">
        <v>6961</v>
      </c>
      <c r="AH568" t="n">
        <v>83443</v>
      </c>
      <c r="AI568" t="n">
        <v>0</v>
      </c>
      <c r="AJ568" s="88">
        <f>IF(OR(AG568&lt;=0,AH568&lt;=0),"",LN(AG568)-LN(AH568))</f>
        <v/>
      </c>
      <c r="AK568" t="n">
        <v>16010</v>
      </c>
      <c r="AL568" t="n">
        <v>74394</v>
      </c>
      <c r="AM568" s="88">
        <f>IF(OR(AK568&lt;=0,AL568&lt;=0),"",LN(AK568)-LN(AL568))</f>
        <v/>
      </c>
      <c r="AN568" t="n">
        <v>6831</v>
      </c>
      <c r="AO568" t="n">
        <v>80057</v>
      </c>
      <c r="AP568" s="88">
        <f>IF(OR(AN568&lt;=0,AO568&lt;=0),"",LN(AN568)-LN(AO568))</f>
        <v/>
      </c>
      <c r="AQ568" t="n">
        <v>6735</v>
      </c>
      <c r="AR568" t="n">
        <v>83443</v>
      </c>
      <c r="AS568" s="88">
        <f>IF(OR(AQ568&lt;=0,AR568&lt;=0),"",LN(AQ568)-LN(AR568))</f>
        <v/>
      </c>
      <c r="AT568" t="n">
        <v>9219</v>
      </c>
      <c r="AU568" t="n">
        <v>80560</v>
      </c>
      <c r="AV568" t="n">
        <v>625</v>
      </c>
      <c r="AW568" t="n">
        <v>1069</v>
      </c>
      <c r="AX568" t="n">
        <v>5847</v>
      </c>
      <c r="AY568" s="88">
        <f>IF(OR(AT568&lt;=0,AU568&lt;=0),"",LN(AT568)-LN(AU568))</f>
        <v/>
      </c>
      <c r="AZ568" s="46" t="n">
        <v>5.7</v>
      </c>
      <c r="BA568" s="46" t="n">
        <v>16.69</v>
      </c>
      <c r="BB568" s="47" t="n">
        <v>7.1</v>
      </c>
    </row>
    <row r="569">
      <c r="A569" s="48" t="n">
        <v>45859</v>
      </c>
      <c r="B569" s="49" t="n">
        <v>140597</v>
      </c>
      <c r="C569" s="50" t="n">
        <v>8.359999999999999</v>
      </c>
      <c r="D569" s="51" t="inlineStr">
        <is>
          <t>Good</t>
        </is>
      </c>
      <c r="E569" s="52" t="n">
        <v>28.5</v>
      </c>
      <c r="F569" s="52" t="n">
        <v>0</v>
      </c>
      <c r="G569" s="51" t="inlineStr">
        <is>
          <t>Mon</t>
        </is>
      </c>
      <c r="H569" s="51" t="inlineStr">
        <is>
          <t>Weekday</t>
        </is>
      </c>
      <c r="I569" s="51" t="inlineStr">
        <is>
          <t>Summer</t>
        </is>
      </c>
      <c r="J569" s="51" t="n">
        <v>25</v>
      </c>
      <c r="K569" s="51" t="inlineStr">
        <is>
          <t>OK</t>
        </is>
      </c>
      <c r="L569" s="46" t="n">
        <v>18.16</v>
      </c>
      <c r="M569" t="inlineStr">
        <is>
          <t>Good</t>
        </is>
      </c>
      <c r="N569" s="87" t="n">
        <v>25</v>
      </c>
      <c r="O569" s="87" t="n">
        <v>0</v>
      </c>
      <c r="P569" s="87" t="n">
        <v>0</v>
      </c>
      <c r="Q569" s="87" t="n">
        <v>0</v>
      </c>
      <c r="R569" s="87" t="n">
        <v>0</v>
      </c>
      <c r="S569" s="47" t="n">
        <v>2.3</v>
      </c>
      <c r="T569" s="47" t="n">
        <v>77.40000000000001</v>
      </c>
      <c r="U569" s="47" t="n"/>
      <c r="V569" s="87" t="n">
        <v>0</v>
      </c>
      <c r="W569" s="87" t="n">
        <v>0</v>
      </c>
      <c r="Y569" t="inlineStr">
        <is>
          <t>Jul</t>
        </is>
      </c>
      <c r="Z569" s="87" t="n">
        <v>2025</v>
      </c>
      <c r="AA569" s="47">
        <f>IF(F569="",0,F569)</f>
        <v/>
      </c>
      <c r="AB569" s="87">
        <f>IF(AA569&gt;=0.1,1,0)</f>
        <v/>
      </c>
      <c r="AC569" s="87" t="n">
        <v>1</v>
      </c>
      <c r="AD569" s="47">
        <f>IF(U569="",0,U569)</f>
        <v/>
      </c>
      <c r="AE569" s="87">
        <f>IF(OR(V569=1,W569=1),1,0)</f>
        <v/>
      </c>
      <c r="AF569" s="87" t="n">
        <v>0</v>
      </c>
      <c r="AG569" t="n">
        <v>8032</v>
      </c>
      <c r="AH569" t="n">
        <v>132565</v>
      </c>
      <c r="AI569" t="n">
        <v>0</v>
      </c>
      <c r="AJ569" s="88">
        <f>IF(OR(AG569&lt;=0,AH569&lt;=0),"",LN(AG569)-LN(AH569))</f>
        <v/>
      </c>
      <c r="AK569" t="n">
        <v>21565</v>
      </c>
      <c r="AL569" t="n">
        <v>119032</v>
      </c>
      <c r="AM569" s="88">
        <f>IF(OR(AK569&lt;=0,AL569&lt;=0),"",LN(AK569)-LN(AL569))</f>
        <v/>
      </c>
      <c r="AN569" t="n">
        <v>7876</v>
      </c>
      <c r="AO569" t="n">
        <v>126932</v>
      </c>
      <c r="AP569" s="88">
        <f>IF(OR(AN569&lt;=0,AO569&lt;=0),"",LN(AN569)-LN(AO569))</f>
        <v/>
      </c>
      <c r="AQ569" t="n">
        <v>7808</v>
      </c>
      <c r="AR569" t="n">
        <v>132565</v>
      </c>
      <c r="AS569" s="88">
        <f>IF(OR(AQ569&lt;=0,AR569&lt;=0),"",LN(AQ569)-LN(AR569))</f>
        <v/>
      </c>
      <c r="AT569" t="n">
        <v>9541</v>
      </c>
      <c r="AU569" t="n">
        <v>129974</v>
      </c>
      <c r="AV569" t="n">
        <v>1085</v>
      </c>
      <c r="AW569" t="n">
        <v>818</v>
      </c>
      <c r="AX569" t="n">
        <v>7134</v>
      </c>
      <c r="AY569" s="88">
        <f>IF(OR(AT569&lt;=0,AU569&lt;=0),"",LN(AT569)-LN(AU569))</f>
        <v/>
      </c>
      <c r="AZ569" s="46" t="n">
        <v>5.8</v>
      </c>
      <c r="BA569" s="46" t="n">
        <v>18.81</v>
      </c>
      <c r="BB569" s="47" t="n">
        <v>5.6</v>
      </c>
    </row>
    <row r="570">
      <c r="A570" s="48" t="n">
        <v>45860</v>
      </c>
      <c r="B570" s="49" t="n">
        <v>143954</v>
      </c>
      <c r="C570" s="50" t="n">
        <v>6.88</v>
      </c>
      <c r="D570" s="51" t="inlineStr">
        <is>
          <t>Good</t>
        </is>
      </c>
      <c r="E570" s="52" t="n">
        <v>28.8</v>
      </c>
      <c r="F570" s="52" t="n">
        <v>0.1</v>
      </c>
      <c r="G570" s="51" t="inlineStr">
        <is>
          <t>Tue</t>
        </is>
      </c>
      <c r="H570" s="51" t="inlineStr">
        <is>
          <t>Weekday</t>
        </is>
      </c>
      <c r="I570" s="51" t="inlineStr">
        <is>
          <t>Summer</t>
        </is>
      </c>
      <c r="J570" s="51" t="n">
        <v>25</v>
      </c>
      <c r="K570" s="51" t="inlineStr">
        <is>
          <t>OK</t>
        </is>
      </c>
      <c r="L570" s="46" t="n">
        <v>16.44</v>
      </c>
      <c r="M570" t="inlineStr">
        <is>
          <t>Good</t>
        </is>
      </c>
      <c r="N570" s="87" t="n">
        <v>25</v>
      </c>
      <c r="O570" s="87" t="n">
        <v>0</v>
      </c>
      <c r="P570" s="87" t="n">
        <v>0</v>
      </c>
      <c r="Q570" s="87" t="n">
        <v>0</v>
      </c>
      <c r="R570" s="87" t="n">
        <v>0</v>
      </c>
      <c r="S570" s="47" t="n">
        <v>2.7</v>
      </c>
      <c r="T570" s="47" t="n">
        <v>75.59999999999999</v>
      </c>
      <c r="U570" s="47" t="n"/>
      <c r="V570" s="87" t="n">
        <v>0</v>
      </c>
      <c r="W570" s="87" t="n">
        <v>0</v>
      </c>
      <c r="Y570" t="inlineStr">
        <is>
          <t>Jul</t>
        </is>
      </c>
      <c r="Z570" s="87" t="n">
        <v>2025</v>
      </c>
      <c r="AA570" s="47">
        <f>IF(F570="",0,F570)</f>
        <v/>
      </c>
      <c r="AB570" s="87">
        <f>IF(AA570&gt;=0.1,1,0)</f>
        <v/>
      </c>
      <c r="AC570" s="87" t="n">
        <v>0</v>
      </c>
      <c r="AD570" s="47">
        <f>IF(U570="",0,U570)</f>
        <v/>
      </c>
      <c r="AE570" s="87">
        <f>IF(OR(V570=1,W570=1),1,0)</f>
        <v/>
      </c>
      <c r="AF570" s="87" t="n">
        <v>0</v>
      </c>
      <c r="AG570" t="n">
        <v>8019</v>
      </c>
      <c r="AH570" t="n">
        <v>135935</v>
      </c>
      <c r="AI570" t="n">
        <v>0</v>
      </c>
      <c r="AJ570" s="88">
        <f>IF(OR(AG570&lt;=0,AH570&lt;=0),"",LN(AG570)-LN(AH570))</f>
        <v/>
      </c>
      <c r="AK570" t="n">
        <v>21600</v>
      </c>
      <c r="AL570" t="n">
        <v>122354</v>
      </c>
      <c r="AM570" s="88">
        <f>IF(OR(AK570&lt;=0,AL570&lt;=0),"",LN(AK570)-LN(AL570))</f>
        <v/>
      </c>
      <c r="AN570" t="n">
        <v>7852</v>
      </c>
      <c r="AO570" t="n">
        <v>130118</v>
      </c>
      <c r="AP570" s="88">
        <f>IF(OR(AN570&lt;=0,AO570&lt;=0),"",LN(AN570)-LN(AO570))</f>
        <v/>
      </c>
      <c r="AQ570" t="n">
        <v>7786</v>
      </c>
      <c r="AR570" t="n">
        <v>135935</v>
      </c>
      <c r="AS570" s="88">
        <f>IF(OR(AQ570&lt;=0,AR570&lt;=0),"",LN(AQ570)-LN(AR570))</f>
        <v/>
      </c>
      <c r="AT570" t="n">
        <v>9572</v>
      </c>
      <c r="AU570" t="n">
        <v>133373</v>
      </c>
      <c r="AV570" t="n">
        <v>1011</v>
      </c>
      <c r="AW570" t="n">
        <v>800</v>
      </c>
      <c r="AX570" t="n">
        <v>7162</v>
      </c>
      <c r="AY570" s="88">
        <f>IF(OR(AT570&lt;=0,AU570&lt;=0),"",LN(AT570)-LN(AU570))</f>
        <v/>
      </c>
      <c r="AZ570" s="46" t="n">
        <v>6.6</v>
      </c>
      <c r="BA570" s="46" t="n">
        <v>20.43</v>
      </c>
      <c r="BB570" s="47" t="n">
        <v>6.4</v>
      </c>
    </row>
    <row r="571">
      <c r="A571" s="48" t="n">
        <v>45861</v>
      </c>
      <c r="B571" s="49" t="n">
        <v>144386</v>
      </c>
      <c r="C571" s="50" t="n">
        <v>7.56</v>
      </c>
      <c r="D571" s="51" t="inlineStr">
        <is>
          <t>Good</t>
        </is>
      </c>
      <c r="E571" s="52" t="n">
        <v>28.9</v>
      </c>
      <c r="F571" s="52" t="n"/>
      <c r="G571" s="51" t="inlineStr">
        <is>
          <t>Wed</t>
        </is>
      </c>
      <c r="H571" s="51" t="inlineStr">
        <is>
          <t>Weekday</t>
        </is>
      </c>
      <c r="I571" s="51" t="inlineStr">
        <is>
          <t>Summer</t>
        </is>
      </c>
      <c r="J571" s="51" t="n">
        <v>25</v>
      </c>
      <c r="K571" s="51" t="inlineStr">
        <is>
          <t>강수량 공란</t>
        </is>
      </c>
      <c r="L571" s="46" t="n">
        <v>16.28</v>
      </c>
      <c r="M571" t="inlineStr">
        <is>
          <t>Good</t>
        </is>
      </c>
      <c r="N571" s="87" t="n">
        <v>25</v>
      </c>
      <c r="O571" s="87" t="n">
        <v>0</v>
      </c>
      <c r="P571" s="87" t="n">
        <v>0</v>
      </c>
      <c r="Q571" s="87" t="n">
        <v>0</v>
      </c>
      <c r="R571" s="87" t="n">
        <v>0</v>
      </c>
      <c r="S571" s="47" t="n">
        <v>1.8</v>
      </c>
      <c r="T571" s="47" t="n">
        <v>70.40000000000001</v>
      </c>
      <c r="U571" s="47" t="n"/>
      <c r="V571" s="87" t="n">
        <v>0</v>
      </c>
      <c r="W571" s="87" t="n">
        <v>0</v>
      </c>
      <c r="Y571" t="inlineStr">
        <is>
          <t>Jul</t>
        </is>
      </c>
      <c r="Z571" s="87" t="n">
        <v>2025</v>
      </c>
      <c r="AA571" s="47">
        <f>IF(F571="",0,F571)</f>
        <v/>
      </c>
      <c r="AB571" s="87">
        <f>IF(AA571&gt;=0.1,1,0)</f>
        <v/>
      </c>
      <c r="AC571" s="87" t="n">
        <v>0</v>
      </c>
      <c r="AD571" s="47">
        <f>IF(U571="",0,U571)</f>
        <v/>
      </c>
      <c r="AE571" s="87">
        <f>IF(OR(V571=1,W571=1),1,0)</f>
        <v/>
      </c>
      <c r="AF571" s="87" t="n">
        <v>0</v>
      </c>
      <c r="AG571" t="n">
        <v>7991</v>
      </c>
      <c r="AH571" t="n">
        <v>136395</v>
      </c>
      <c r="AI571" t="n">
        <v>0</v>
      </c>
      <c r="AJ571" s="88">
        <f>IF(OR(AG571&lt;=0,AH571&lt;=0),"",LN(AG571)-LN(AH571))</f>
        <v/>
      </c>
      <c r="AK571" t="n">
        <v>21620</v>
      </c>
      <c r="AL571" t="n">
        <v>122766</v>
      </c>
      <c r="AM571" s="88">
        <f>IF(OR(AK571&lt;=0,AL571&lt;=0),"",LN(AK571)-LN(AL571))</f>
        <v/>
      </c>
      <c r="AN571" t="n">
        <v>7843</v>
      </c>
      <c r="AO571" t="n">
        <v>130614</v>
      </c>
      <c r="AP571" s="88">
        <f>IF(OR(AN571&lt;=0,AO571&lt;=0),"",LN(AN571)-LN(AO571))</f>
        <v/>
      </c>
      <c r="AQ571" t="n">
        <v>7739</v>
      </c>
      <c r="AR571" t="n">
        <v>136395</v>
      </c>
      <c r="AS571" s="88">
        <f>IF(OR(AQ571&lt;=0,AR571&lt;=0),"",LN(AQ571)-LN(AR571))</f>
        <v/>
      </c>
      <c r="AT571" t="n">
        <v>9666</v>
      </c>
      <c r="AU571" t="n">
        <v>133641</v>
      </c>
      <c r="AV571" t="n">
        <v>1081</v>
      </c>
      <c r="AW571" t="n">
        <v>800</v>
      </c>
      <c r="AX571" t="n">
        <v>7129</v>
      </c>
      <c r="AY571" s="88">
        <f>IF(OR(AT571&lt;=0,AU571&lt;=0),"",LN(AT571)-LN(AU571))</f>
        <v/>
      </c>
      <c r="AZ571" s="46" t="n">
        <v>7.9</v>
      </c>
      <c r="BA571" s="46" t="n">
        <v>22.14</v>
      </c>
      <c r="BB571" s="47" t="n">
        <v>6.4</v>
      </c>
    </row>
    <row r="572">
      <c r="A572" s="48" t="n">
        <v>45862</v>
      </c>
      <c r="B572" s="49" t="n">
        <v>138903</v>
      </c>
      <c r="C572" s="50" t="n">
        <v>14.88</v>
      </c>
      <c r="D572" s="51" t="inlineStr">
        <is>
          <t>Good</t>
        </is>
      </c>
      <c r="E572" s="52" t="n">
        <v>29.8</v>
      </c>
      <c r="F572" s="52" t="n"/>
      <c r="G572" s="51" t="inlineStr">
        <is>
          <t>Thu</t>
        </is>
      </c>
      <c r="H572" s="51" t="inlineStr">
        <is>
          <t>Weekday</t>
        </is>
      </c>
      <c r="I572" s="51" t="inlineStr">
        <is>
          <t>Summer</t>
        </is>
      </c>
      <c r="J572" s="51" t="n">
        <v>25</v>
      </c>
      <c r="K572" s="51" t="inlineStr">
        <is>
          <t>강수량 공란</t>
        </is>
      </c>
      <c r="L572" s="46" t="n">
        <v>25.16</v>
      </c>
      <c r="M572" t="inlineStr">
        <is>
          <t>Good</t>
        </is>
      </c>
      <c r="N572" s="87" t="n">
        <v>25</v>
      </c>
      <c r="O572" s="87" t="n">
        <v>0</v>
      </c>
      <c r="P572" s="87" t="n">
        <v>0</v>
      </c>
      <c r="Q572" s="87" t="n">
        <v>0</v>
      </c>
      <c r="R572" s="87" t="n">
        <v>0</v>
      </c>
      <c r="S572" s="47" t="n">
        <v>1.9</v>
      </c>
      <c r="T572" s="47" t="n">
        <v>68</v>
      </c>
      <c r="U572" s="47" t="n"/>
      <c r="V572" s="87" t="n">
        <v>0</v>
      </c>
      <c r="W572" s="87" t="n">
        <v>0</v>
      </c>
      <c r="Y572" t="inlineStr">
        <is>
          <t>Jul</t>
        </is>
      </c>
      <c r="Z572" s="87" t="n">
        <v>2025</v>
      </c>
      <c r="AA572" s="47">
        <f>IF(F572="",0,F572)</f>
        <v/>
      </c>
      <c r="AB572" s="87">
        <f>IF(AA572&gt;=0.1,1,0)</f>
        <v/>
      </c>
      <c r="AC572" s="87" t="n">
        <v>0</v>
      </c>
      <c r="AD572" s="47">
        <f>IF(U572="",0,U572)</f>
        <v/>
      </c>
      <c r="AE572" s="87">
        <f>IF(OR(V572=1,W572=1),1,0)</f>
        <v/>
      </c>
      <c r="AF572" s="87" t="n">
        <v>0</v>
      </c>
      <c r="AG572" t="n">
        <v>7436</v>
      </c>
      <c r="AH572" t="n">
        <v>131467</v>
      </c>
      <c r="AI572" t="n">
        <v>0</v>
      </c>
      <c r="AJ572" s="88">
        <f>IF(OR(AG572&lt;=0,AH572&lt;=0),"",LN(AG572)-LN(AH572))</f>
        <v/>
      </c>
      <c r="AK572" t="n">
        <v>20434</v>
      </c>
      <c r="AL572" t="n">
        <v>118469</v>
      </c>
      <c r="AM572" s="88">
        <f>IF(OR(AK572&lt;=0,AL572&lt;=0),"",LN(AK572)-LN(AL572))</f>
        <v/>
      </c>
      <c r="AN572" t="n">
        <v>7307</v>
      </c>
      <c r="AO572" t="n">
        <v>125874</v>
      </c>
      <c r="AP572" s="88">
        <f>IF(OR(AN572&lt;=0,AO572&lt;=0),"",LN(AN572)-LN(AO572))</f>
        <v/>
      </c>
      <c r="AQ572" t="n">
        <v>7220</v>
      </c>
      <c r="AR572" t="n">
        <v>131467</v>
      </c>
      <c r="AS572" s="88">
        <f>IF(OR(AQ572&lt;=0,AR572&lt;=0),"",LN(AQ572)-LN(AR572))</f>
        <v/>
      </c>
      <c r="AT572" t="n">
        <v>9139</v>
      </c>
      <c r="AU572" t="n">
        <v>128726</v>
      </c>
      <c r="AV572" t="n">
        <v>1041</v>
      </c>
      <c r="AW572" t="n">
        <v>712</v>
      </c>
      <c r="AX572" t="n">
        <v>6668</v>
      </c>
      <c r="AY572" s="88">
        <f>IF(OR(AT572&lt;=0,AU572&lt;=0),"",LN(AT572)-LN(AU572))</f>
        <v/>
      </c>
      <c r="AZ572" s="46" t="n">
        <v>9.199999999999999</v>
      </c>
      <c r="BA572" s="46" t="n">
        <v>24.91</v>
      </c>
      <c r="BB572" s="47" t="n">
        <v>5.1</v>
      </c>
    </row>
    <row r="573">
      <c r="A573" s="48" t="n">
        <v>45863</v>
      </c>
      <c r="B573" s="49" t="n">
        <v>130671</v>
      </c>
      <c r="C573" s="50" t="n">
        <v>21.52</v>
      </c>
      <c r="D573" s="51" t="inlineStr">
        <is>
          <t>Moderate</t>
        </is>
      </c>
      <c r="E573" s="52" t="n">
        <v>31.1</v>
      </c>
      <c r="F573" s="52" t="n"/>
      <c r="G573" s="51" t="inlineStr">
        <is>
          <t>Fri</t>
        </is>
      </c>
      <c r="H573" s="51" t="inlineStr">
        <is>
          <t>Weekday</t>
        </is>
      </c>
      <c r="I573" s="51" t="inlineStr">
        <is>
          <t>Summer</t>
        </is>
      </c>
      <c r="J573" s="51" t="n">
        <v>25</v>
      </c>
      <c r="K573" s="51" t="inlineStr">
        <is>
          <t>강수량 공란</t>
        </is>
      </c>
      <c r="L573" s="46" t="n">
        <v>30.6</v>
      </c>
      <c r="M573" t="inlineStr">
        <is>
          <t>Moderate</t>
        </is>
      </c>
      <c r="N573" s="87" t="n">
        <v>25</v>
      </c>
      <c r="O573" s="87" t="n">
        <v>0</v>
      </c>
      <c r="P573" s="87" t="n">
        <v>0</v>
      </c>
      <c r="Q573" s="87" t="n">
        <v>0</v>
      </c>
      <c r="R573" s="87" t="n">
        <v>0</v>
      </c>
      <c r="S573" s="47" t="n">
        <v>1.9</v>
      </c>
      <c r="T573" s="47" t="n">
        <v>64.59999999999999</v>
      </c>
      <c r="U573" s="47" t="n"/>
      <c r="V573" s="87" t="n">
        <v>0</v>
      </c>
      <c r="W573" s="87" t="n">
        <v>0</v>
      </c>
      <c r="Y573" t="inlineStr">
        <is>
          <t>Jul</t>
        </is>
      </c>
      <c r="Z573" s="87" t="n">
        <v>2025</v>
      </c>
      <c r="AA573" s="47">
        <f>IF(F573="",0,F573)</f>
        <v/>
      </c>
      <c r="AB573" s="87">
        <f>IF(AA573&gt;=0.1,1,0)</f>
        <v/>
      </c>
      <c r="AC573" s="87" t="n">
        <v>0</v>
      </c>
      <c r="AD573" s="47">
        <f>IF(U573="",0,U573)</f>
        <v/>
      </c>
      <c r="AE573" s="87">
        <f>IF(OR(V573=1,W573=1),1,0)</f>
        <v/>
      </c>
      <c r="AF573" s="87" t="n">
        <v>0</v>
      </c>
      <c r="AG573" t="n">
        <v>6875</v>
      </c>
      <c r="AH573" t="n">
        <v>123796</v>
      </c>
      <c r="AI573" t="n">
        <v>0</v>
      </c>
      <c r="AJ573" s="88">
        <f>IF(OR(AG573&lt;=0,AH573&lt;=0),"",LN(AG573)-LN(AH573))</f>
        <v/>
      </c>
      <c r="AK573" t="n">
        <v>19020</v>
      </c>
      <c r="AL573" t="n">
        <v>111651</v>
      </c>
      <c r="AM573" s="88">
        <f>IF(OR(AK573&lt;=0,AL573&lt;=0),"",LN(AK573)-LN(AL573))</f>
        <v/>
      </c>
      <c r="AN573" t="n">
        <v>6763</v>
      </c>
      <c r="AO573" t="n">
        <v>118270</v>
      </c>
      <c r="AP573" s="88">
        <f>IF(OR(AN573&lt;=0,AO573&lt;=0),"",LN(AN573)-LN(AO573))</f>
        <v/>
      </c>
      <c r="AQ573" t="n">
        <v>6687</v>
      </c>
      <c r="AR573" t="n">
        <v>123796</v>
      </c>
      <c r="AS573" s="88">
        <f>IF(OR(AQ573&lt;=0,AR573&lt;=0),"",LN(AQ573)-LN(AR573))</f>
        <v/>
      </c>
      <c r="AT573" t="n">
        <v>8889</v>
      </c>
      <c r="AU573" t="n">
        <v>120825</v>
      </c>
      <c r="AV573" t="n">
        <v>959</v>
      </c>
      <c r="AW573" t="n">
        <v>660</v>
      </c>
      <c r="AX573" t="n">
        <v>6156</v>
      </c>
      <c r="AY573" s="88">
        <f>IF(OR(AT573&lt;=0,AU573&lt;=0),"",LN(AT573)-LN(AU573))</f>
        <v/>
      </c>
      <c r="AZ573" s="46" t="n">
        <v>12.4</v>
      </c>
      <c r="BA573" s="46" t="n">
        <v>26.48</v>
      </c>
      <c r="BB573" s="47" t="n">
        <v>1</v>
      </c>
    </row>
    <row r="574">
      <c r="A574" s="48" t="n">
        <v>45864</v>
      </c>
      <c r="B574" s="49" t="n">
        <v>92788</v>
      </c>
      <c r="C574" s="50" t="n">
        <v>15.2</v>
      </c>
      <c r="D574" s="51" t="inlineStr">
        <is>
          <t>Moderate</t>
        </is>
      </c>
      <c r="E574" s="52" t="n">
        <v>32.3</v>
      </c>
      <c r="F574" s="52" t="n"/>
      <c r="G574" s="51" t="inlineStr">
        <is>
          <t>Sat</t>
        </is>
      </c>
      <c r="H574" s="51" t="inlineStr">
        <is>
          <t>Weekend</t>
        </is>
      </c>
      <c r="I574" s="51" t="inlineStr">
        <is>
          <t>Summer</t>
        </is>
      </c>
      <c r="J574" s="51" t="n">
        <v>25</v>
      </c>
      <c r="K574" s="51" t="inlineStr">
        <is>
          <t>강수량 공란</t>
        </is>
      </c>
      <c r="L574" s="46" t="n">
        <v>22.08</v>
      </c>
      <c r="M574" t="inlineStr">
        <is>
          <t>Good</t>
        </is>
      </c>
      <c r="N574" s="87" t="n">
        <v>25</v>
      </c>
      <c r="O574" s="87" t="n">
        <v>0</v>
      </c>
      <c r="P574" s="87" t="n">
        <v>0</v>
      </c>
      <c r="Q574" s="87" t="n">
        <v>0</v>
      </c>
      <c r="R574" s="87" t="n">
        <v>0</v>
      </c>
      <c r="S574" s="47" t="n">
        <v>1.7</v>
      </c>
      <c r="T574" s="47" t="n">
        <v>61.9</v>
      </c>
      <c r="U574" s="47" t="n"/>
      <c r="V574" s="87" t="n">
        <v>1</v>
      </c>
      <c r="W574" s="87" t="n">
        <v>0</v>
      </c>
      <c r="Y574" t="inlineStr">
        <is>
          <t>Jul</t>
        </is>
      </c>
      <c r="Z574" s="87" t="n">
        <v>2025</v>
      </c>
      <c r="AA574" s="47">
        <f>IF(F574="",0,F574)</f>
        <v/>
      </c>
      <c r="AB574" s="87">
        <f>IF(AA574&gt;=0.1,1,0)</f>
        <v/>
      </c>
      <c r="AC574" s="87" t="n">
        <v>0</v>
      </c>
      <c r="AD574" s="47">
        <f>IF(U574="",0,U574)</f>
        <v/>
      </c>
      <c r="AE574" s="87">
        <f>IF(OR(V574=1,W574=1),1,0)</f>
        <v/>
      </c>
      <c r="AF574" s="87" t="n">
        <v>0</v>
      </c>
      <c r="AG574" t="n">
        <v>5907</v>
      </c>
      <c r="AH574" t="n">
        <v>86881</v>
      </c>
      <c r="AI574" t="n">
        <v>0</v>
      </c>
      <c r="AJ574" s="88">
        <f>IF(OR(AG574&lt;=0,AH574&lt;=0),"",LN(AG574)-LN(AH574))</f>
        <v/>
      </c>
      <c r="AK574" t="n">
        <v>14608</v>
      </c>
      <c r="AL574" t="n">
        <v>78180</v>
      </c>
      <c r="AM574" s="88">
        <f>IF(OR(AK574&lt;=0,AL574&lt;=0),"",LN(AK574)-LN(AL574))</f>
        <v/>
      </c>
      <c r="AN574" t="n">
        <v>5824</v>
      </c>
      <c r="AO574" t="n">
        <v>83105</v>
      </c>
      <c r="AP574" s="88">
        <f>IF(OR(AN574&lt;=0,AO574&lt;=0),"",LN(AN574)-LN(AO574))</f>
        <v/>
      </c>
      <c r="AQ574" t="n">
        <v>5718</v>
      </c>
      <c r="AR574" t="n">
        <v>86881</v>
      </c>
      <c r="AS574" s="88">
        <f>IF(OR(AQ574&lt;=0,AR574&lt;=0),"",LN(AQ574)-LN(AR574))</f>
        <v/>
      </c>
      <c r="AT574" t="n">
        <v>8384</v>
      </c>
      <c r="AU574" t="n">
        <v>83751</v>
      </c>
      <c r="AV574" t="n">
        <v>653</v>
      </c>
      <c r="AW574" t="n">
        <v>912</v>
      </c>
      <c r="AX574" t="n">
        <v>4947</v>
      </c>
      <c r="AY574" s="88">
        <f>IF(OR(AT574&lt;=0,AU574&lt;=0),"",LN(AT574)-LN(AU574))</f>
        <v/>
      </c>
      <c r="AZ574" s="46" t="n">
        <v>11</v>
      </c>
      <c r="BA574" s="46" t="n">
        <v>24.32</v>
      </c>
      <c r="BB574" s="47" t="n">
        <v>2.9</v>
      </c>
    </row>
    <row r="575">
      <c r="A575" s="48" t="n">
        <v>45865</v>
      </c>
      <c r="B575" s="49" t="n">
        <v>79637</v>
      </c>
      <c r="C575" s="50" t="n">
        <v>12.44</v>
      </c>
      <c r="D575" s="51" t="inlineStr">
        <is>
          <t>Good</t>
        </is>
      </c>
      <c r="E575" s="52" t="n">
        <v>32.8</v>
      </c>
      <c r="F575" s="52" t="n"/>
      <c r="G575" s="51" t="inlineStr">
        <is>
          <t>Sun</t>
        </is>
      </c>
      <c r="H575" s="51" t="inlineStr">
        <is>
          <t>Weekend</t>
        </is>
      </c>
      <c r="I575" s="51" t="inlineStr">
        <is>
          <t>Summer</t>
        </is>
      </c>
      <c r="J575" s="51" t="n">
        <v>25</v>
      </c>
      <c r="K575" s="51" t="inlineStr">
        <is>
          <t>강수량 공란</t>
        </is>
      </c>
      <c r="L575" s="46" t="n">
        <v>18.08</v>
      </c>
      <c r="M575" t="inlineStr">
        <is>
          <t>Good</t>
        </is>
      </c>
      <c r="N575" s="87" t="n">
        <v>25</v>
      </c>
      <c r="O575" s="87" t="n">
        <v>0</v>
      </c>
      <c r="P575" s="87" t="n">
        <v>0</v>
      </c>
      <c r="Q575" s="87" t="n">
        <v>0</v>
      </c>
      <c r="R575" s="87" t="n">
        <v>0</v>
      </c>
      <c r="S575" s="47" t="n">
        <v>2</v>
      </c>
      <c r="T575" s="47" t="n">
        <v>62.4</v>
      </c>
      <c r="U575" s="47" t="n"/>
      <c r="V575" s="87" t="n">
        <v>1</v>
      </c>
      <c r="W575" s="87" t="n">
        <v>0</v>
      </c>
      <c r="Y575" t="inlineStr">
        <is>
          <t>Jul</t>
        </is>
      </c>
      <c r="Z575" s="87" t="n">
        <v>2025</v>
      </c>
      <c r="AA575" s="47">
        <f>IF(F575="",0,F575)</f>
        <v/>
      </c>
      <c r="AB575" s="87">
        <f>IF(AA575&gt;=0.1,1,0)</f>
        <v/>
      </c>
      <c r="AC575" s="87" t="n">
        <v>0</v>
      </c>
      <c r="AD575" s="47">
        <f>IF(U575="",0,U575)</f>
        <v/>
      </c>
      <c r="AE575" s="87">
        <f>IF(OR(V575=1,W575=1),1,0)</f>
        <v/>
      </c>
      <c r="AF575" s="87" t="n">
        <v>0</v>
      </c>
      <c r="AG575" t="n">
        <v>5479</v>
      </c>
      <c r="AH575" t="n">
        <v>74158</v>
      </c>
      <c r="AI575" t="n">
        <v>0</v>
      </c>
      <c r="AJ575" s="88">
        <f>IF(OR(AG575&lt;=0,AH575&lt;=0),"",LN(AG575)-LN(AH575))</f>
        <v/>
      </c>
      <c r="AK575" t="n">
        <v>12868</v>
      </c>
      <c r="AL575" t="n">
        <v>66769</v>
      </c>
      <c r="AM575" s="88">
        <f>IF(OR(AK575&lt;=0,AL575&lt;=0),"",LN(AK575)-LN(AL575))</f>
        <v/>
      </c>
      <c r="AN575" t="n">
        <v>5387</v>
      </c>
      <c r="AO575" t="n">
        <v>70900</v>
      </c>
      <c r="AP575" s="88">
        <f>IF(OR(AN575&lt;=0,AO575&lt;=0),"",LN(AN575)-LN(AO575))</f>
        <v/>
      </c>
      <c r="AQ575" t="n">
        <v>5317</v>
      </c>
      <c r="AR575" t="n">
        <v>74158</v>
      </c>
      <c r="AS575" s="88">
        <f>IF(OR(AQ575&lt;=0,AR575&lt;=0),"",LN(AQ575)-LN(AR575))</f>
        <v/>
      </c>
      <c r="AT575" t="n">
        <v>7923</v>
      </c>
      <c r="AU575" t="n">
        <v>71243</v>
      </c>
      <c r="AV575" t="n">
        <v>471</v>
      </c>
      <c r="AW575" t="n">
        <v>837</v>
      </c>
      <c r="AX575" t="n">
        <v>4594</v>
      </c>
      <c r="AY575" s="88">
        <f>IF(OR(AT575&lt;=0,AU575&lt;=0),"",LN(AT575)-LN(AU575))</f>
        <v/>
      </c>
      <c r="AZ575" s="46" t="n">
        <v>12.5</v>
      </c>
      <c r="BA575" s="46" t="n">
        <v>28.42</v>
      </c>
      <c r="BB575" s="47" t="n">
        <v>0.6</v>
      </c>
    </row>
    <row r="576">
      <c r="A576" s="48" t="n">
        <v>45866</v>
      </c>
      <c r="B576" s="49" t="n">
        <v>119819</v>
      </c>
      <c r="C576" s="50" t="n">
        <v>25.44</v>
      </c>
      <c r="D576" s="51" t="inlineStr">
        <is>
          <t>Moderate</t>
        </is>
      </c>
      <c r="E576" s="52" t="n">
        <v>32.2</v>
      </c>
      <c r="F576" s="52" t="n"/>
      <c r="G576" s="51" t="inlineStr">
        <is>
          <t>Mon</t>
        </is>
      </c>
      <c r="H576" s="51" t="inlineStr">
        <is>
          <t>Weekday</t>
        </is>
      </c>
      <c r="I576" s="51" t="inlineStr">
        <is>
          <t>Summer</t>
        </is>
      </c>
      <c r="J576" s="51" t="n">
        <v>25</v>
      </c>
      <c r="K576" s="51" t="inlineStr">
        <is>
          <t>강수량 공란</t>
        </is>
      </c>
      <c r="L576" s="46" t="n">
        <v>36.28</v>
      </c>
      <c r="M576" t="inlineStr">
        <is>
          <t>Moderate</t>
        </is>
      </c>
      <c r="N576" s="87" t="n">
        <v>25</v>
      </c>
      <c r="O576" s="87" t="n">
        <v>0</v>
      </c>
      <c r="P576" s="87" t="n">
        <v>0</v>
      </c>
      <c r="Q576" s="87" t="n">
        <v>0</v>
      </c>
      <c r="R576" s="87" t="n">
        <v>0</v>
      </c>
      <c r="S576" s="47" t="n">
        <v>2</v>
      </c>
      <c r="T576" s="47" t="n">
        <v>67.3</v>
      </c>
      <c r="U576" s="47" t="n"/>
      <c r="V576" s="87" t="n">
        <v>0</v>
      </c>
      <c r="W576" s="87" t="n">
        <v>0</v>
      </c>
      <c r="Y576" t="inlineStr">
        <is>
          <t>Jul</t>
        </is>
      </c>
      <c r="Z576" s="87" t="n">
        <v>2025</v>
      </c>
      <c r="AA576" s="47">
        <f>IF(F576="",0,F576)</f>
        <v/>
      </c>
      <c r="AB576" s="87">
        <f>IF(AA576&gt;=0.1,1,0)</f>
        <v/>
      </c>
      <c r="AC576" s="87" t="n">
        <v>0</v>
      </c>
      <c r="AD576" s="47">
        <f>IF(U576="",0,U576)</f>
        <v/>
      </c>
      <c r="AE576" s="87">
        <f>IF(OR(V576=1,W576=1),1,0)</f>
        <v/>
      </c>
      <c r="AF576" s="87" t="n">
        <v>0</v>
      </c>
      <c r="AG576" t="n">
        <v>6292</v>
      </c>
      <c r="AH576" t="n">
        <v>113527</v>
      </c>
      <c r="AI576" t="n">
        <v>0</v>
      </c>
      <c r="AJ576" s="88">
        <f>IF(OR(AG576&lt;=0,AH576&lt;=0),"",LN(AG576)-LN(AH576))</f>
        <v/>
      </c>
      <c r="AK576" t="n">
        <v>17668</v>
      </c>
      <c r="AL576" t="n">
        <v>102151</v>
      </c>
      <c r="AM576" s="88">
        <f>IF(OR(AK576&lt;=0,AL576&lt;=0),"",LN(AK576)-LN(AL576))</f>
        <v/>
      </c>
      <c r="AN576" t="n">
        <v>6190</v>
      </c>
      <c r="AO576" t="n">
        <v>108764</v>
      </c>
      <c r="AP576" s="88">
        <f>IF(OR(AN576&lt;=0,AO576&lt;=0),"",LN(AN576)-LN(AO576))</f>
        <v/>
      </c>
      <c r="AQ576" t="n">
        <v>6122</v>
      </c>
      <c r="AR576" t="n">
        <v>113527</v>
      </c>
      <c r="AS576" s="88">
        <f>IF(OR(AQ576&lt;=0,AR576&lt;=0),"",LN(AQ576)-LN(AR576))</f>
        <v/>
      </c>
      <c r="AT576" t="n">
        <v>8379</v>
      </c>
      <c r="AU576" t="n">
        <v>110682</v>
      </c>
      <c r="AV576" t="n">
        <v>760</v>
      </c>
      <c r="AW576" t="n">
        <v>657</v>
      </c>
      <c r="AX576" t="n">
        <v>5587</v>
      </c>
      <c r="AY576" s="88">
        <f>IF(OR(AT576&lt;=0,AU576&lt;=0),"",LN(AT576)-LN(AU576))</f>
        <v/>
      </c>
      <c r="AZ576" s="46" t="n">
        <v>11.9</v>
      </c>
      <c r="BA576" s="46" t="n">
        <v>27</v>
      </c>
      <c r="BB576" s="47" t="n">
        <v>1.6</v>
      </c>
    </row>
    <row r="577">
      <c r="A577" s="48" t="n">
        <v>45867</v>
      </c>
      <c r="B577" s="49" t="n">
        <v>122990</v>
      </c>
      <c r="C577" s="50" t="n">
        <v>25.6</v>
      </c>
      <c r="D577" s="51" t="inlineStr">
        <is>
          <t>Moderate</t>
        </is>
      </c>
      <c r="E577" s="52" t="n">
        <v>32</v>
      </c>
      <c r="F577" s="52" t="n"/>
      <c r="G577" s="51" t="inlineStr">
        <is>
          <t>Tue</t>
        </is>
      </c>
      <c r="H577" s="51" t="inlineStr">
        <is>
          <t>Weekday</t>
        </is>
      </c>
      <c r="I577" s="51" t="inlineStr">
        <is>
          <t>Summer</t>
        </is>
      </c>
      <c r="J577" s="51" t="n">
        <v>25</v>
      </c>
      <c r="K577" s="51" t="inlineStr">
        <is>
          <t>강수량 공란</t>
        </is>
      </c>
      <c r="L577" s="46" t="n">
        <v>37.56</v>
      </c>
      <c r="M577" t="inlineStr">
        <is>
          <t>Moderate</t>
        </is>
      </c>
      <c r="N577" s="87" t="n">
        <v>25</v>
      </c>
      <c r="O577" s="87" t="n">
        <v>0</v>
      </c>
      <c r="P577" s="87" t="n">
        <v>0</v>
      </c>
      <c r="Q577" s="87" t="n">
        <v>0</v>
      </c>
      <c r="R577" s="87" t="n">
        <v>0</v>
      </c>
      <c r="S577" s="47" t="n">
        <v>2</v>
      </c>
      <c r="T577" s="47" t="n">
        <v>64</v>
      </c>
      <c r="U577" s="47" t="n"/>
      <c r="V577" s="87" t="n">
        <v>0</v>
      </c>
      <c r="W577" s="87" t="n">
        <v>0</v>
      </c>
      <c r="Y577" t="inlineStr">
        <is>
          <t>Jul</t>
        </is>
      </c>
      <c r="Z577" s="87" t="n">
        <v>2025</v>
      </c>
      <c r="AA577" s="47">
        <f>IF(F577="",0,F577)</f>
        <v/>
      </c>
      <c r="AB577" s="87">
        <f>IF(AA577&gt;=0.1,1,0)</f>
        <v/>
      </c>
      <c r="AC577" s="87" t="n">
        <v>0</v>
      </c>
      <c r="AD577" s="47">
        <f>IF(U577="",0,U577)</f>
        <v/>
      </c>
      <c r="AE577" s="87">
        <f>IF(OR(V577=1,W577=1),1,0)</f>
        <v/>
      </c>
      <c r="AF577" s="87" t="n">
        <v>0</v>
      </c>
      <c r="AG577" t="n">
        <v>6399</v>
      </c>
      <c r="AH577" t="n">
        <v>116591</v>
      </c>
      <c r="AI577" t="n">
        <v>0</v>
      </c>
      <c r="AJ577" s="88">
        <f>IF(OR(AG577&lt;=0,AH577&lt;=0),"",LN(AG577)-LN(AH577))</f>
        <v/>
      </c>
      <c r="AK577" t="n">
        <v>17878</v>
      </c>
      <c r="AL577" t="n">
        <v>105112</v>
      </c>
      <c r="AM577" s="88">
        <f>IF(OR(AK577&lt;=0,AL577&lt;=0),"",LN(AK577)-LN(AL577))</f>
        <v/>
      </c>
      <c r="AN577" t="n">
        <v>6305</v>
      </c>
      <c r="AO577" t="n">
        <v>111465</v>
      </c>
      <c r="AP577" s="88">
        <f>IF(OR(AN577&lt;=0,AO577&lt;=0),"",LN(AN577)-LN(AO577))</f>
        <v/>
      </c>
      <c r="AQ577" t="n">
        <v>6212</v>
      </c>
      <c r="AR577" t="n">
        <v>116591</v>
      </c>
      <c r="AS577" s="88">
        <f>IF(OR(AQ577&lt;=0,AR577&lt;=0),"",LN(AQ577)-LN(AR577))</f>
        <v/>
      </c>
      <c r="AT577" t="n">
        <v>8454</v>
      </c>
      <c r="AU577" t="n">
        <v>113700</v>
      </c>
      <c r="AV577" t="n">
        <v>836</v>
      </c>
      <c r="AW577" t="n">
        <v>659</v>
      </c>
      <c r="AX577" t="n">
        <v>5690</v>
      </c>
      <c r="AY577" s="88">
        <f>IF(OR(AT577&lt;=0,AU577&lt;=0),"",LN(AT577)-LN(AU577))</f>
        <v/>
      </c>
      <c r="AZ577" s="46" t="n">
        <v>8.9</v>
      </c>
      <c r="BA577" s="46" t="n">
        <v>20.41</v>
      </c>
      <c r="BB577" s="47" t="n">
        <v>2.9</v>
      </c>
    </row>
    <row r="578">
      <c r="A578" s="48" t="n">
        <v>45868</v>
      </c>
      <c r="B578" s="49" t="n">
        <v>126207</v>
      </c>
      <c r="C578" s="50" t="n">
        <v>20.36</v>
      </c>
      <c r="D578" s="51" t="inlineStr">
        <is>
          <t>Moderate</t>
        </is>
      </c>
      <c r="E578" s="52" t="n">
        <v>32.1</v>
      </c>
      <c r="F578" s="52" t="n"/>
      <c r="G578" s="51" t="inlineStr">
        <is>
          <t>Wed</t>
        </is>
      </c>
      <c r="H578" s="51" t="inlineStr">
        <is>
          <t>Weekday</t>
        </is>
      </c>
      <c r="I578" s="51" t="inlineStr">
        <is>
          <t>Summer</t>
        </is>
      </c>
      <c r="J578" s="51" t="n">
        <v>25</v>
      </c>
      <c r="K578" s="51" t="inlineStr">
        <is>
          <t>강수량 공란</t>
        </is>
      </c>
      <c r="L578" s="46" t="n">
        <v>29.24</v>
      </c>
      <c r="M578" t="inlineStr">
        <is>
          <t>Good</t>
        </is>
      </c>
      <c r="N578" s="87" t="n">
        <v>25</v>
      </c>
      <c r="O578" s="87" t="n">
        <v>0</v>
      </c>
      <c r="P578" s="87" t="n">
        <v>0</v>
      </c>
      <c r="Q578" s="87" t="n">
        <v>0</v>
      </c>
      <c r="R578" s="87" t="n">
        <v>0</v>
      </c>
      <c r="S578" s="47" t="n">
        <v>1.7</v>
      </c>
      <c r="T578" s="47" t="n">
        <v>62.9</v>
      </c>
      <c r="U578" s="47" t="n"/>
      <c r="V578" s="87" t="n">
        <v>0</v>
      </c>
      <c r="W578" s="87" t="n">
        <v>0</v>
      </c>
      <c r="Y578" t="inlineStr">
        <is>
          <t>Jul</t>
        </is>
      </c>
      <c r="Z578" s="87" t="n">
        <v>2025</v>
      </c>
      <c r="AA578" s="47">
        <f>IF(F578="",0,F578)</f>
        <v/>
      </c>
      <c r="AB578" s="87">
        <f>IF(AA578&gt;=0.1,1,0)</f>
        <v/>
      </c>
      <c r="AC578" s="87" t="n">
        <v>0</v>
      </c>
      <c r="AD578" s="47">
        <f>IF(U578="",0,U578)</f>
        <v/>
      </c>
      <c r="AE578" s="87">
        <f>IF(OR(V578=1,W578=1),1,0)</f>
        <v/>
      </c>
      <c r="AF578" s="87" t="n">
        <v>0</v>
      </c>
      <c r="AG578" t="n">
        <v>6497</v>
      </c>
      <c r="AH578" t="n">
        <v>119710</v>
      </c>
      <c r="AI578" t="n">
        <v>0</v>
      </c>
      <c r="AJ578" s="88">
        <f>IF(OR(AG578&lt;=0,AH578&lt;=0),"",LN(AG578)-LN(AH578))</f>
        <v/>
      </c>
      <c r="AK578" t="n">
        <v>18364</v>
      </c>
      <c r="AL578" t="n">
        <v>107843</v>
      </c>
      <c r="AM578" s="88">
        <f>IF(OR(AK578&lt;=0,AL578&lt;=0),"",LN(AK578)-LN(AL578))</f>
        <v/>
      </c>
      <c r="AN578" t="n">
        <v>6386</v>
      </c>
      <c r="AO578" t="n">
        <v>114484</v>
      </c>
      <c r="AP578" s="88">
        <f>IF(OR(AN578&lt;=0,AO578&lt;=0),"",LN(AN578)-LN(AO578))</f>
        <v/>
      </c>
      <c r="AQ578" t="n">
        <v>6306</v>
      </c>
      <c r="AR578" t="n">
        <v>119710</v>
      </c>
      <c r="AS578" s="88">
        <f>IF(OR(AQ578&lt;=0,AR578&lt;=0),"",LN(AQ578)-LN(AR578))</f>
        <v/>
      </c>
      <c r="AT578" t="n">
        <v>8359</v>
      </c>
      <c r="AU578" t="n">
        <v>117027</v>
      </c>
      <c r="AV578" t="n">
        <v>824</v>
      </c>
      <c r="AW578" t="n">
        <v>637</v>
      </c>
      <c r="AX578" t="n">
        <v>5812</v>
      </c>
      <c r="AY578" s="88">
        <f>IF(OR(AT578&lt;=0,AU578&lt;=0),"",LN(AT578)-LN(AU578))</f>
        <v/>
      </c>
      <c r="AZ578" s="46" t="n">
        <v>5.6</v>
      </c>
      <c r="BA578" s="46" t="n">
        <v>19.51</v>
      </c>
      <c r="BB578" s="47" t="n">
        <v>7.3</v>
      </c>
    </row>
    <row r="579">
      <c r="A579" s="48" t="n">
        <v>45869</v>
      </c>
      <c r="B579" s="49" t="n">
        <v>130746</v>
      </c>
      <c r="C579" s="50" t="n">
        <v>19.36</v>
      </c>
      <c r="D579" s="51" t="inlineStr">
        <is>
          <t>Moderate</t>
        </is>
      </c>
      <c r="E579" s="52" t="n">
        <v>30.9</v>
      </c>
      <c r="F579" s="52" t="n"/>
      <c r="G579" s="51" t="inlineStr">
        <is>
          <t>Thu</t>
        </is>
      </c>
      <c r="H579" s="51" t="inlineStr">
        <is>
          <t>Weekday</t>
        </is>
      </c>
      <c r="I579" s="51" t="inlineStr">
        <is>
          <t>Summer</t>
        </is>
      </c>
      <c r="J579" s="51" t="n">
        <v>25</v>
      </c>
      <c r="K579" s="51" t="inlineStr">
        <is>
          <t>강수량 공란</t>
        </is>
      </c>
      <c r="L579" s="46" t="n">
        <v>27.56</v>
      </c>
      <c r="M579" t="inlineStr">
        <is>
          <t>Good</t>
        </is>
      </c>
      <c r="N579" s="87" t="n">
        <v>25</v>
      </c>
      <c r="O579" s="87" t="n">
        <v>0</v>
      </c>
      <c r="P579" s="87" t="n">
        <v>0</v>
      </c>
      <c r="Q579" s="87" t="n">
        <v>0</v>
      </c>
      <c r="R579" s="87" t="n">
        <v>0</v>
      </c>
      <c r="S579" s="47" t="n">
        <v>2</v>
      </c>
      <c r="T579" s="47" t="n">
        <v>62.3</v>
      </c>
      <c r="U579" s="47" t="n"/>
      <c r="V579" s="87" t="n">
        <v>0</v>
      </c>
      <c r="W579" s="87" t="n">
        <v>0</v>
      </c>
      <c r="Y579" t="inlineStr">
        <is>
          <t>Jul</t>
        </is>
      </c>
      <c r="Z579" s="87" t="n">
        <v>2025</v>
      </c>
      <c r="AA579" s="47">
        <f>IF(F579="",0,F579)</f>
        <v/>
      </c>
      <c r="AB579" s="87">
        <f>IF(AA579&gt;=0.1,1,0)</f>
        <v/>
      </c>
      <c r="AC579" s="87" t="n">
        <v>0</v>
      </c>
      <c r="AD579" s="47">
        <f>IF(U579="",0,U579)</f>
        <v/>
      </c>
      <c r="AE579" s="87">
        <f>IF(OR(V579=1,W579=1),1,0)</f>
        <v/>
      </c>
      <c r="AF579" s="87" t="n">
        <v>0</v>
      </c>
      <c r="AG579" t="n">
        <v>7098</v>
      </c>
      <c r="AH579" t="n">
        <v>123648</v>
      </c>
      <c r="AI579" t="n">
        <v>0</v>
      </c>
      <c r="AJ579" s="88">
        <f>IF(OR(AG579&lt;=0,AH579&lt;=0),"",LN(AG579)-LN(AH579))</f>
        <v/>
      </c>
      <c r="AK579" t="n">
        <v>19266</v>
      </c>
      <c r="AL579" t="n">
        <v>111480</v>
      </c>
      <c r="AM579" s="88">
        <f>IF(OR(AK579&lt;=0,AL579&lt;=0),"",LN(AK579)-LN(AL579))</f>
        <v/>
      </c>
      <c r="AN579" t="n">
        <v>6986</v>
      </c>
      <c r="AO579" t="n">
        <v>118389</v>
      </c>
      <c r="AP579" s="88">
        <f>IF(OR(AN579&lt;=0,AO579&lt;=0),"",LN(AN579)-LN(AO579))</f>
        <v/>
      </c>
      <c r="AQ579" t="n">
        <v>6895</v>
      </c>
      <c r="AR579" t="n">
        <v>123648</v>
      </c>
      <c r="AS579" s="88">
        <f>IF(OR(AQ579&lt;=0,AR579&lt;=0),"",LN(AQ579)-LN(AR579))</f>
        <v/>
      </c>
      <c r="AT579" t="n">
        <v>8968</v>
      </c>
      <c r="AU579" t="n">
        <v>120855</v>
      </c>
      <c r="AV579" t="n">
        <v>926</v>
      </c>
      <c r="AW579" t="n">
        <v>749</v>
      </c>
      <c r="AX579" t="n">
        <v>6285</v>
      </c>
      <c r="AY579" s="88">
        <f>IF(OR(AT579&lt;=0,AU579&lt;=0),"",LN(AT579)-LN(AU579))</f>
        <v/>
      </c>
      <c r="AZ579" s="46" t="n">
        <v>1.1</v>
      </c>
      <c r="BA579" s="46" t="n">
        <v>13.17</v>
      </c>
      <c r="BB579" s="47" t="n">
        <v>8.9</v>
      </c>
    </row>
    <row r="580">
      <c r="A580" s="48" t="n">
        <v>45870</v>
      </c>
      <c r="B580" s="49" t="n">
        <v>125616</v>
      </c>
      <c r="C580" s="50" t="n">
        <v>26</v>
      </c>
      <c r="D580" s="51" t="inlineStr">
        <is>
          <t>Moderate</t>
        </is>
      </c>
      <c r="E580" s="52" t="n">
        <v>31</v>
      </c>
      <c r="F580" s="52" t="n">
        <v>0</v>
      </c>
      <c r="G580" s="51" t="inlineStr">
        <is>
          <t>Fri</t>
        </is>
      </c>
      <c r="H580" s="51" t="inlineStr">
        <is>
          <t>Weekday</t>
        </is>
      </c>
      <c r="I580" s="51" t="inlineStr">
        <is>
          <t>Summer</t>
        </is>
      </c>
      <c r="J580" s="51" t="n">
        <v>25</v>
      </c>
      <c r="K580" s="51" t="inlineStr">
        <is>
          <t>OK</t>
        </is>
      </c>
      <c r="L580" s="46" t="n">
        <v>35.08</v>
      </c>
      <c r="M580" t="inlineStr">
        <is>
          <t>Moderate</t>
        </is>
      </c>
      <c r="N580" s="87" t="n">
        <v>25</v>
      </c>
      <c r="O580" s="87" t="n">
        <v>0</v>
      </c>
      <c r="P580" s="87" t="n">
        <v>0</v>
      </c>
      <c r="Q580" s="87" t="n">
        <v>0</v>
      </c>
      <c r="R580" s="87" t="n">
        <v>0</v>
      </c>
      <c r="S580" s="47" t="n">
        <v>1.9</v>
      </c>
      <c r="T580" s="47" t="n">
        <v>66.90000000000001</v>
      </c>
      <c r="U580" s="47" t="n"/>
      <c r="V580" s="87" t="n">
        <v>0</v>
      </c>
      <c r="W580" s="87" t="n">
        <v>0</v>
      </c>
      <c r="Y580" t="inlineStr">
        <is>
          <t>Aug</t>
        </is>
      </c>
      <c r="Z580" s="87" t="n">
        <v>2025</v>
      </c>
      <c r="AA580" s="47">
        <f>IF(F580="",0,F580)</f>
        <v/>
      </c>
      <c r="AB580" s="87">
        <f>IF(AA580&gt;=0.1,1,0)</f>
        <v/>
      </c>
      <c r="AC580" s="87" t="n">
        <v>1</v>
      </c>
      <c r="AD580" s="47">
        <f>IF(U580="",0,U580)</f>
        <v/>
      </c>
      <c r="AE580" s="87">
        <f>IF(OR(V580=1,W580=1),1,0)</f>
        <v/>
      </c>
      <c r="AF580" s="87" t="n">
        <v>0</v>
      </c>
      <c r="AG580" t="n">
        <v>6897</v>
      </c>
      <c r="AH580" t="n">
        <v>118719</v>
      </c>
      <c r="AI580" t="n">
        <v>0</v>
      </c>
      <c r="AJ580" s="88">
        <f>IF(OR(AG580&lt;=0,AH580&lt;=0),"",LN(AG580)-LN(AH580))</f>
        <v/>
      </c>
      <c r="AK580" t="n">
        <v>18780</v>
      </c>
      <c r="AL580" t="n">
        <v>106836</v>
      </c>
      <c r="AM580" s="88">
        <f>IF(OR(AK580&lt;=0,AL580&lt;=0),"",LN(AK580)-LN(AL580))</f>
        <v/>
      </c>
      <c r="AN580" t="n">
        <v>6476</v>
      </c>
      <c r="AO580" t="n">
        <v>113428</v>
      </c>
      <c r="AP580" s="88">
        <f>IF(OR(AN580&lt;=0,AO580&lt;=0),"",LN(AN580)-LN(AO580))</f>
        <v/>
      </c>
      <c r="AQ580" t="n">
        <v>6700</v>
      </c>
      <c r="AR580" t="n">
        <v>118719</v>
      </c>
      <c r="AS580" s="88">
        <f>IF(OR(AQ580&lt;=0,AR580&lt;=0),"",LN(AQ580)-LN(AR580))</f>
        <v/>
      </c>
      <c r="AT580" t="n">
        <v>8670</v>
      </c>
      <c r="AU580" t="n">
        <v>116114</v>
      </c>
      <c r="AV580" t="n">
        <v>833</v>
      </c>
      <c r="AW580" t="n">
        <v>740</v>
      </c>
      <c r="AX580" t="n">
        <v>6099</v>
      </c>
      <c r="AY580" s="88">
        <f>IF(OR(AT580&lt;=0,AU580&lt;=0),"",LN(AT580)-LN(AU580))</f>
        <v/>
      </c>
      <c r="AZ580" s="46" t="n">
        <v>4.5</v>
      </c>
      <c r="BA580" s="46" t="n">
        <v>16.09</v>
      </c>
      <c r="BB580" s="47" t="n">
        <v>8.4</v>
      </c>
    </row>
    <row r="581">
      <c r="A581" s="48" t="n">
        <v>45871</v>
      </c>
      <c r="B581" s="49" t="n">
        <v>96593</v>
      </c>
      <c r="C581" s="50" t="n">
        <v>25.24</v>
      </c>
      <c r="D581" s="51" t="inlineStr">
        <is>
          <t>Moderate</t>
        </is>
      </c>
      <c r="E581" s="52" t="n">
        <v>31.2</v>
      </c>
      <c r="F581" s="52" t="n"/>
      <c r="G581" s="51" t="inlineStr">
        <is>
          <t>Sat</t>
        </is>
      </c>
      <c r="H581" s="51" t="inlineStr">
        <is>
          <t>Weekend</t>
        </is>
      </c>
      <c r="I581" s="51" t="inlineStr">
        <is>
          <t>Summer</t>
        </is>
      </c>
      <c r="J581" s="51" t="n">
        <v>25</v>
      </c>
      <c r="K581" s="51" t="inlineStr">
        <is>
          <t>강수량 공란</t>
        </is>
      </c>
      <c r="L581" s="46" t="n">
        <v>33.96</v>
      </c>
      <c r="M581" t="inlineStr">
        <is>
          <t>Moderate</t>
        </is>
      </c>
      <c r="N581" s="87" t="n">
        <v>25</v>
      </c>
      <c r="O581" s="87" t="n">
        <v>0</v>
      </c>
      <c r="P581" s="87" t="n">
        <v>0</v>
      </c>
      <c r="Q581" s="87" t="n">
        <v>0</v>
      </c>
      <c r="R581" s="87" t="n">
        <v>0</v>
      </c>
      <c r="S581" s="47" t="n">
        <v>1.8</v>
      </c>
      <c r="T581" s="47" t="n">
        <v>62.1</v>
      </c>
      <c r="U581" s="47" t="n"/>
      <c r="V581" s="87" t="n">
        <v>1</v>
      </c>
      <c r="W581" s="87" t="n">
        <v>0</v>
      </c>
      <c r="Y581" t="inlineStr">
        <is>
          <t>Aug</t>
        </is>
      </c>
      <c r="Z581" s="87" t="n">
        <v>2025</v>
      </c>
      <c r="AA581" s="47">
        <f>IF(F581="",0,F581)</f>
        <v/>
      </c>
      <c r="AB581" s="87">
        <f>IF(AA581&gt;=0.1,1,0)</f>
        <v/>
      </c>
      <c r="AC581" s="87" t="n">
        <v>0</v>
      </c>
      <c r="AD581" s="47">
        <f>IF(U581="",0,U581)</f>
        <v/>
      </c>
      <c r="AE581" s="87">
        <f>IF(OR(V581=1,W581=1),1,0)</f>
        <v/>
      </c>
      <c r="AF581" s="87" t="n">
        <v>0</v>
      </c>
      <c r="AG581" t="n">
        <v>6741</v>
      </c>
      <c r="AH581" t="n">
        <v>89852</v>
      </c>
      <c r="AI581" t="n">
        <v>0</v>
      </c>
      <c r="AJ581" s="88">
        <f>IF(OR(AG581&lt;=0,AH581&lt;=0),"",LN(AG581)-LN(AH581))</f>
        <v/>
      </c>
      <c r="AK581" t="n">
        <v>15993</v>
      </c>
      <c r="AL581" t="n">
        <v>80600</v>
      </c>
      <c r="AM581" s="88">
        <f>IF(OR(AK581&lt;=0,AL581&lt;=0),"",LN(AK581)-LN(AL581))</f>
        <v/>
      </c>
      <c r="AN581" t="n">
        <v>6193</v>
      </c>
      <c r="AO581" t="n">
        <v>85965</v>
      </c>
      <c r="AP581" s="88">
        <f>IF(OR(AN581&lt;=0,AO581&lt;=0),"",LN(AN581)-LN(AO581))</f>
        <v/>
      </c>
      <c r="AQ581" t="n">
        <v>6539</v>
      </c>
      <c r="AR581" t="n">
        <v>89852</v>
      </c>
      <c r="AS581" s="88">
        <f>IF(OR(AQ581&lt;=0,AR581&lt;=0),"",LN(AQ581)-LN(AR581))</f>
        <v/>
      </c>
      <c r="AT581" t="n">
        <v>8729</v>
      </c>
      <c r="AU581" t="n">
        <v>87220</v>
      </c>
      <c r="AV581" t="n">
        <v>644</v>
      </c>
      <c r="AW581" t="n">
        <v>1034</v>
      </c>
      <c r="AX581" t="n">
        <v>5648</v>
      </c>
      <c r="AY581" s="88">
        <f>IF(OR(AT581&lt;=0,AU581&lt;=0),"",LN(AT581)-LN(AU581))</f>
        <v/>
      </c>
      <c r="AZ581" s="46" t="n">
        <v>8.699999999999999</v>
      </c>
      <c r="BA581" s="46" t="n">
        <v>20.88</v>
      </c>
      <c r="BB581" s="47" t="n">
        <v>5.4</v>
      </c>
    </row>
    <row r="582">
      <c r="A582" s="48" t="n">
        <v>45872</v>
      </c>
      <c r="B582" s="49" t="n">
        <v>71584</v>
      </c>
      <c r="C582" s="50" t="n">
        <v>21.96</v>
      </c>
      <c r="D582" s="51" t="inlineStr">
        <is>
          <t>Moderate</t>
        </is>
      </c>
      <c r="E582" s="52" t="n">
        <v>28.8</v>
      </c>
      <c r="F582" s="52" t="n">
        <v>1.3</v>
      </c>
      <c r="G582" s="51" t="inlineStr">
        <is>
          <t>Sun</t>
        </is>
      </c>
      <c r="H582" s="51" t="inlineStr">
        <is>
          <t>Weekend</t>
        </is>
      </c>
      <c r="I582" s="51" t="inlineStr">
        <is>
          <t>Summer</t>
        </is>
      </c>
      <c r="J582" s="51" t="n">
        <v>25</v>
      </c>
      <c r="K582" s="51" t="inlineStr">
        <is>
          <t>OK</t>
        </is>
      </c>
      <c r="L582" s="46" t="n">
        <v>27.8</v>
      </c>
      <c r="M582" t="inlineStr">
        <is>
          <t>Good</t>
        </is>
      </c>
      <c r="N582" s="87" t="n">
        <v>25</v>
      </c>
      <c r="O582" s="87" t="n">
        <v>0</v>
      </c>
      <c r="P582" s="87" t="n">
        <v>0</v>
      </c>
      <c r="Q582" s="87" t="n">
        <v>0</v>
      </c>
      <c r="R582" s="87" t="n">
        <v>0</v>
      </c>
      <c r="S582" s="47" t="n">
        <v>2</v>
      </c>
      <c r="T582" s="47" t="n">
        <v>69</v>
      </c>
      <c r="U582" s="47" t="n"/>
      <c r="V582" s="87" t="n">
        <v>1</v>
      </c>
      <c r="W582" s="87" t="n">
        <v>0</v>
      </c>
      <c r="Y582" t="inlineStr">
        <is>
          <t>Aug</t>
        </is>
      </c>
      <c r="Z582" s="87" t="n">
        <v>2025</v>
      </c>
      <c r="AA582" s="47">
        <f>IF(F582="",0,F582)</f>
        <v/>
      </c>
      <c r="AB582" s="87">
        <f>IF(AA582&gt;=0.1,1,0)</f>
        <v/>
      </c>
      <c r="AC582" s="87" t="n">
        <v>0</v>
      </c>
      <c r="AD582" s="47">
        <f>IF(U582="",0,U582)</f>
        <v/>
      </c>
      <c r="AE582" s="87">
        <f>IF(OR(V582=1,W582=1),1,0)</f>
        <v/>
      </c>
      <c r="AF582" s="87" t="n">
        <v>0</v>
      </c>
      <c r="AG582" t="n">
        <v>4916</v>
      </c>
      <c r="AH582" t="n">
        <v>66668</v>
      </c>
      <c r="AI582" t="n">
        <v>0</v>
      </c>
      <c r="AJ582" s="88">
        <f>IF(OR(AG582&lt;=0,AH582&lt;=0),"",LN(AG582)-LN(AH582))</f>
        <v/>
      </c>
      <c r="AK582" t="n">
        <v>11518</v>
      </c>
      <c r="AL582" t="n">
        <v>60066</v>
      </c>
      <c r="AM582" s="88">
        <f>IF(OR(AK582&lt;=0,AL582&lt;=0),"",LN(AK582)-LN(AL582))</f>
        <v/>
      </c>
      <c r="AN582" t="n">
        <v>4461</v>
      </c>
      <c r="AO582" t="n">
        <v>63954</v>
      </c>
      <c r="AP582" s="88">
        <f>IF(OR(AN582&lt;=0,AO582&lt;=0),"",LN(AN582)-LN(AO582))</f>
        <v/>
      </c>
      <c r="AQ582" t="n">
        <v>4761</v>
      </c>
      <c r="AR582" t="n">
        <v>66668</v>
      </c>
      <c r="AS582" s="88">
        <f>IF(OR(AQ582&lt;=0,AR582&lt;=0),"",LN(AQ582)-LN(AR582))</f>
        <v/>
      </c>
      <c r="AT582" t="n">
        <v>6624</v>
      </c>
      <c r="AU582" t="n">
        <v>64501</v>
      </c>
      <c r="AV582" t="n">
        <v>459</v>
      </c>
      <c r="AW582" t="n">
        <v>664</v>
      </c>
      <c r="AX582" t="n">
        <v>4216</v>
      </c>
      <c r="AY582" s="88">
        <f>IF(OR(AT582&lt;=0,AU582&lt;=0),"",LN(AT582)-LN(AU582))</f>
        <v/>
      </c>
      <c r="AZ582" s="46" t="n">
        <v>0.2</v>
      </c>
      <c r="BA582" s="46" t="n">
        <v>8.08</v>
      </c>
      <c r="BB582" s="47" t="n">
        <v>9</v>
      </c>
    </row>
    <row r="583">
      <c r="A583" s="48" t="n">
        <v>45873</v>
      </c>
      <c r="B583" s="49" t="n">
        <v>121342</v>
      </c>
      <c r="C583" s="50" t="n">
        <v>11.84</v>
      </c>
      <c r="D583" s="51" t="inlineStr">
        <is>
          <t>Good</t>
        </is>
      </c>
      <c r="E583" s="52" t="n">
        <v>28.1</v>
      </c>
      <c r="F583" s="52" t="n">
        <v>1.9</v>
      </c>
      <c r="G583" s="51" t="inlineStr">
        <is>
          <t>Mon</t>
        </is>
      </c>
      <c r="H583" s="51" t="inlineStr">
        <is>
          <t>Weekday</t>
        </is>
      </c>
      <c r="I583" s="51" t="inlineStr">
        <is>
          <t>Summer</t>
        </is>
      </c>
      <c r="J583" s="51" t="n">
        <v>25</v>
      </c>
      <c r="K583" s="51" t="inlineStr">
        <is>
          <t>OK</t>
        </is>
      </c>
      <c r="L583" s="46" t="n">
        <v>17.16</v>
      </c>
      <c r="M583" t="inlineStr">
        <is>
          <t>Good</t>
        </is>
      </c>
      <c r="N583" s="87" t="n">
        <v>25</v>
      </c>
      <c r="O583" s="87" t="n">
        <v>0</v>
      </c>
      <c r="P583" s="87" t="n">
        <v>0</v>
      </c>
      <c r="Q583" s="87" t="n">
        <v>0</v>
      </c>
      <c r="R583" s="87" t="n">
        <v>0</v>
      </c>
      <c r="S583" s="47" t="n">
        <v>2.2</v>
      </c>
      <c r="T583" s="47" t="n">
        <v>75.5</v>
      </c>
      <c r="U583" s="47" t="n"/>
      <c r="V583" s="87" t="n">
        <v>0</v>
      </c>
      <c r="W583" s="87" t="n">
        <v>0</v>
      </c>
      <c r="Y583" t="inlineStr">
        <is>
          <t>Aug</t>
        </is>
      </c>
      <c r="Z583" s="87" t="n">
        <v>2025</v>
      </c>
      <c r="AA583" s="47">
        <f>IF(F583="",0,F583)</f>
        <v/>
      </c>
      <c r="AB583" s="87">
        <f>IF(AA583&gt;=0.1,1,0)</f>
        <v/>
      </c>
      <c r="AC583" s="87" t="n">
        <v>0</v>
      </c>
      <c r="AD583" s="47">
        <f>IF(U583="",0,U583)</f>
        <v/>
      </c>
      <c r="AE583" s="87">
        <f>IF(OR(V583=1,W583=1),1,0)</f>
        <v/>
      </c>
      <c r="AF583" s="87" t="n">
        <v>0</v>
      </c>
      <c r="AG583" t="n">
        <v>6995</v>
      </c>
      <c r="AH583" t="n">
        <v>114347</v>
      </c>
      <c r="AI583" t="n">
        <v>0</v>
      </c>
      <c r="AJ583" s="88">
        <f>IF(OR(AG583&lt;=0,AH583&lt;=0),"",LN(AG583)-LN(AH583))</f>
        <v/>
      </c>
      <c r="AK583" t="n">
        <v>18786</v>
      </c>
      <c r="AL583" t="n">
        <v>102556</v>
      </c>
      <c r="AM583" s="88">
        <f>IF(OR(AK583&lt;=0,AL583&lt;=0),"",LN(AK583)-LN(AL583))</f>
        <v/>
      </c>
      <c r="AN583" t="n">
        <v>6514</v>
      </c>
      <c r="AO583" t="n">
        <v>109417</v>
      </c>
      <c r="AP583" s="88">
        <f>IF(OR(AN583&lt;=0,AO583&lt;=0),"",LN(AN583)-LN(AO583))</f>
        <v/>
      </c>
      <c r="AQ583" t="n">
        <v>6769</v>
      </c>
      <c r="AR583" t="n">
        <v>114347</v>
      </c>
      <c r="AS583" s="88">
        <f>IF(OR(AQ583&lt;=0,AR583&lt;=0),"",LN(AQ583)-LN(AR583))</f>
        <v/>
      </c>
      <c r="AT583" t="n">
        <v>8960</v>
      </c>
      <c r="AU583" t="n">
        <v>111676</v>
      </c>
      <c r="AV583" t="n">
        <v>707</v>
      </c>
      <c r="AW583" t="n">
        <v>791</v>
      </c>
      <c r="AX583" t="n">
        <v>6151</v>
      </c>
      <c r="AY583" s="88">
        <f>IF(OR(AT583&lt;=0,AU583&lt;=0),"",LN(AT583)-LN(AU583))</f>
        <v/>
      </c>
      <c r="AZ583" s="46" t="n">
        <v>3.9</v>
      </c>
      <c r="BA583" s="46" t="n">
        <v>16.35</v>
      </c>
      <c r="BB583" s="47" t="n">
        <v>7.1</v>
      </c>
    </row>
    <row r="584">
      <c r="A584" s="48" t="n">
        <v>45874</v>
      </c>
      <c r="B584" s="49" t="n">
        <v>138013</v>
      </c>
      <c r="C584" s="50" t="n">
        <v>11.56</v>
      </c>
      <c r="D584" s="51" t="inlineStr">
        <is>
          <t>Good</t>
        </is>
      </c>
      <c r="E584" s="52" t="n">
        <v>29.1</v>
      </c>
      <c r="F584" s="52" t="n"/>
      <c r="G584" s="51" t="inlineStr">
        <is>
          <t>Tue</t>
        </is>
      </c>
      <c r="H584" s="51" t="inlineStr">
        <is>
          <t>Weekday</t>
        </is>
      </c>
      <c r="I584" s="51" t="inlineStr">
        <is>
          <t>Summer</t>
        </is>
      </c>
      <c r="J584" s="51" t="n">
        <v>25</v>
      </c>
      <c r="K584" s="51" t="inlineStr">
        <is>
          <t>강수량 공란</t>
        </is>
      </c>
      <c r="L584" s="46" t="n">
        <v>18.76</v>
      </c>
      <c r="M584" t="inlineStr">
        <is>
          <t>Good</t>
        </is>
      </c>
      <c r="N584" s="87" t="n">
        <v>25</v>
      </c>
      <c r="O584" s="87" t="n">
        <v>0</v>
      </c>
      <c r="P584" s="87" t="n">
        <v>0</v>
      </c>
      <c r="Q584" s="87" t="n">
        <v>0</v>
      </c>
      <c r="R584" s="87" t="n">
        <v>0</v>
      </c>
      <c r="S584" s="47" t="n">
        <v>2.2</v>
      </c>
      <c r="T584" s="47" t="n">
        <v>67.40000000000001</v>
      </c>
      <c r="U584" s="47" t="n"/>
      <c r="V584" s="87" t="n">
        <v>0</v>
      </c>
      <c r="W584" s="87" t="n">
        <v>0</v>
      </c>
      <c r="Y584" t="inlineStr">
        <is>
          <t>Aug</t>
        </is>
      </c>
      <c r="Z584" s="87" t="n">
        <v>2025</v>
      </c>
      <c r="AA584" s="47">
        <f>IF(F584="",0,F584)</f>
        <v/>
      </c>
      <c r="AB584" s="87">
        <f>IF(AA584&gt;=0.1,1,0)</f>
        <v/>
      </c>
      <c r="AC584" s="87" t="n">
        <v>0</v>
      </c>
      <c r="AD584" s="47">
        <f>IF(U584="",0,U584)</f>
        <v/>
      </c>
      <c r="AE584" s="87">
        <f>IF(OR(V584=1,W584=1),1,0)</f>
        <v/>
      </c>
      <c r="AF584" s="87" t="n">
        <v>0</v>
      </c>
      <c r="AG584" t="n">
        <v>7886</v>
      </c>
      <c r="AH584" t="n">
        <v>130127</v>
      </c>
      <c r="AI584" t="n">
        <v>0</v>
      </c>
      <c r="AJ584" s="88">
        <f>IF(OR(AG584&lt;=0,AH584&lt;=0),"",LN(AG584)-LN(AH584))</f>
        <v/>
      </c>
      <c r="AK584" t="n">
        <v>20615</v>
      </c>
      <c r="AL584" t="n">
        <v>117398</v>
      </c>
      <c r="AM584" s="88">
        <f>IF(OR(AK584&lt;=0,AL584&lt;=0),"",LN(AK584)-LN(AL584))</f>
        <v/>
      </c>
      <c r="AN584" t="n">
        <v>7272</v>
      </c>
      <c r="AO584" t="n">
        <v>124389</v>
      </c>
      <c r="AP584" s="88">
        <f>IF(OR(AN584&lt;=0,AO584&lt;=0),"",LN(AN584)-LN(AO584))</f>
        <v/>
      </c>
      <c r="AQ584" t="n">
        <v>7663</v>
      </c>
      <c r="AR584" t="n">
        <v>130127</v>
      </c>
      <c r="AS584" s="88">
        <f>IF(OR(AQ584&lt;=0,AR584&lt;=0),"",LN(AQ584)-LN(AR584))</f>
        <v/>
      </c>
      <c r="AT584" t="n">
        <v>9554</v>
      </c>
      <c r="AU584" t="n">
        <v>127583</v>
      </c>
      <c r="AV584" t="n">
        <v>879</v>
      </c>
      <c r="AW584" t="n">
        <v>881</v>
      </c>
      <c r="AX584" t="n">
        <v>6930</v>
      </c>
      <c r="AY584" s="88">
        <f>IF(OR(AT584&lt;=0,AU584&lt;=0),"",LN(AT584)-LN(AU584))</f>
        <v/>
      </c>
      <c r="AZ584" s="46" t="n">
        <v>8.5</v>
      </c>
      <c r="BA584" s="46" t="n">
        <v>23.11</v>
      </c>
      <c r="BB584" s="47" t="n">
        <v>4.4</v>
      </c>
    </row>
    <row r="585">
      <c r="A585" s="48" t="n">
        <v>45875</v>
      </c>
      <c r="B585" s="49" t="n">
        <v>85551</v>
      </c>
      <c r="C585" s="50" t="n">
        <v>9.48</v>
      </c>
      <c r="D585" s="51" t="inlineStr">
        <is>
          <t>Good</t>
        </is>
      </c>
      <c r="E585" s="52" t="n">
        <v>27.1</v>
      </c>
      <c r="F585" s="52" t="n">
        <v>22</v>
      </c>
      <c r="G585" s="51" t="inlineStr">
        <is>
          <t>Wed</t>
        </is>
      </c>
      <c r="H585" s="51" t="inlineStr">
        <is>
          <t>Weekday</t>
        </is>
      </c>
      <c r="I585" s="51" t="inlineStr">
        <is>
          <t>Summer</t>
        </is>
      </c>
      <c r="J585" s="51" t="n">
        <v>25</v>
      </c>
      <c r="K585" s="51" t="inlineStr">
        <is>
          <t>OK</t>
        </is>
      </c>
      <c r="L585" s="46" t="n">
        <v>18.72</v>
      </c>
      <c r="M585" t="inlineStr">
        <is>
          <t>Good</t>
        </is>
      </c>
      <c r="N585" s="87" t="n">
        <v>25</v>
      </c>
      <c r="O585" s="87" t="n">
        <v>0</v>
      </c>
      <c r="P585" s="87" t="n">
        <v>0</v>
      </c>
      <c r="Q585" s="87" t="n">
        <v>0</v>
      </c>
      <c r="R585" s="87" t="n">
        <v>0</v>
      </c>
      <c r="S585" s="47" t="n">
        <v>3.2</v>
      </c>
      <c r="T585" s="47" t="n">
        <v>89</v>
      </c>
      <c r="U585" s="47" t="n"/>
      <c r="V585" s="87" t="n">
        <v>0</v>
      </c>
      <c r="W585" s="87" t="n">
        <v>0</v>
      </c>
      <c r="Y585" t="inlineStr">
        <is>
          <t>Aug</t>
        </is>
      </c>
      <c r="Z585" s="87" t="n">
        <v>2025</v>
      </c>
      <c r="AA585" s="47">
        <f>IF(F585="",0,F585)</f>
        <v/>
      </c>
      <c r="AB585" s="87">
        <f>IF(AA585&gt;=0.1,1,0)</f>
        <v/>
      </c>
      <c r="AC585" s="87" t="n">
        <v>0</v>
      </c>
      <c r="AD585" s="47">
        <f>IF(U585="",0,U585)</f>
        <v/>
      </c>
      <c r="AE585" s="87">
        <f>IF(OR(V585=1,W585=1),1,0)</f>
        <v/>
      </c>
      <c r="AF585" s="87" t="n">
        <v>0</v>
      </c>
      <c r="AG585" t="n">
        <v>5020</v>
      </c>
      <c r="AH585" t="n">
        <v>80531</v>
      </c>
      <c r="AI585" t="n">
        <v>0</v>
      </c>
      <c r="AJ585" s="88">
        <f>IF(OR(AG585&lt;=0,AH585&lt;=0),"",LN(AG585)-LN(AH585))</f>
        <v/>
      </c>
      <c r="AK585" t="n">
        <v>13061</v>
      </c>
      <c r="AL585" t="n">
        <v>72490</v>
      </c>
      <c r="AM585" s="88">
        <f>IF(OR(AK585&lt;=0,AL585&lt;=0),"",LN(AK585)-LN(AL585))</f>
        <v/>
      </c>
      <c r="AN585" t="n">
        <v>4672</v>
      </c>
      <c r="AO585" t="n">
        <v>76923</v>
      </c>
      <c r="AP585" s="88">
        <f>IF(OR(AN585&lt;=0,AO585&lt;=0),"",LN(AN585)-LN(AO585))</f>
        <v/>
      </c>
      <c r="AQ585" t="n">
        <v>4870</v>
      </c>
      <c r="AR585" t="n">
        <v>80531</v>
      </c>
      <c r="AS585" s="88">
        <f>IF(OR(AQ585&lt;=0,AR585&lt;=0),"",LN(AQ585)-LN(AR585))</f>
        <v/>
      </c>
      <c r="AT585" t="n">
        <v>5652</v>
      </c>
      <c r="AU585" t="n">
        <v>79346</v>
      </c>
      <c r="AV585" t="n">
        <v>553</v>
      </c>
      <c r="AW585" t="n">
        <v>537</v>
      </c>
      <c r="AX585" t="n">
        <v>4437</v>
      </c>
      <c r="AY585" s="88">
        <f>IF(OR(AT585&lt;=0,AU585&lt;=0),"",LN(AT585)-LN(AU585))</f>
        <v/>
      </c>
      <c r="AZ585" s="46" t="n">
        <v>1.1</v>
      </c>
      <c r="BA585" s="46" t="n">
        <v>5.57</v>
      </c>
      <c r="BB585" s="47" t="n">
        <v>9</v>
      </c>
    </row>
    <row r="586">
      <c r="A586" s="48" t="n">
        <v>45876</v>
      </c>
      <c r="B586" s="49" t="n">
        <v>138007</v>
      </c>
      <c r="C586" s="50" t="n">
        <v>10.08</v>
      </c>
      <c r="D586" s="51" t="inlineStr">
        <is>
          <t>Good</t>
        </is>
      </c>
      <c r="E586" s="52" t="n">
        <v>28.2</v>
      </c>
      <c r="F586" s="52" t="n"/>
      <c r="G586" s="51" t="inlineStr">
        <is>
          <t>Thu</t>
        </is>
      </c>
      <c r="H586" s="51" t="inlineStr">
        <is>
          <t>Weekday</t>
        </is>
      </c>
      <c r="I586" s="51" t="inlineStr">
        <is>
          <t>Summer</t>
        </is>
      </c>
      <c r="J586" s="51" t="n">
        <v>25</v>
      </c>
      <c r="K586" s="51" t="inlineStr">
        <is>
          <t>강수량 공란</t>
        </is>
      </c>
      <c r="L586" s="46" t="n">
        <v>17.52</v>
      </c>
      <c r="M586" t="inlineStr">
        <is>
          <t>Good</t>
        </is>
      </c>
      <c r="N586" s="87" t="n">
        <v>25</v>
      </c>
      <c r="O586" s="87" t="n">
        <v>0</v>
      </c>
      <c r="P586" s="87" t="n">
        <v>0</v>
      </c>
      <c r="Q586" s="87" t="n">
        <v>0</v>
      </c>
      <c r="R586" s="87" t="n">
        <v>0</v>
      </c>
      <c r="S586" s="47" t="n">
        <v>2.7</v>
      </c>
      <c r="T586" s="47" t="n">
        <v>70.8</v>
      </c>
      <c r="U586" s="47" t="n"/>
      <c r="V586" s="87" t="n">
        <v>0</v>
      </c>
      <c r="W586" s="87" t="n">
        <v>0</v>
      </c>
      <c r="Y586" t="inlineStr">
        <is>
          <t>Aug</t>
        </is>
      </c>
      <c r="Z586" s="87" t="n">
        <v>2025</v>
      </c>
      <c r="AA586" s="47">
        <f>IF(F586="",0,F586)</f>
        <v/>
      </c>
      <c r="AB586" s="87">
        <f>IF(AA586&gt;=0.1,1,0)</f>
        <v/>
      </c>
      <c r="AC586" s="87" t="n">
        <v>0</v>
      </c>
      <c r="AD586" s="47">
        <f>IF(U586="",0,U586)</f>
        <v/>
      </c>
      <c r="AE586" s="87">
        <f>IF(OR(V586=1,W586=1),1,0)</f>
        <v/>
      </c>
      <c r="AF586" s="87" t="n">
        <v>0</v>
      </c>
      <c r="AG586" t="n">
        <v>8106</v>
      </c>
      <c r="AH586" t="n">
        <v>129901</v>
      </c>
      <c r="AI586" t="n">
        <v>0</v>
      </c>
      <c r="AJ586" s="88">
        <f>IF(OR(AG586&lt;=0,AH586&lt;=0),"",LN(AG586)-LN(AH586))</f>
        <v/>
      </c>
      <c r="AK586" t="n">
        <v>20902</v>
      </c>
      <c r="AL586" t="n">
        <v>117105</v>
      </c>
      <c r="AM586" s="88">
        <f>IF(OR(AK586&lt;=0,AL586&lt;=0),"",LN(AK586)-LN(AL586))</f>
        <v/>
      </c>
      <c r="AN586" t="n">
        <v>7410</v>
      </c>
      <c r="AO586" t="n">
        <v>124203</v>
      </c>
      <c r="AP586" s="88">
        <f>IF(OR(AN586&lt;=0,AO586&lt;=0),"",LN(AN586)-LN(AO586))</f>
        <v/>
      </c>
      <c r="AQ586" t="n">
        <v>7838</v>
      </c>
      <c r="AR586" t="n">
        <v>129901</v>
      </c>
      <c r="AS586" s="88">
        <f>IF(OR(AQ586&lt;=0,AR586&lt;=0),"",LN(AQ586)-LN(AR586))</f>
        <v/>
      </c>
      <c r="AT586" t="n">
        <v>9517</v>
      </c>
      <c r="AU586" t="n">
        <v>127572</v>
      </c>
      <c r="AV586" t="n">
        <v>920</v>
      </c>
      <c r="AW586" t="n">
        <v>920</v>
      </c>
      <c r="AX586" t="n">
        <v>7119</v>
      </c>
      <c r="AY586" s="88">
        <f>IF(OR(AT586&lt;=0,AU586&lt;=0),"",LN(AT586)-LN(AU586))</f>
        <v/>
      </c>
      <c r="AZ586" s="46" t="n">
        <v>10.2</v>
      </c>
      <c r="BA586" s="46" t="n">
        <v>27.18</v>
      </c>
      <c r="BB586" s="47" t="n">
        <v>4</v>
      </c>
    </row>
    <row r="587">
      <c r="A587" s="48" t="n">
        <v>45877</v>
      </c>
      <c r="B587" s="49" t="n">
        <v>141953</v>
      </c>
      <c r="C587" s="50" t="n">
        <v>15.8</v>
      </c>
      <c r="D587" s="51" t="inlineStr">
        <is>
          <t>Moderate</t>
        </is>
      </c>
      <c r="E587" s="52" t="n">
        <v>26.6</v>
      </c>
      <c r="F587" s="52" t="n">
        <v>6.3</v>
      </c>
      <c r="G587" s="51" t="inlineStr">
        <is>
          <t>Fri</t>
        </is>
      </c>
      <c r="H587" s="51" t="inlineStr">
        <is>
          <t>Weekday</t>
        </is>
      </c>
      <c r="I587" s="51" t="inlineStr">
        <is>
          <t>Summer</t>
        </is>
      </c>
      <c r="J587" s="51" t="n">
        <v>25</v>
      </c>
      <c r="K587" s="51" t="inlineStr">
        <is>
          <t>OK</t>
        </is>
      </c>
      <c r="L587" s="46" t="n">
        <v>27.44</v>
      </c>
      <c r="M587" t="inlineStr">
        <is>
          <t>Good</t>
        </is>
      </c>
      <c r="N587" s="87" t="n">
        <v>25</v>
      </c>
      <c r="O587" s="87" t="n">
        <v>0</v>
      </c>
      <c r="P587" s="87" t="n">
        <v>0</v>
      </c>
      <c r="Q587" s="87" t="n">
        <v>0</v>
      </c>
      <c r="R587" s="87" t="n">
        <v>0</v>
      </c>
      <c r="S587" s="47" t="n">
        <v>1.6</v>
      </c>
      <c r="T587" s="47" t="n">
        <v>74.8</v>
      </c>
      <c r="U587" s="47" t="n"/>
      <c r="V587" s="87" t="n">
        <v>0</v>
      </c>
      <c r="W587" s="87" t="n">
        <v>0</v>
      </c>
      <c r="Y587" t="inlineStr">
        <is>
          <t>Aug</t>
        </is>
      </c>
      <c r="Z587" s="87" t="n">
        <v>2025</v>
      </c>
      <c r="AA587" s="47">
        <f>IF(F587="",0,F587)</f>
        <v/>
      </c>
      <c r="AB587" s="87">
        <f>IF(AA587&gt;=0.1,1,0)</f>
        <v/>
      </c>
      <c r="AC587" s="87" t="n">
        <v>0</v>
      </c>
      <c r="AD587" s="47">
        <f>IF(U587="",0,U587)</f>
        <v/>
      </c>
      <c r="AE587" s="87">
        <f>IF(OR(V587=1,W587=1),1,0)</f>
        <v/>
      </c>
      <c r="AF587" s="87" t="n">
        <v>0</v>
      </c>
      <c r="AG587" t="n">
        <v>8757</v>
      </c>
      <c r="AH587" t="n">
        <v>133196</v>
      </c>
      <c r="AI587" t="n">
        <v>0</v>
      </c>
      <c r="AJ587" s="88">
        <f>IF(OR(AG587&lt;=0,AH587&lt;=0),"",LN(AG587)-LN(AH587))</f>
        <v/>
      </c>
      <c r="AK587" t="n">
        <v>22077</v>
      </c>
      <c r="AL587" t="n">
        <v>119876</v>
      </c>
      <c r="AM587" s="88">
        <f>IF(OR(AK587&lt;=0,AL587&lt;=0),"",LN(AK587)-LN(AL587))</f>
        <v/>
      </c>
      <c r="AN587" t="n">
        <v>7958</v>
      </c>
      <c r="AO587" t="n">
        <v>127422</v>
      </c>
      <c r="AP587" s="88">
        <f>IF(OR(AN587&lt;=0,AO587&lt;=0),"",LN(AN587)-LN(AO587))</f>
        <v/>
      </c>
      <c r="AQ587" t="n">
        <v>8484</v>
      </c>
      <c r="AR587" t="n">
        <v>133196</v>
      </c>
      <c r="AS587" s="88">
        <f>IF(OR(AQ587&lt;=0,AR587&lt;=0),"",LN(AQ587)-LN(AR587))</f>
        <v/>
      </c>
      <c r="AT587" t="n">
        <v>9938</v>
      </c>
      <c r="AU587" t="n">
        <v>131055</v>
      </c>
      <c r="AV587" t="n">
        <v>960</v>
      </c>
      <c r="AW587" t="n">
        <v>929</v>
      </c>
      <c r="AX587" t="n">
        <v>7748</v>
      </c>
      <c r="AY587" s="88">
        <f>IF(OR(AT587&lt;=0,AU587&lt;=0),"",LN(AT587)-LN(AU587))</f>
        <v/>
      </c>
      <c r="AZ587" s="46" t="n">
        <v>1.7</v>
      </c>
      <c r="BA587" s="46" t="n">
        <v>8.76</v>
      </c>
      <c r="BB587" s="47" t="n">
        <v>6.3</v>
      </c>
    </row>
    <row r="588">
      <c r="A588" s="48" t="n">
        <v>45878</v>
      </c>
      <c r="B588" s="49" t="n">
        <v>101048</v>
      </c>
      <c r="C588" s="50" t="n">
        <v>16.04</v>
      </c>
      <c r="D588" s="51" t="inlineStr">
        <is>
          <t>Moderate</t>
        </is>
      </c>
      <c r="E588" s="52" t="n">
        <v>24.9</v>
      </c>
      <c r="F588" s="52" t="n">
        <v>3.5</v>
      </c>
      <c r="G588" s="51" t="inlineStr">
        <is>
          <t>Sat</t>
        </is>
      </c>
      <c r="H588" s="51" t="inlineStr">
        <is>
          <t>Weekend</t>
        </is>
      </c>
      <c r="I588" s="51" t="inlineStr">
        <is>
          <t>Summer</t>
        </is>
      </c>
      <c r="J588" s="51" t="n">
        <v>25</v>
      </c>
      <c r="K588" s="51" t="inlineStr">
        <is>
          <t>OK</t>
        </is>
      </c>
      <c r="L588" s="46" t="n">
        <v>23.88</v>
      </c>
      <c r="M588" t="inlineStr">
        <is>
          <t>Good</t>
        </is>
      </c>
      <c r="N588" s="87" t="n">
        <v>25</v>
      </c>
      <c r="O588" s="87" t="n">
        <v>0</v>
      </c>
      <c r="P588" s="87" t="n">
        <v>0</v>
      </c>
      <c r="Q588" s="87" t="n">
        <v>0</v>
      </c>
      <c r="R588" s="87" t="n">
        <v>0</v>
      </c>
      <c r="S588" s="47" t="n">
        <v>1.4</v>
      </c>
      <c r="T588" s="47" t="n">
        <v>82.09999999999999</v>
      </c>
      <c r="U588" s="47" t="n"/>
      <c r="V588" s="87" t="n">
        <v>1</v>
      </c>
      <c r="W588" s="87" t="n">
        <v>0</v>
      </c>
      <c r="Y588" t="inlineStr">
        <is>
          <t>Aug</t>
        </is>
      </c>
      <c r="Z588" s="87" t="n">
        <v>2025</v>
      </c>
      <c r="AA588" s="47">
        <f>IF(F588="",0,F588)</f>
        <v/>
      </c>
      <c r="AB588" s="87">
        <f>IF(AA588&gt;=0.1,1,0)</f>
        <v/>
      </c>
      <c r="AC588" s="87" t="n">
        <v>0</v>
      </c>
      <c r="AD588" s="47">
        <f>IF(U588="",0,U588)</f>
        <v/>
      </c>
      <c r="AE588" s="87">
        <f>IF(OR(V588=1,W588=1),1,0)</f>
        <v/>
      </c>
      <c r="AF588" s="87" t="n">
        <v>0</v>
      </c>
      <c r="AG588" t="n">
        <v>8165</v>
      </c>
      <c r="AH588" t="n">
        <v>92883</v>
      </c>
      <c r="AI588" t="n">
        <v>0</v>
      </c>
      <c r="AJ588" s="88">
        <f>IF(OR(AG588&lt;=0,AH588&lt;=0),"",LN(AG588)-LN(AH588))</f>
        <v/>
      </c>
      <c r="AK588" t="n">
        <v>17825</v>
      </c>
      <c r="AL588" t="n">
        <v>83223</v>
      </c>
      <c r="AM588" s="88">
        <f>IF(OR(AK588&lt;=0,AL588&lt;=0),"",LN(AK588)-LN(AL588))</f>
        <v/>
      </c>
      <c r="AN588" t="n">
        <v>7175</v>
      </c>
      <c r="AO588" t="n">
        <v>88954</v>
      </c>
      <c r="AP588" s="88">
        <f>IF(OR(AN588&lt;=0,AO588&lt;=0),"",LN(AN588)-LN(AO588))</f>
        <v/>
      </c>
      <c r="AQ588" t="n">
        <v>7921</v>
      </c>
      <c r="AR588" t="n">
        <v>92883</v>
      </c>
      <c r="AS588" s="88">
        <f>IF(OR(AQ588&lt;=0,AR588&lt;=0),"",LN(AQ588)-LN(AR588))</f>
        <v/>
      </c>
      <c r="AT588" t="n">
        <v>9523</v>
      </c>
      <c r="AU588" t="n">
        <v>90792</v>
      </c>
      <c r="AV588" t="n">
        <v>733</v>
      </c>
      <c r="AW588" t="n">
        <v>1284</v>
      </c>
      <c r="AX588" t="n">
        <v>6791</v>
      </c>
      <c r="AY588" s="88">
        <f>IF(OR(AT588&lt;=0,AU588&lt;=0),"",LN(AT588)-LN(AU588))</f>
        <v/>
      </c>
      <c r="AZ588" s="46" t="n">
        <v>0.3</v>
      </c>
      <c r="BA588" s="46" t="n">
        <v>5.37</v>
      </c>
      <c r="BB588" s="47" t="n">
        <v>7.4</v>
      </c>
    </row>
    <row r="589">
      <c r="A589" s="48" t="n">
        <v>45879</v>
      </c>
      <c r="B589" s="49" t="n">
        <v>106668</v>
      </c>
      <c r="C589" s="50" t="n">
        <v>12.68</v>
      </c>
      <c r="D589" s="51" t="inlineStr">
        <is>
          <t>Good</t>
        </is>
      </c>
      <c r="E589" s="52" t="n">
        <v>27.3</v>
      </c>
      <c r="F589" s="52" t="n"/>
      <c r="G589" s="51" t="inlineStr">
        <is>
          <t>Sun</t>
        </is>
      </c>
      <c r="H589" s="51" t="inlineStr">
        <is>
          <t>Weekend</t>
        </is>
      </c>
      <c r="I589" s="51" t="inlineStr">
        <is>
          <t>Summer</t>
        </is>
      </c>
      <c r="J589" s="51" t="n">
        <v>25</v>
      </c>
      <c r="K589" s="51" t="inlineStr">
        <is>
          <t>강수량 공란</t>
        </is>
      </c>
      <c r="L589" s="46" t="n">
        <v>20.44</v>
      </c>
      <c r="M589" t="inlineStr">
        <is>
          <t>Good</t>
        </is>
      </c>
      <c r="N589" s="87" t="n">
        <v>25</v>
      </c>
      <c r="O589" s="87" t="n">
        <v>0</v>
      </c>
      <c r="P589" s="87" t="n">
        <v>0</v>
      </c>
      <c r="Q589" s="87" t="n">
        <v>0</v>
      </c>
      <c r="R589" s="87" t="n">
        <v>0</v>
      </c>
      <c r="S589" s="47" t="n">
        <v>1.7</v>
      </c>
      <c r="T589" s="47" t="n">
        <v>70</v>
      </c>
      <c r="U589" s="47" t="n"/>
      <c r="V589" s="87" t="n">
        <v>1</v>
      </c>
      <c r="W589" s="87" t="n">
        <v>0</v>
      </c>
      <c r="Y589" t="inlineStr">
        <is>
          <t>Aug</t>
        </is>
      </c>
      <c r="Z589" s="87" t="n">
        <v>2025</v>
      </c>
      <c r="AA589" s="47">
        <f>IF(F589="",0,F589)</f>
        <v/>
      </c>
      <c r="AB589" s="87">
        <f>IF(AA589&gt;=0.1,1,0)</f>
        <v/>
      </c>
      <c r="AC589" s="87" t="n">
        <v>0</v>
      </c>
      <c r="AD589" s="47">
        <f>IF(U589="",0,U589)</f>
        <v/>
      </c>
      <c r="AE589" s="87">
        <f>IF(OR(V589=1,W589=1),1,0)</f>
        <v/>
      </c>
      <c r="AF589" s="87" t="n">
        <v>0</v>
      </c>
      <c r="AG589" t="n">
        <v>9529</v>
      </c>
      <c r="AH589" t="n">
        <v>97139</v>
      </c>
      <c r="AI589" t="n">
        <v>0</v>
      </c>
      <c r="AJ589" s="88">
        <f>IF(OR(AG589&lt;=0,AH589&lt;=0),"",LN(AG589)-LN(AH589))</f>
        <v/>
      </c>
      <c r="AK589" t="n">
        <v>19737</v>
      </c>
      <c r="AL589" t="n">
        <v>86931</v>
      </c>
      <c r="AM589" s="88">
        <f>IF(OR(AK589&lt;=0,AL589&lt;=0),"",LN(AK589)-LN(AL589))</f>
        <v/>
      </c>
      <c r="AN589" t="n">
        <v>8300</v>
      </c>
      <c r="AO589" t="n">
        <v>93214</v>
      </c>
      <c r="AP589" s="88">
        <f>IF(OR(AN589&lt;=0,AO589&lt;=0),"",LN(AN589)-LN(AO589))</f>
        <v/>
      </c>
      <c r="AQ589" t="n">
        <v>9237</v>
      </c>
      <c r="AR589" t="n">
        <v>97139</v>
      </c>
      <c r="AS589" s="88">
        <f>IF(OR(AQ589&lt;=0,AR589&lt;=0),"",LN(AQ589)-LN(AR589))</f>
        <v/>
      </c>
      <c r="AT589" t="n">
        <v>10876</v>
      </c>
      <c r="AU589" t="n">
        <v>95079</v>
      </c>
      <c r="AV589" t="n">
        <v>714</v>
      </c>
      <c r="AW589" t="n">
        <v>1507</v>
      </c>
      <c r="AX589" t="n">
        <v>7925</v>
      </c>
      <c r="AY589" s="88">
        <f>IF(OR(AT589&lt;=0,AU589&lt;=0),"",LN(AT589)-LN(AU589))</f>
        <v/>
      </c>
      <c r="AZ589" s="46" t="n">
        <v>12.3</v>
      </c>
      <c r="BA589" s="46" t="n">
        <v>27.22</v>
      </c>
      <c r="BB589" s="47" t="n">
        <v>1.5</v>
      </c>
    </row>
    <row r="590">
      <c r="A590" s="48" t="n">
        <v>45880</v>
      </c>
      <c r="B590" s="49" t="n">
        <v>148096</v>
      </c>
      <c r="C590" s="50" t="n">
        <v>18.12</v>
      </c>
      <c r="D590" s="51" t="inlineStr">
        <is>
          <t>Moderate</t>
        </is>
      </c>
      <c r="E590" s="52" t="n">
        <v>27</v>
      </c>
      <c r="F590" s="52" t="n">
        <v>0</v>
      </c>
      <c r="G590" s="51" t="inlineStr">
        <is>
          <t>Mon</t>
        </is>
      </c>
      <c r="H590" s="51" t="inlineStr">
        <is>
          <t>Weekday</t>
        </is>
      </c>
      <c r="I590" s="51" t="inlineStr">
        <is>
          <t>Summer</t>
        </is>
      </c>
      <c r="J590" s="51" t="n">
        <v>25</v>
      </c>
      <c r="K590" s="51" t="inlineStr">
        <is>
          <t>OK</t>
        </is>
      </c>
      <c r="L590" s="46" t="n">
        <v>26.96</v>
      </c>
      <c r="M590" t="inlineStr">
        <is>
          <t>Good</t>
        </is>
      </c>
      <c r="N590" s="87" t="n">
        <v>25</v>
      </c>
      <c r="O590" s="87" t="n">
        <v>0</v>
      </c>
      <c r="P590" s="87" t="n">
        <v>0</v>
      </c>
      <c r="Q590" s="87" t="n">
        <v>0</v>
      </c>
      <c r="R590" s="87" t="n">
        <v>0</v>
      </c>
      <c r="S590" s="47" t="n">
        <v>2</v>
      </c>
      <c r="T590" s="47" t="n">
        <v>73.90000000000001</v>
      </c>
      <c r="U590" s="47" t="n"/>
      <c r="V590" s="87" t="n">
        <v>0</v>
      </c>
      <c r="W590" s="87" t="n">
        <v>0</v>
      </c>
      <c r="Y590" t="inlineStr">
        <is>
          <t>Aug</t>
        </is>
      </c>
      <c r="Z590" s="87" t="n">
        <v>2025</v>
      </c>
      <c r="AA590" s="47">
        <f>IF(F590="",0,F590)</f>
        <v/>
      </c>
      <c r="AB590" s="87">
        <f>IF(AA590&gt;=0.1,1,0)</f>
        <v/>
      </c>
      <c r="AC590" s="87" t="n">
        <v>1</v>
      </c>
      <c r="AD590" s="47">
        <f>IF(U590="",0,U590)</f>
        <v/>
      </c>
      <c r="AE590" s="87">
        <f>IF(OR(V590=1,W590=1),1,0)</f>
        <v/>
      </c>
      <c r="AF590" s="87" t="n">
        <v>0</v>
      </c>
      <c r="AG590" t="n">
        <v>9227</v>
      </c>
      <c r="AH590" t="n">
        <v>138869</v>
      </c>
      <c r="AI590" t="n">
        <v>0</v>
      </c>
      <c r="AJ590" s="88">
        <f>IF(OR(AG590&lt;=0,AH590&lt;=0),"",LN(AG590)-LN(AH590))</f>
        <v/>
      </c>
      <c r="AK590" t="n">
        <v>23495</v>
      </c>
      <c r="AL590" t="n">
        <v>124601</v>
      </c>
      <c r="AM590" s="88">
        <f>IF(OR(AK590&lt;=0,AL590&lt;=0),"",LN(AK590)-LN(AL590))</f>
        <v/>
      </c>
      <c r="AN590" t="n">
        <v>8302</v>
      </c>
      <c r="AO590" t="n">
        <v>132981</v>
      </c>
      <c r="AP590" s="88">
        <f>IF(OR(AN590&lt;=0,AO590&lt;=0),"",LN(AN590)-LN(AO590))</f>
        <v/>
      </c>
      <c r="AQ590" t="n">
        <v>8976</v>
      </c>
      <c r="AR590" t="n">
        <v>138869</v>
      </c>
      <c r="AS590" s="88">
        <f>IF(OR(AQ590&lt;=0,AR590&lt;=0),"",LN(AQ590)-LN(AR590))</f>
        <v/>
      </c>
      <c r="AT590" t="n">
        <v>10503</v>
      </c>
      <c r="AU590" t="n">
        <v>136621</v>
      </c>
      <c r="AV590" t="n">
        <v>973</v>
      </c>
      <c r="AW590" t="n">
        <v>1044</v>
      </c>
      <c r="AX590" t="n">
        <v>8097</v>
      </c>
      <c r="AY590" s="88">
        <f>IF(OR(AT590&lt;=0,AU590&lt;=0),"",LN(AT590)-LN(AU590))</f>
        <v/>
      </c>
      <c r="AZ590" s="46" t="n">
        <v>0.3</v>
      </c>
      <c r="BA590" s="46" t="n">
        <v>9.84</v>
      </c>
      <c r="BB590" s="47" t="n">
        <v>7.3</v>
      </c>
    </row>
    <row r="591">
      <c r="A591" s="48" t="n">
        <v>45881</v>
      </c>
      <c r="B591" s="49" t="n">
        <v>148459</v>
      </c>
      <c r="C591" s="50" t="n">
        <v>12.04</v>
      </c>
      <c r="D591" s="51" t="inlineStr">
        <is>
          <t>Good</t>
        </is>
      </c>
      <c r="E591" s="52" t="n">
        <v>28.6</v>
      </c>
      <c r="F591" s="52" t="n"/>
      <c r="G591" s="51" t="inlineStr">
        <is>
          <t>Tue</t>
        </is>
      </c>
      <c r="H591" s="51" t="inlineStr">
        <is>
          <t>Weekday</t>
        </is>
      </c>
      <c r="I591" s="51" t="inlineStr">
        <is>
          <t>Summer</t>
        </is>
      </c>
      <c r="J591" s="51" t="n">
        <v>25</v>
      </c>
      <c r="K591" s="51" t="inlineStr">
        <is>
          <t>강수량 공란</t>
        </is>
      </c>
      <c r="L591" s="46" t="n">
        <v>19.36</v>
      </c>
      <c r="M591" t="inlineStr">
        <is>
          <t>Good</t>
        </is>
      </c>
      <c r="N591" s="87" t="n">
        <v>25</v>
      </c>
      <c r="O591" s="87" t="n">
        <v>0</v>
      </c>
      <c r="P591" s="87" t="n">
        <v>0</v>
      </c>
      <c r="Q591" s="87" t="n">
        <v>0</v>
      </c>
      <c r="R591" s="87" t="n">
        <v>0</v>
      </c>
      <c r="S591" s="47" t="n">
        <v>2.2</v>
      </c>
      <c r="T591" s="47" t="n">
        <v>62.9</v>
      </c>
      <c r="U591" s="47" t="n"/>
      <c r="V591" s="87" t="n">
        <v>0</v>
      </c>
      <c r="W591" s="87" t="n">
        <v>0</v>
      </c>
      <c r="Y591" t="inlineStr">
        <is>
          <t>Aug</t>
        </is>
      </c>
      <c r="Z591" s="87" t="n">
        <v>2025</v>
      </c>
      <c r="AA591" s="47">
        <f>IF(F591="",0,F591)</f>
        <v/>
      </c>
      <c r="AB591" s="87">
        <f>IF(AA591&gt;=0.1,1,0)</f>
        <v/>
      </c>
      <c r="AC591" s="87" t="n">
        <v>0</v>
      </c>
      <c r="AD591" s="47">
        <f>IF(U591="",0,U591)</f>
        <v/>
      </c>
      <c r="AE591" s="87">
        <f>IF(OR(V591=1,W591=1),1,0)</f>
        <v/>
      </c>
      <c r="AF591" s="87" t="n">
        <v>0</v>
      </c>
      <c r="AG591" t="n">
        <v>9125</v>
      </c>
      <c r="AH591" t="n">
        <v>139334</v>
      </c>
      <c r="AI591" t="n">
        <v>0</v>
      </c>
      <c r="AJ591" s="88">
        <f>IF(OR(AG591&lt;=0,AH591&lt;=0),"",LN(AG591)-LN(AH591))</f>
        <v/>
      </c>
      <c r="AK591" t="n">
        <v>23159</v>
      </c>
      <c r="AL591" t="n">
        <v>125300</v>
      </c>
      <c r="AM591" s="88">
        <f>IF(OR(AK591&lt;=0,AL591&lt;=0),"",LN(AK591)-LN(AL591))</f>
        <v/>
      </c>
      <c r="AN591" t="n">
        <v>8254</v>
      </c>
      <c r="AO591" t="n">
        <v>133277</v>
      </c>
      <c r="AP591" s="88">
        <f>IF(OR(AN591&lt;=0,AO591&lt;=0),"",LN(AN591)-LN(AO591))</f>
        <v/>
      </c>
      <c r="AQ591" t="n">
        <v>8859</v>
      </c>
      <c r="AR591" t="n">
        <v>139334</v>
      </c>
      <c r="AS591" s="88">
        <f>IF(OR(AQ591&lt;=0,AR591&lt;=0),"",LN(AQ591)-LN(AR591))</f>
        <v/>
      </c>
      <c r="AT591" t="n">
        <v>10198</v>
      </c>
      <c r="AU591" t="n">
        <v>137251</v>
      </c>
      <c r="AV591" t="n">
        <v>1013</v>
      </c>
      <c r="AW591" t="n">
        <v>1046</v>
      </c>
      <c r="AX591" t="n">
        <v>8010</v>
      </c>
      <c r="AY591" s="88">
        <f>IF(OR(AT591&lt;=0,AU591&lt;=0),"",LN(AT591)-LN(AU591))</f>
        <v/>
      </c>
      <c r="AZ591" s="46" t="n">
        <v>12</v>
      </c>
      <c r="BA591" s="46" t="n">
        <v>26.6</v>
      </c>
      <c r="BB591" s="47" t="n">
        <v>3.8</v>
      </c>
    </row>
    <row r="592">
      <c r="A592" s="48" t="n">
        <v>45882</v>
      </c>
      <c r="B592" s="49" t="n">
        <v>26358</v>
      </c>
      <c r="C592" s="50" t="n">
        <v>3.32</v>
      </c>
      <c r="D592" s="51" t="inlineStr">
        <is>
          <t>Good</t>
        </is>
      </c>
      <c r="E592" s="52" t="n">
        <v>25.1</v>
      </c>
      <c r="F592" s="52" t="n">
        <v>126.7</v>
      </c>
      <c r="G592" s="51" t="inlineStr">
        <is>
          <t>Wed</t>
        </is>
      </c>
      <c r="H592" s="51" t="inlineStr">
        <is>
          <t>Weekday</t>
        </is>
      </c>
      <c r="I592" s="51" t="inlineStr">
        <is>
          <t>Summer</t>
        </is>
      </c>
      <c r="J592" s="51" t="n">
        <v>25</v>
      </c>
      <c r="K592" s="51" t="inlineStr">
        <is>
          <t>OK</t>
        </is>
      </c>
      <c r="L592" s="46" t="n">
        <v>9.08</v>
      </c>
      <c r="M592" t="inlineStr">
        <is>
          <t>Good</t>
        </is>
      </c>
      <c r="N592" s="87" t="n">
        <v>25</v>
      </c>
      <c r="O592" s="87" t="n">
        <v>0</v>
      </c>
      <c r="P592" s="87" t="n">
        <v>0</v>
      </c>
      <c r="Q592" s="87" t="n">
        <v>0</v>
      </c>
      <c r="R592" s="87" t="n">
        <v>0</v>
      </c>
      <c r="S592" s="47" t="n">
        <v>2.6</v>
      </c>
      <c r="T592" s="47" t="n">
        <v>91.8</v>
      </c>
      <c r="U592" s="47" t="n"/>
      <c r="V592" s="87" t="n">
        <v>0</v>
      </c>
      <c r="W592" s="87" t="n">
        <v>0</v>
      </c>
      <c r="Y592" t="inlineStr">
        <is>
          <t>Aug</t>
        </is>
      </c>
      <c r="Z592" s="87" t="n">
        <v>2025</v>
      </c>
      <c r="AA592" s="47">
        <f>IF(F592="",0,F592)</f>
        <v/>
      </c>
      <c r="AB592" s="87">
        <f>IF(AA592&gt;=0.1,1,0)</f>
        <v/>
      </c>
      <c r="AC592" s="87" t="n">
        <v>0</v>
      </c>
      <c r="AD592" s="47">
        <f>IF(U592="",0,U592)</f>
        <v/>
      </c>
      <c r="AE592" s="87">
        <f>IF(OR(V592=1,W592=1),1,0)</f>
        <v/>
      </c>
      <c r="AF592" s="87" t="n">
        <v>0</v>
      </c>
      <c r="AG592" t="n">
        <v>1382</v>
      </c>
      <c r="AH592" t="n">
        <v>24976</v>
      </c>
      <c r="AI592" t="n">
        <v>0</v>
      </c>
      <c r="AJ592" s="88">
        <f>IF(OR(AG592&lt;=0,AH592&lt;=0),"",LN(AG592)-LN(AH592))</f>
        <v/>
      </c>
      <c r="AK592" t="n">
        <v>3634</v>
      </c>
      <c r="AL592" t="n">
        <v>22724</v>
      </c>
      <c r="AM592" s="88">
        <f>IF(OR(AK592&lt;=0,AL592&lt;=0),"",LN(AK592)-LN(AL592))</f>
        <v/>
      </c>
      <c r="AN592" t="n">
        <v>1299</v>
      </c>
      <c r="AO592" t="n">
        <v>23888</v>
      </c>
      <c r="AP592" s="88">
        <f>IF(OR(AN592&lt;=0,AO592&lt;=0),"",LN(AN592)-LN(AO592))</f>
        <v/>
      </c>
      <c r="AQ592" t="n">
        <v>1352</v>
      </c>
      <c r="AR592" t="n">
        <v>24976</v>
      </c>
      <c r="AS592" s="88">
        <f>IF(OR(AQ592&lt;=0,AR592&lt;=0),"",LN(AQ592)-LN(AR592))</f>
        <v/>
      </c>
      <c r="AT592" t="n">
        <v>1785</v>
      </c>
      <c r="AU592" t="n">
        <v>24359</v>
      </c>
      <c r="AV592" t="n">
        <v>214</v>
      </c>
      <c r="AW592" t="n">
        <v>138</v>
      </c>
      <c r="AX592" t="n">
        <v>1232</v>
      </c>
      <c r="AY592" s="88">
        <f>IF(OR(AT592&lt;=0,AU592&lt;=0),"",LN(AT592)-LN(AU592))</f>
        <v/>
      </c>
      <c r="AZ592" s="46" t="n">
        <v>0</v>
      </c>
      <c r="BA592" s="46" t="n">
        <v>1.92</v>
      </c>
      <c r="BB592" s="47" t="n">
        <v>9.6</v>
      </c>
    </row>
    <row r="593">
      <c r="A593" s="48" t="n">
        <v>45883</v>
      </c>
      <c r="B593" s="49" t="n">
        <v>80291</v>
      </c>
      <c r="C593" s="50" t="n">
        <v>5.56</v>
      </c>
      <c r="D593" s="51" t="inlineStr">
        <is>
          <t>Good</t>
        </is>
      </c>
      <c r="E593" s="52" t="n">
        <v>25.5</v>
      </c>
      <c r="F593" s="52" t="n">
        <v>47.8</v>
      </c>
      <c r="G593" s="51" t="inlineStr">
        <is>
          <t>Thu</t>
        </is>
      </c>
      <c r="H593" s="51" t="inlineStr">
        <is>
          <t>Weekday</t>
        </is>
      </c>
      <c r="I593" s="51" t="inlineStr">
        <is>
          <t>Summer</t>
        </is>
      </c>
      <c r="J593" s="51" t="n">
        <v>25</v>
      </c>
      <c r="K593" s="51" t="inlineStr">
        <is>
          <t>OK</t>
        </is>
      </c>
      <c r="L593" s="46" t="n">
        <v>11.4</v>
      </c>
      <c r="M593" t="inlineStr">
        <is>
          <t>Good</t>
        </is>
      </c>
      <c r="N593" s="87" t="n">
        <v>25</v>
      </c>
      <c r="O593" s="87" t="n">
        <v>0</v>
      </c>
      <c r="P593" s="87" t="n">
        <v>0</v>
      </c>
      <c r="Q593" s="87" t="n">
        <v>0</v>
      </c>
      <c r="R593" s="87" t="n">
        <v>0</v>
      </c>
      <c r="S593" s="47" t="n">
        <v>2.2</v>
      </c>
      <c r="T593" s="47" t="n">
        <v>91.09999999999999</v>
      </c>
      <c r="U593" s="47" t="n"/>
      <c r="V593" s="87" t="n">
        <v>0</v>
      </c>
      <c r="W593" s="87" t="n">
        <v>0</v>
      </c>
      <c r="Y593" t="inlineStr">
        <is>
          <t>Aug</t>
        </is>
      </c>
      <c r="Z593" s="87" t="n">
        <v>2025</v>
      </c>
      <c r="AA593" s="47">
        <f>IF(F593="",0,F593)</f>
        <v/>
      </c>
      <c r="AB593" s="87">
        <f>IF(AA593&gt;=0.1,1,0)</f>
        <v/>
      </c>
      <c r="AC593" s="87" t="n">
        <v>0</v>
      </c>
      <c r="AD593" s="47">
        <f>IF(U593="",0,U593)</f>
        <v/>
      </c>
      <c r="AE593" s="87">
        <f>IF(OR(V593=1,W593=1),1,0)</f>
        <v/>
      </c>
      <c r="AF593" s="87" t="n">
        <v>0</v>
      </c>
      <c r="AG593" t="n">
        <v>4740</v>
      </c>
      <c r="AH593" t="n">
        <v>75551</v>
      </c>
      <c r="AI593" t="n">
        <v>0</v>
      </c>
      <c r="AJ593" s="88">
        <f>IF(OR(AG593&lt;=0,AH593&lt;=0),"",LN(AG593)-LN(AH593))</f>
        <v/>
      </c>
      <c r="AK593" t="n">
        <v>12228</v>
      </c>
      <c r="AL593" t="n">
        <v>68063</v>
      </c>
      <c r="AM593" s="88">
        <f>IF(OR(AK593&lt;=0,AL593&lt;=0),"",LN(AK593)-LN(AL593))</f>
        <v/>
      </c>
      <c r="AN593" t="n">
        <v>4467</v>
      </c>
      <c r="AO593" t="n">
        <v>72248</v>
      </c>
      <c r="AP593" s="88">
        <f>IF(OR(AN593&lt;=0,AO593&lt;=0),"",LN(AN593)-LN(AO593))</f>
        <v/>
      </c>
      <c r="AQ593" t="n">
        <v>4588</v>
      </c>
      <c r="AR593" t="n">
        <v>75551</v>
      </c>
      <c r="AS593" s="88">
        <f>IF(OR(AQ593&lt;=0,AR593&lt;=0),"",LN(AQ593)-LN(AR593))</f>
        <v/>
      </c>
      <c r="AT593" t="n">
        <v>6384</v>
      </c>
      <c r="AU593" t="n">
        <v>73281</v>
      </c>
      <c r="AV593" t="n">
        <v>627</v>
      </c>
      <c r="AW593" t="n">
        <v>580</v>
      </c>
      <c r="AX593" t="n">
        <v>4121</v>
      </c>
      <c r="AY593" s="88">
        <f>IF(OR(AT593&lt;=0,AU593&lt;=0),"",LN(AT593)-LN(AU593))</f>
        <v/>
      </c>
      <c r="AZ593" s="46" t="n">
        <v>0</v>
      </c>
      <c r="BA593" s="46" t="n">
        <v>6.29</v>
      </c>
      <c r="BB593" s="47" t="n">
        <v>9.300000000000001</v>
      </c>
    </row>
    <row r="594">
      <c r="A594" s="48" t="n">
        <v>45884</v>
      </c>
      <c r="B594" s="49" t="n">
        <v>91507</v>
      </c>
      <c r="C594" s="50" t="n">
        <v>10.08</v>
      </c>
      <c r="D594" s="51" t="inlineStr">
        <is>
          <t>Good</t>
        </is>
      </c>
      <c r="E594" s="52" t="n">
        <v>27.1</v>
      </c>
      <c r="F594" s="52" t="n">
        <v>0</v>
      </c>
      <c r="G594" s="51" t="inlineStr">
        <is>
          <t>Fri</t>
        </is>
      </c>
      <c r="H594" s="51" t="inlineStr">
        <is>
          <t>Weekday</t>
        </is>
      </c>
      <c r="I594" s="51" t="inlineStr">
        <is>
          <t>Summer</t>
        </is>
      </c>
      <c r="J594" s="51" t="n">
        <v>25</v>
      </c>
      <c r="K594" s="51" t="inlineStr">
        <is>
          <t>OK</t>
        </is>
      </c>
      <c r="L594" s="46" t="n">
        <v>19.32</v>
      </c>
      <c r="M594" t="inlineStr">
        <is>
          <t>Good</t>
        </is>
      </c>
      <c r="N594" s="87" t="n">
        <v>25</v>
      </c>
      <c r="O594" s="87" t="n">
        <v>0</v>
      </c>
      <c r="P594" s="87" t="n">
        <v>0</v>
      </c>
      <c r="Q594" s="87" t="n">
        <v>0</v>
      </c>
      <c r="R594" s="87" t="n">
        <v>0</v>
      </c>
      <c r="S594" s="47" t="n">
        <v>1.7</v>
      </c>
      <c r="T594" s="47" t="n">
        <v>84.3</v>
      </c>
      <c r="U594" s="47" t="n"/>
      <c r="V594" s="87" t="n">
        <v>0</v>
      </c>
      <c r="W594" s="87" t="n">
        <v>1</v>
      </c>
      <c r="X594" t="inlineStr">
        <is>
          <t>광복절</t>
        </is>
      </c>
      <c r="Y594" t="inlineStr">
        <is>
          <t>Aug</t>
        </is>
      </c>
      <c r="Z594" s="87" t="n">
        <v>2025</v>
      </c>
      <c r="AA594" s="47">
        <f>IF(F594="",0,F594)</f>
        <v/>
      </c>
      <c r="AB594" s="87">
        <f>IF(AA594&gt;=0.1,1,0)</f>
        <v/>
      </c>
      <c r="AC594" s="87" t="n">
        <v>1</v>
      </c>
      <c r="AD594" s="47">
        <f>IF(U594="",0,U594)</f>
        <v/>
      </c>
      <c r="AE594" s="87">
        <f>IF(OR(V594=1,W594=1),1,0)</f>
        <v/>
      </c>
      <c r="AF594" s="87" t="n">
        <v>0</v>
      </c>
      <c r="AG594" t="n">
        <v>7401</v>
      </c>
      <c r="AH594" t="n">
        <v>84106</v>
      </c>
      <c r="AI594" t="n">
        <v>0</v>
      </c>
      <c r="AJ594" s="88">
        <f>IF(OR(AG594&lt;=0,AH594&lt;=0),"",LN(AG594)-LN(AH594))</f>
        <v/>
      </c>
      <c r="AK594" t="n">
        <v>16015</v>
      </c>
      <c r="AL594" t="n">
        <v>75492</v>
      </c>
      <c r="AM594" s="88">
        <f>IF(OR(AK594&lt;=0,AL594&lt;=0),"",LN(AK594)-LN(AL594))</f>
        <v/>
      </c>
      <c r="AN594" t="n">
        <v>6772</v>
      </c>
      <c r="AO594" t="n">
        <v>80605</v>
      </c>
      <c r="AP594" s="88">
        <f>IF(OR(AN594&lt;=0,AO594&lt;=0),"",LN(AN594)-LN(AO594))</f>
        <v/>
      </c>
      <c r="AQ594" t="n">
        <v>7153</v>
      </c>
      <c r="AR594" t="n">
        <v>84106</v>
      </c>
      <c r="AS594" s="88">
        <f>IF(OR(AQ594&lt;=0,AR594&lt;=0),"",LN(AQ594)-LN(AR594))</f>
        <v/>
      </c>
      <c r="AT594" t="n">
        <v>8614</v>
      </c>
      <c r="AU594" t="n">
        <v>82263</v>
      </c>
      <c r="AV594" t="n">
        <v>631</v>
      </c>
      <c r="AW594" t="n">
        <v>1193</v>
      </c>
      <c r="AX594" t="n">
        <v>6146</v>
      </c>
      <c r="AY594" s="88">
        <f>IF(OR(AT594&lt;=0,AU594&lt;=0),"",LN(AT594)-LN(AU594))</f>
        <v/>
      </c>
      <c r="AZ594" s="46" t="n">
        <v>4.9</v>
      </c>
      <c r="BA594" s="46" t="n">
        <v>14.89</v>
      </c>
      <c r="BB594" s="47" t="n">
        <v>4.6</v>
      </c>
    </row>
    <row r="595">
      <c r="A595" s="48" t="n">
        <v>45885</v>
      </c>
      <c r="B595" s="49" t="n">
        <v>108987</v>
      </c>
      <c r="C595" s="50" t="n">
        <v>5.16</v>
      </c>
      <c r="D595" s="51" t="inlineStr">
        <is>
          <t>Good</t>
        </is>
      </c>
      <c r="E595" s="52" t="n">
        <v>28.2</v>
      </c>
      <c r="F595" s="52" t="n"/>
      <c r="G595" s="51" t="inlineStr">
        <is>
          <t>Sat</t>
        </is>
      </c>
      <c r="H595" s="51" t="inlineStr">
        <is>
          <t>Weekend</t>
        </is>
      </c>
      <c r="I595" s="51" t="inlineStr">
        <is>
          <t>Summer</t>
        </is>
      </c>
      <c r="J595" s="51" t="n">
        <v>25</v>
      </c>
      <c r="K595" s="51" t="inlineStr">
        <is>
          <t>강수량 공란</t>
        </is>
      </c>
      <c r="L595" s="46" t="n">
        <v>13.36</v>
      </c>
      <c r="M595" t="inlineStr">
        <is>
          <t>Good</t>
        </is>
      </c>
      <c r="N595" s="87" t="n">
        <v>25</v>
      </c>
      <c r="O595" s="87" t="n">
        <v>0</v>
      </c>
      <c r="P595" s="87" t="n">
        <v>0</v>
      </c>
      <c r="Q595" s="87" t="n">
        <v>0</v>
      </c>
      <c r="R595" s="87" t="n">
        <v>0</v>
      </c>
      <c r="S595" s="47" t="n">
        <v>2.2</v>
      </c>
      <c r="T595" s="47" t="n">
        <v>76</v>
      </c>
      <c r="U595" s="47" t="n"/>
      <c r="V595" s="87" t="n">
        <v>1</v>
      </c>
      <c r="W595" s="87" t="n">
        <v>0</v>
      </c>
      <c r="Y595" t="inlineStr">
        <is>
          <t>Aug</t>
        </is>
      </c>
      <c r="Z595" s="87" t="n">
        <v>2025</v>
      </c>
      <c r="AA595" s="47">
        <f>IF(F595="",0,F595)</f>
        <v/>
      </c>
      <c r="AB595" s="87">
        <f>IF(AA595&gt;=0.1,1,0)</f>
        <v/>
      </c>
      <c r="AC595" s="87" t="n">
        <v>0</v>
      </c>
      <c r="AD595" s="47">
        <f>IF(U595="",0,U595)</f>
        <v/>
      </c>
      <c r="AE595" s="87">
        <f>IF(OR(V595=1,W595=1),1,0)</f>
        <v/>
      </c>
      <c r="AF595" s="87" t="n">
        <v>0</v>
      </c>
      <c r="AG595" t="n">
        <v>9293</v>
      </c>
      <c r="AH595" t="n">
        <v>99694</v>
      </c>
      <c r="AI595" t="n">
        <v>0</v>
      </c>
      <c r="AJ595" s="88">
        <f>IF(OR(AG595&lt;=0,AH595&lt;=0),"",LN(AG595)-LN(AH595))</f>
        <v/>
      </c>
      <c r="AK595" t="n">
        <v>19786</v>
      </c>
      <c r="AL595" t="n">
        <v>89201</v>
      </c>
      <c r="AM595" s="88">
        <f>IF(OR(AK595&lt;=0,AL595&lt;=0),"",LN(AK595)-LN(AL595))</f>
        <v/>
      </c>
      <c r="AN595" t="n">
        <v>8164</v>
      </c>
      <c r="AO595" t="n">
        <v>95511</v>
      </c>
      <c r="AP595" s="88">
        <f>IF(OR(AN595&lt;=0,AO595&lt;=0),"",LN(AN595)-LN(AO595))</f>
        <v/>
      </c>
      <c r="AQ595" t="n">
        <v>9016</v>
      </c>
      <c r="AR595" t="n">
        <v>99694</v>
      </c>
      <c r="AS595" s="88">
        <f>IF(OR(AQ595&lt;=0,AR595&lt;=0),"",LN(AQ595)-LN(AR595))</f>
        <v/>
      </c>
      <c r="AT595" t="n">
        <v>10485</v>
      </c>
      <c r="AU595" t="n">
        <v>97750</v>
      </c>
      <c r="AV595" t="n">
        <v>754</v>
      </c>
      <c r="AW595" t="n">
        <v>1498</v>
      </c>
      <c r="AX595" t="n">
        <v>7693</v>
      </c>
      <c r="AY595" s="88">
        <f>IF(OR(AT595&lt;=0,AU595&lt;=0),"",LN(AT595)-LN(AU595))</f>
        <v/>
      </c>
      <c r="AZ595" s="46" t="n">
        <v>6.9</v>
      </c>
      <c r="BA595" s="46" t="n">
        <v>19.22</v>
      </c>
      <c r="BB595" s="47" t="n">
        <v>5.4</v>
      </c>
    </row>
    <row r="596">
      <c r="A596" s="48" t="n">
        <v>45886</v>
      </c>
      <c r="B596" s="49" t="n">
        <v>104200</v>
      </c>
      <c r="C596" s="50" t="n">
        <v>8.279999999999999</v>
      </c>
      <c r="D596" s="51" t="inlineStr">
        <is>
          <t>Good</t>
        </is>
      </c>
      <c r="E596" s="52" t="n">
        <v>28.4</v>
      </c>
      <c r="F596" s="52" t="n"/>
      <c r="G596" s="51" t="inlineStr">
        <is>
          <t>Sun</t>
        </is>
      </c>
      <c r="H596" s="51" t="inlineStr">
        <is>
          <t>Weekend</t>
        </is>
      </c>
      <c r="I596" s="51" t="inlineStr">
        <is>
          <t>Summer</t>
        </is>
      </c>
      <c r="J596" s="51" t="n">
        <v>25</v>
      </c>
      <c r="K596" s="51" t="inlineStr">
        <is>
          <t>강수량 공란</t>
        </is>
      </c>
      <c r="L596" s="46" t="n">
        <v>14.96</v>
      </c>
      <c r="M596" t="inlineStr">
        <is>
          <t>Good</t>
        </is>
      </c>
      <c r="N596" s="87" t="n">
        <v>25</v>
      </c>
      <c r="O596" s="87" t="n">
        <v>0</v>
      </c>
      <c r="P596" s="87" t="n">
        <v>0</v>
      </c>
      <c r="Q596" s="87" t="n">
        <v>0</v>
      </c>
      <c r="R596" s="87" t="n">
        <v>0</v>
      </c>
      <c r="S596" s="47" t="n">
        <v>2.3</v>
      </c>
      <c r="T596" s="47" t="n">
        <v>76.3</v>
      </c>
      <c r="U596" s="47" t="n"/>
      <c r="V596" s="87" t="n">
        <v>1</v>
      </c>
      <c r="W596" s="87" t="n">
        <v>0</v>
      </c>
      <c r="Y596" t="inlineStr">
        <is>
          <t>Aug</t>
        </is>
      </c>
      <c r="Z596" s="87" t="n">
        <v>2025</v>
      </c>
      <c r="AA596" s="47">
        <f>IF(F596="",0,F596)</f>
        <v/>
      </c>
      <c r="AB596" s="87">
        <f>IF(AA596&gt;=0.1,1,0)</f>
        <v/>
      </c>
      <c r="AC596" s="87" t="n">
        <v>0</v>
      </c>
      <c r="AD596" s="47">
        <f>IF(U596="",0,U596)</f>
        <v/>
      </c>
      <c r="AE596" s="87">
        <f>IF(OR(V596=1,W596=1),1,0)</f>
        <v/>
      </c>
      <c r="AF596" s="87" t="n">
        <v>0</v>
      </c>
      <c r="AG596" t="n">
        <v>8886</v>
      </c>
      <c r="AH596" t="n">
        <v>95314</v>
      </c>
      <c r="AI596" t="n">
        <v>0</v>
      </c>
      <c r="AJ596" s="88">
        <f>IF(OR(AG596&lt;=0,AH596&lt;=0),"",LN(AG596)-LN(AH596))</f>
        <v/>
      </c>
      <c r="AK596" t="n">
        <v>18773</v>
      </c>
      <c r="AL596" t="n">
        <v>85427</v>
      </c>
      <c r="AM596" s="88">
        <f>IF(OR(AK596&lt;=0,AL596&lt;=0),"",LN(AK596)-LN(AL596))</f>
        <v/>
      </c>
      <c r="AN596" t="n">
        <v>7772</v>
      </c>
      <c r="AO596" t="n">
        <v>91479</v>
      </c>
      <c r="AP596" s="88">
        <f>IF(OR(AN596&lt;=0,AO596&lt;=0),"",LN(AN596)-LN(AO596))</f>
        <v/>
      </c>
      <c r="AQ596" t="n">
        <v>8618</v>
      </c>
      <c r="AR596" t="n">
        <v>95314</v>
      </c>
      <c r="AS596" s="88">
        <f>IF(OR(AQ596&lt;=0,AR596&lt;=0),"",LN(AQ596)-LN(AR596))</f>
        <v/>
      </c>
      <c r="AT596" t="n">
        <v>10212</v>
      </c>
      <c r="AU596" t="n">
        <v>93384</v>
      </c>
      <c r="AV596" t="n">
        <v>604</v>
      </c>
      <c r="AW596" t="n">
        <v>1411</v>
      </c>
      <c r="AX596" t="n">
        <v>7408</v>
      </c>
      <c r="AY596" s="88">
        <f>IF(OR(AT596&lt;=0,AU596&lt;=0),"",LN(AT596)-LN(AU596))</f>
        <v/>
      </c>
      <c r="AZ596" s="46" t="n">
        <v>1.8</v>
      </c>
      <c r="BA596" s="46" t="n">
        <v>16.43</v>
      </c>
      <c r="BB596" s="47" t="n">
        <v>8.1</v>
      </c>
    </row>
    <row r="597">
      <c r="A597" s="48" t="n">
        <v>45887</v>
      </c>
      <c r="B597" s="49" t="n">
        <v>108971</v>
      </c>
      <c r="C597" s="50" t="n">
        <v>18.44</v>
      </c>
      <c r="D597" s="51" t="inlineStr">
        <is>
          <t>Moderate</t>
        </is>
      </c>
      <c r="E597" s="52" t="n">
        <v>28.9</v>
      </c>
      <c r="F597" s="52" t="n">
        <v>2.2</v>
      </c>
      <c r="G597" s="51" t="inlineStr">
        <is>
          <t>Mon</t>
        </is>
      </c>
      <c r="H597" s="51" t="inlineStr">
        <is>
          <t>Weekday</t>
        </is>
      </c>
      <c r="I597" s="51" t="inlineStr">
        <is>
          <t>Summer</t>
        </is>
      </c>
      <c r="J597" s="51" t="n">
        <v>25</v>
      </c>
      <c r="K597" s="51" t="inlineStr">
        <is>
          <t>OK</t>
        </is>
      </c>
      <c r="L597" s="46" t="n">
        <v>25.6</v>
      </c>
      <c r="M597" t="inlineStr">
        <is>
          <t>Good</t>
        </is>
      </c>
      <c r="N597" s="87" t="n">
        <v>25</v>
      </c>
      <c r="O597" s="87" t="n">
        <v>0</v>
      </c>
      <c r="P597" s="87" t="n">
        <v>0</v>
      </c>
      <c r="Q597" s="87" t="n">
        <v>0</v>
      </c>
      <c r="R597" s="87" t="n">
        <v>0</v>
      </c>
      <c r="S597" s="47" t="n">
        <v>3</v>
      </c>
      <c r="T597" s="47" t="n">
        <v>75.59999999999999</v>
      </c>
      <c r="U597" s="47" t="n"/>
      <c r="V597" s="87" t="n">
        <v>0</v>
      </c>
      <c r="W597" s="87" t="n">
        <v>0</v>
      </c>
      <c r="Y597" t="inlineStr">
        <is>
          <t>Aug</t>
        </is>
      </c>
      <c r="Z597" s="87" t="n">
        <v>2025</v>
      </c>
      <c r="AA597" s="47">
        <f>IF(F597="",0,F597)</f>
        <v/>
      </c>
      <c r="AB597" s="87">
        <f>IF(AA597&gt;=0.1,1,0)</f>
        <v/>
      </c>
      <c r="AC597" s="87" t="n">
        <v>0</v>
      </c>
      <c r="AD597" s="47">
        <f>IF(U597="",0,U597)</f>
        <v/>
      </c>
      <c r="AE597" s="87">
        <f>IF(OR(V597=1,W597=1),1,0)</f>
        <v/>
      </c>
      <c r="AF597" s="87" t="n">
        <v>0</v>
      </c>
      <c r="AG597" t="n">
        <v>5861</v>
      </c>
      <c r="AH597" t="n">
        <v>103109</v>
      </c>
      <c r="AI597" t="n">
        <v>1</v>
      </c>
      <c r="AJ597" s="88">
        <f>IF(OR(AG597&lt;=0,AH597&lt;=0),"",LN(AG597)-LN(AH597))</f>
        <v/>
      </c>
      <c r="AK597" t="n">
        <v>16022</v>
      </c>
      <c r="AL597" t="n">
        <v>92948</v>
      </c>
      <c r="AM597" s="88">
        <f>IF(OR(AK597&lt;=0,AL597&lt;=0),"",LN(AK597)-LN(AL597))</f>
        <v/>
      </c>
      <c r="AN597" t="n">
        <v>5518</v>
      </c>
      <c r="AO597" t="n">
        <v>98586</v>
      </c>
      <c r="AP597" s="88">
        <f>IF(OR(AN597&lt;=0,AO597&lt;=0),"",LN(AN597)-LN(AO597))</f>
        <v/>
      </c>
      <c r="AQ597" t="n">
        <v>5736</v>
      </c>
      <c r="AR597" t="n">
        <v>103109</v>
      </c>
      <c r="AS597" s="88">
        <f>IF(OR(AQ597&lt;=0,AR597&lt;=0),"",LN(AQ597)-LN(AR597))</f>
        <v/>
      </c>
      <c r="AT597" t="n">
        <v>6846</v>
      </c>
      <c r="AU597" t="n">
        <v>101367</v>
      </c>
      <c r="AV597" t="n">
        <v>759</v>
      </c>
      <c r="AW597" t="n">
        <v>498</v>
      </c>
      <c r="AX597" t="n">
        <v>5314</v>
      </c>
      <c r="AY597" s="88">
        <f>IF(OR(AT597&lt;=0,AU597&lt;=0),"",LN(AT597)-LN(AU597))</f>
        <v/>
      </c>
      <c r="AZ597" s="46" t="n">
        <v>5.4</v>
      </c>
      <c r="BA597" s="46" t="n">
        <v>19.92</v>
      </c>
      <c r="BB597" s="47" t="n">
        <v>8.1</v>
      </c>
    </row>
    <row r="598">
      <c r="A598" s="48" t="n">
        <v>45888</v>
      </c>
      <c r="B598" s="49" t="n">
        <v>140132</v>
      </c>
      <c r="C598" s="50" t="n">
        <v>5.04</v>
      </c>
      <c r="D598" s="51" t="inlineStr">
        <is>
          <t>Good</t>
        </is>
      </c>
      <c r="E598" s="52" t="n">
        <v>29.1</v>
      </c>
      <c r="F598" s="52" t="n"/>
      <c r="G598" s="51" t="inlineStr">
        <is>
          <t>Tue</t>
        </is>
      </c>
      <c r="H598" s="51" t="inlineStr">
        <is>
          <t>Weekday</t>
        </is>
      </c>
      <c r="I598" s="51" t="inlineStr">
        <is>
          <t>Summer</t>
        </is>
      </c>
      <c r="J598" s="51" t="n">
        <v>25</v>
      </c>
      <c r="K598" s="51" t="inlineStr">
        <is>
          <t>강수량 공란</t>
        </is>
      </c>
      <c r="L598" s="46" t="n">
        <v>13.76</v>
      </c>
      <c r="M598" t="inlineStr">
        <is>
          <t>Good</t>
        </is>
      </c>
      <c r="N598" s="87" t="n">
        <v>25</v>
      </c>
      <c r="O598" s="87" t="n">
        <v>0</v>
      </c>
      <c r="P598" s="87" t="n">
        <v>0</v>
      </c>
      <c r="Q598" s="87" t="n">
        <v>0</v>
      </c>
      <c r="R598" s="87" t="n">
        <v>0</v>
      </c>
      <c r="S598" s="47" t="n">
        <v>3</v>
      </c>
      <c r="T598" s="47" t="n">
        <v>75.3</v>
      </c>
      <c r="U598" s="47" t="n"/>
      <c r="V598" s="87" t="n">
        <v>0</v>
      </c>
      <c r="W598" s="87" t="n">
        <v>0</v>
      </c>
      <c r="Y598" t="inlineStr">
        <is>
          <t>Aug</t>
        </is>
      </c>
      <c r="Z598" s="87" t="n">
        <v>2025</v>
      </c>
      <c r="AA598" s="47">
        <f>IF(F598="",0,F598)</f>
        <v/>
      </c>
      <c r="AB598" s="87">
        <f>IF(AA598&gt;=0.1,1,0)</f>
        <v/>
      </c>
      <c r="AC598" s="87" t="n">
        <v>0</v>
      </c>
      <c r="AD598" s="47">
        <f>IF(U598="",0,U598)</f>
        <v/>
      </c>
      <c r="AE598" s="87">
        <f>IF(OR(V598=1,W598=1),1,0)</f>
        <v/>
      </c>
      <c r="AF598" s="87" t="n">
        <v>0</v>
      </c>
      <c r="AG598" t="n">
        <v>8331</v>
      </c>
      <c r="AH598" t="n">
        <v>131797</v>
      </c>
      <c r="AI598" t="n">
        <v>4</v>
      </c>
      <c r="AJ598" s="88">
        <f>IF(OR(AG598&lt;=0,AH598&lt;=0),"",LN(AG598)-LN(AH598))</f>
        <v/>
      </c>
      <c r="AK598" t="n">
        <v>21470</v>
      </c>
      <c r="AL598" t="n">
        <v>118658</v>
      </c>
      <c r="AM598" s="88">
        <f>IF(OR(AK598&lt;=0,AL598&lt;=0),"",LN(AK598)-LN(AL598))</f>
        <v/>
      </c>
      <c r="AN598" t="n">
        <v>7513</v>
      </c>
      <c r="AO598" t="n">
        <v>126080</v>
      </c>
      <c r="AP598" s="88">
        <f>IF(OR(AN598&lt;=0,AO598&lt;=0),"",LN(AN598)-LN(AO598))</f>
        <v/>
      </c>
      <c r="AQ598" t="n">
        <v>8113</v>
      </c>
      <c r="AR598" t="n">
        <v>131797</v>
      </c>
      <c r="AS598" s="88">
        <f>IF(OR(AQ598&lt;=0,AR598&lt;=0),"",LN(AQ598)-LN(AR598))</f>
        <v/>
      </c>
      <c r="AT598" t="n">
        <v>9292</v>
      </c>
      <c r="AU598" t="n">
        <v>129916</v>
      </c>
      <c r="AV598" t="n">
        <v>925</v>
      </c>
      <c r="AW598" t="n">
        <v>897</v>
      </c>
      <c r="AX598" t="n">
        <v>7365</v>
      </c>
      <c r="AY598" s="88">
        <f>IF(OR(AT598&lt;=0,AU598&lt;=0),"",LN(AT598)-LN(AU598))</f>
        <v/>
      </c>
      <c r="AZ598" s="46" t="n">
        <v>6.2</v>
      </c>
      <c r="BA598" s="46" t="n">
        <v>19.48</v>
      </c>
      <c r="BB598" s="47" t="n">
        <v>6.1</v>
      </c>
    </row>
    <row r="599">
      <c r="A599" s="48" t="n">
        <v>45889</v>
      </c>
      <c r="B599" s="49" t="n">
        <v>142190</v>
      </c>
      <c r="C599" s="50" t="n">
        <v>6.92</v>
      </c>
      <c r="D599" s="51" t="inlineStr">
        <is>
          <t>Good</t>
        </is>
      </c>
      <c r="E599" s="52" t="n">
        <v>29.4</v>
      </c>
      <c r="F599" s="52" t="n">
        <v>0</v>
      </c>
      <c r="G599" s="51" t="inlineStr">
        <is>
          <t>Wed</t>
        </is>
      </c>
      <c r="H599" s="51" t="inlineStr">
        <is>
          <t>Weekday</t>
        </is>
      </c>
      <c r="I599" s="51" t="inlineStr">
        <is>
          <t>Summer</t>
        </is>
      </c>
      <c r="J599" s="51" t="n">
        <v>25</v>
      </c>
      <c r="K599" s="51" t="inlineStr">
        <is>
          <t>OK</t>
        </is>
      </c>
      <c r="L599" s="46" t="n">
        <v>15.2</v>
      </c>
      <c r="M599" t="inlineStr">
        <is>
          <t>Good</t>
        </is>
      </c>
      <c r="N599" s="87" t="n">
        <v>25</v>
      </c>
      <c r="O599" s="87" t="n">
        <v>0</v>
      </c>
      <c r="P599" s="87" t="n">
        <v>0</v>
      </c>
      <c r="Q599" s="87" t="n">
        <v>0</v>
      </c>
      <c r="R599" s="87" t="n">
        <v>0</v>
      </c>
      <c r="S599" s="47" t="n">
        <v>2.6</v>
      </c>
      <c r="T599" s="47" t="n">
        <v>74.5</v>
      </c>
      <c r="U599" s="47" t="n"/>
      <c r="V599" s="87" t="n">
        <v>0</v>
      </c>
      <c r="W599" s="87" t="n">
        <v>0</v>
      </c>
      <c r="Y599" t="inlineStr">
        <is>
          <t>Aug</t>
        </is>
      </c>
      <c r="Z599" s="87" t="n">
        <v>2025</v>
      </c>
      <c r="AA599" s="47">
        <f>IF(F599="",0,F599)</f>
        <v/>
      </c>
      <c r="AB599" s="87">
        <f>IF(AA599&gt;=0.1,1,0)</f>
        <v/>
      </c>
      <c r="AC599" s="87" t="n">
        <v>1</v>
      </c>
      <c r="AD599" s="47">
        <f>IF(U599="",0,U599)</f>
        <v/>
      </c>
      <c r="AE599" s="87">
        <f>IF(OR(V599=1,W599=1),1,0)</f>
        <v/>
      </c>
      <c r="AF599" s="87" t="n">
        <v>0</v>
      </c>
      <c r="AG599" t="n">
        <v>8037</v>
      </c>
      <c r="AH599" t="n">
        <v>134150</v>
      </c>
      <c r="AI599" t="n">
        <v>3</v>
      </c>
      <c r="AJ599" s="88">
        <f>IF(OR(AG599&lt;=0,AH599&lt;=0),"",LN(AG599)-LN(AH599))</f>
        <v/>
      </c>
      <c r="AK599" t="n">
        <v>21421</v>
      </c>
      <c r="AL599" t="n">
        <v>120766</v>
      </c>
      <c r="AM599" s="88">
        <f>IF(OR(AK599&lt;=0,AL599&lt;=0),"",LN(AK599)-LN(AL599))</f>
        <v/>
      </c>
      <c r="AN599" t="n">
        <v>7329</v>
      </c>
      <c r="AO599" t="n">
        <v>128408</v>
      </c>
      <c r="AP599" s="88">
        <f>IF(OR(AN599&lt;=0,AO599&lt;=0),"",LN(AN599)-LN(AO599))</f>
        <v/>
      </c>
      <c r="AQ599" t="n">
        <v>7799</v>
      </c>
      <c r="AR599" t="n">
        <v>134150</v>
      </c>
      <c r="AS599" s="88">
        <f>IF(OR(AQ599&lt;=0,AR599&lt;=0),"",LN(AQ599)-LN(AR599))</f>
        <v/>
      </c>
      <c r="AT599" t="n">
        <v>9570</v>
      </c>
      <c r="AU599" t="n">
        <v>131660</v>
      </c>
      <c r="AV599" t="n">
        <v>962</v>
      </c>
      <c r="AW599" t="n">
        <v>822</v>
      </c>
      <c r="AX599" t="n">
        <v>7164</v>
      </c>
      <c r="AY599" s="88">
        <f>IF(OR(AT599&lt;=0,AU599&lt;=0),"",LN(AT599)-LN(AU599))</f>
        <v/>
      </c>
      <c r="AZ599" s="46" t="n">
        <v>5.2</v>
      </c>
      <c r="BA599" s="46" t="n">
        <v>18.14</v>
      </c>
      <c r="BB599" s="47" t="n">
        <v>7.8</v>
      </c>
    </row>
    <row r="600">
      <c r="A600" s="48" t="n">
        <v>45890</v>
      </c>
      <c r="B600" s="49" t="n">
        <v>141944</v>
      </c>
      <c r="C600" s="50" t="n">
        <v>8.800000000000001</v>
      </c>
      <c r="D600" s="51" t="inlineStr">
        <is>
          <t>Good</t>
        </is>
      </c>
      <c r="E600" s="52" t="n">
        <v>29.8</v>
      </c>
      <c r="F600" s="52" t="n"/>
      <c r="G600" s="51" t="inlineStr">
        <is>
          <t>Thu</t>
        </is>
      </c>
      <c r="H600" s="51" t="inlineStr">
        <is>
          <t>Weekday</t>
        </is>
      </c>
      <c r="I600" s="51" t="inlineStr">
        <is>
          <t>Summer</t>
        </is>
      </c>
      <c r="J600" s="51" t="n">
        <v>25</v>
      </c>
      <c r="K600" s="51" t="inlineStr">
        <is>
          <t>강수량 공란</t>
        </is>
      </c>
      <c r="L600" s="46" t="n">
        <v>16.84</v>
      </c>
      <c r="M600" t="inlineStr">
        <is>
          <t>Good</t>
        </is>
      </c>
      <c r="N600" s="87" t="n">
        <v>25</v>
      </c>
      <c r="O600" s="87" t="n">
        <v>0</v>
      </c>
      <c r="P600" s="87" t="n">
        <v>0</v>
      </c>
      <c r="Q600" s="87" t="n">
        <v>0</v>
      </c>
      <c r="R600" s="87" t="n">
        <v>0</v>
      </c>
      <c r="S600" s="47" t="n">
        <v>2.2</v>
      </c>
      <c r="T600" s="47" t="n">
        <v>70.59999999999999</v>
      </c>
      <c r="U600" s="47" t="n"/>
      <c r="V600" s="87" t="n">
        <v>0</v>
      </c>
      <c r="W600" s="87" t="n">
        <v>0</v>
      </c>
      <c r="Y600" t="inlineStr">
        <is>
          <t>Aug</t>
        </is>
      </c>
      <c r="Z600" s="87" t="n">
        <v>2025</v>
      </c>
      <c r="AA600" s="47">
        <f>IF(F600="",0,F600)</f>
        <v/>
      </c>
      <c r="AB600" s="87">
        <f>IF(AA600&gt;=0.1,1,0)</f>
        <v/>
      </c>
      <c r="AC600" s="87" t="n">
        <v>0</v>
      </c>
      <c r="AD600" s="47">
        <f>IF(U600="",0,U600)</f>
        <v/>
      </c>
      <c r="AE600" s="87">
        <f>IF(OR(V600=1,W600=1),1,0)</f>
        <v/>
      </c>
      <c r="AF600" s="87" t="n">
        <v>0</v>
      </c>
      <c r="AG600" t="n">
        <v>8092</v>
      </c>
      <c r="AH600" t="n">
        <v>133841</v>
      </c>
      <c r="AI600" t="n">
        <v>11</v>
      </c>
      <c r="AJ600" s="88">
        <f>IF(OR(AG600&lt;=0,AH600&lt;=0),"",LN(AG600)-LN(AH600))</f>
        <v/>
      </c>
      <c r="AK600" t="n">
        <v>21314</v>
      </c>
      <c r="AL600" t="n">
        <v>120619</v>
      </c>
      <c r="AM600" s="88">
        <f>IF(OR(AK600&lt;=0,AL600&lt;=0),"",LN(AK600)-LN(AL600))</f>
        <v/>
      </c>
      <c r="AN600" t="n">
        <v>7354</v>
      </c>
      <c r="AO600" t="n">
        <v>128226</v>
      </c>
      <c r="AP600" s="88">
        <f>IF(OR(AN600&lt;=0,AO600&lt;=0),"",LN(AN600)-LN(AO600))</f>
        <v/>
      </c>
      <c r="AQ600" t="n">
        <v>7864</v>
      </c>
      <c r="AR600" t="n">
        <v>133841</v>
      </c>
      <c r="AS600" s="88">
        <f>IF(OR(AQ600&lt;=0,AR600&lt;=0),"",LN(AQ600)-LN(AR600))</f>
        <v/>
      </c>
      <c r="AT600" t="n">
        <v>8977</v>
      </c>
      <c r="AU600" t="n">
        <v>132009</v>
      </c>
      <c r="AV600" t="n">
        <v>960</v>
      </c>
      <c r="AW600" t="n">
        <v>760</v>
      </c>
      <c r="AX600" t="n">
        <v>7262</v>
      </c>
      <c r="AY600" s="88">
        <f>IF(OR(AT600&lt;=0,AU600&lt;=0),"",LN(AT600)-LN(AU600))</f>
        <v/>
      </c>
      <c r="AZ600" s="46" t="n">
        <v>7.5</v>
      </c>
      <c r="BA600" s="46" t="n">
        <v>21.66</v>
      </c>
      <c r="BB600" s="47" t="n">
        <v>5.8</v>
      </c>
    </row>
    <row r="601">
      <c r="A601" s="48" t="n">
        <v>45891</v>
      </c>
      <c r="B601" s="49" t="n">
        <v>141080</v>
      </c>
      <c r="C601" s="50" t="n">
        <v>6.72</v>
      </c>
      <c r="D601" s="51" t="inlineStr">
        <is>
          <t>Good</t>
        </is>
      </c>
      <c r="E601" s="52" t="n">
        <v>29.4</v>
      </c>
      <c r="F601" s="52" t="n"/>
      <c r="G601" s="51" t="inlineStr">
        <is>
          <t>Fri</t>
        </is>
      </c>
      <c r="H601" s="51" t="inlineStr">
        <is>
          <t>Weekday</t>
        </is>
      </c>
      <c r="I601" s="51" t="inlineStr">
        <is>
          <t>Summer</t>
        </is>
      </c>
      <c r="J601" s="51" t="n">
        <v>25</v>
      </c>
      <c r="K601" s="51" t="inlineStr">
        <is>
          <t>강수량 공란</t>
        </is>
      </c>
      <c r="L601" s="46" t="n">
        <v>13.36</v>
      </c>
      <c r="M601" t="inlineStr">
        <is>
          <t>Good</t>
        </is>
      </c>
      <c r="N601" s="87" t="n">
        <v>25</v>
      </c>
      <c r="O601" s="87" t="n">
        <v>0</v>
      </c>
      <c r="P601" s="87" t="n">
        <v>0</v>
      </c>
      <c r="Q601" s="87" t="n">
        <v>0</v>
      </c>
      <c r="R601" s="87" t="n">
        <v>0</v>
      </c>
      <c r="S601" s="47" t="n">
        <v>2.1</v>
      </c>
      <c r="T601" s="47" t="n">
        <v>71.5</v>
      </c>
      <c r="U601" s="47" t="n"/>
      <c r="V601" s="87" t="n">
        <v>0</v>
      </c>
      <c r="W601" s="87" t="n">
        <v>0</v>
      </c>
      <c r="Y601" t="inlineStr">
        <is>
          <t>Aug</t>
        </is>
      </c>
      <c r="Z601" s="87" t="n">
        <v>2025</v>
      </c>
      <c r="AA601" s="47">
        <f>IF(F601="",0,F601)</f>
        <v/>
      </c>
      <c r="AB601" s="87">
        <f>IF(AA601&gt;=0.1,1,0)</f>
        <v/>
      </c>
      <c r="AC601" s="87" t="n">
        <v>0</v>
      </c>
      <c r="AD601" s="47">
        <f>IF(U601="",0,U601)</f>
        <v/>
      </c>
      <c r="AE601" s="87">
        <f>IF(OR(V601=1,W601=1),1,0)</f>
        <v/>
      </c>
      <c r="AF601" s="87" t="n">
        <v>0</v>
      </c>
      <c r="AG601" t="n">
        <v>8283</v>
      </c>
      <c r="AH601" t="n">
        <v>132786</v>
      </c>
      <c r="AI601" t="n">
        <v>11</v>
      </c>
      <c r="AJ601" s="88">
        <f>IF(OR(AG601&lt;=0,AH601&lt;=0),"",LN(AG601)-LN(AH601))</f>
        <v/>
      </c>
      <c r="AK601" t="n">
        <v>21620</v>
      </c>
      <c r="AL601" t="n">
        <v>119449</v>
      </c>
      <c r="AM601" s="88">
        <f>IF(OR(AK601&lt;=0,AL601&lt;=0),"",LN(AK601)-LN(AL601))</f>
        <v/>
      </c>
      <c r="AN601" t="n">
        <v>7440</v>
      </c>
      <c r="AO601" t="n">
        <v>127087</v>
      </c>
      <c r="AP601" s="88">
        <f>IF(OR(AN601&lt;=0,AO601&lt;=0),"",LN(AN601)-LN(AO601))</f>
        <v/>
      </c>
      <c r="AQ601" t="n">
        <v>8066</v>
      </c>
      <c r="AR601" t="n">
        <v>132786</v>
      </c>
      <c r="AS601" s="88">
        <f>IF(OR(AQ601&lt;=0,AR601&lt;=0),"",LN(AQ601)-LN(AR601))</f>
        <v/>
      </c>
      <c r="AT601" t="n">
        <v>9383</v>
      </c>
      <c r="AU601" t="n">
        <v>130692</v>
      </c>
      <c r="AV601" t="n">
        <v>1006</v>
      </c>
      <c r="AW601" t="n">
        <v>846</v>
      </c>
      <c r="AX601" t="n">
        <v>7361</v>
      </c>
      <c r="AY601" s="88">
        <f>IF(OR(AT601&lt;=0,AU601&lt;=0),"",LN(AT601)-LN(AU601))</f>
        <v/>
      </c>
      <c r="AZ601" s="46" t="n">
        <v>9.5</v>
      </c>
      <c r="BA601" s="46" t="n">
        <v>22.41</v>
      </c>
      <c r="BB601" s="47" t="n">
        <v>1.9</v>
      </c>
    </row>
    <row r="602">
      <c r="A602" s="48" t="n">
        <v>45892</v>
      </c>
      <c r="B602" s="49" t="n">
        <v>114416</v>
      </c>
      <c r="C602" s="50" t="n">
        <v>10.16</v>
      </c>
      <c r="D602" s="51" t="inlineStr">
        <is>
          <t>Good</t>
        </is>
      </c>
      <c r="E602" s="52" t="n">
        <v>29.3</v>
      </c>
      <c r="F602" s="52" t="n"/>
      <c r="G602" s="51" t="inlineStr">
        <is>
          <t>Sat</t>
        </is>
      </c>
      <c r="H602" s="51" t="inlineStr">
        <is>
          <t>Weekend</t>
        </is>
      </c>
      <c r="I602" s="51" t="inlineStr">
        <is>
          <t>Summer</t>
        </is>
      </c>
      <c r="J602" s="51" t="n">
        <v>25</v>
      </c>
      <c r="K602" s="51" t="inlineStr">
        <is>
          <t>강수량 공란</t>
        </is>
      </c>
      <c r="L602" s="46" t="n">
        <v>18.12</v>
      </c>
      <c r="M602" t="inlineStr">
        <is>
          <t>Good</t>
        </is>
      </c>
      <c r="N602" s="87" t="n">
        <v>25</v>
      </c>
      <c r="O602" s="87" t="n">
        <v>0</v>
      </c>
      <c r="P602" s="87" t="n">
        <v>0</v>
      </c>
      <c r="Q602" s="87" t="n">
        <v>0</v>
      </c>
      <c r="R602" s="87" t="n">
        <v>0</v>
      </c>
      <c r="S602" s="47" t="n">
        <v>1.9</v>
      </c>
      <c r="T602" s="47" t="n">
        <v>74.90000000000001</v>
      </c>
      <c r="U602" s="47" t="n"/>
      <c r="V602" s="87" t="n">
        <v>1</v>
      </c>
      <c r="W602" s="87" t="n">
        <v>0</v>
      </c>
      <c r="Y602" t="inlineStr">
        <is>
          <t>Aug</t>
        </is>
      </c>
      <c r="Z602" s="87" t="n">
        <v>2025</v>
      </c>
      <c r="AA602" s="47">
        <f>IF(F602="",0,F602)</f>
        <v/>
      </c>
      <c r="AB602" s="87">
        <f>IF(AA602&gt;=0.1,1,0)</f>
        <v/>
      </c>
      <c r="AC602" s="87" t="n">
        <v>0</v>
      </c>
      <c r="AD602" s="47">
        <f>IF(U602="",0,U602)</f>
        <v/>
      </c>
      <c r="AE602" s="87">
        <f>IF(OR(V602=1,W602=1),1,0)</f>
        <v/>
      </c>
      <c r="AF602" s="87" t="n">
        <v>0</v>
      </c>
      <c r="AG602" t="n">
        <v>8274</v>
      </c>
      <c r="AH602" t="n">
        <v>106141</v>
      </c>
      <c r="AI602" t="n">
        <v>1</v>
      </c>
      <c r="AJ602" s="88">
        <f>IF(OR(AG602&lt;=0,AH602&lt;=0),"",LN(AG602)-LN(AH602))</f>
        <v/>
      </c>
      <c r="AK602" t="n">
        <v>18978</v>
      </c>
      <c r="AL602" t="n">
        <v>95437</v>
      </c>
      <c r="AM602" s="88">
        <f>IF(OR(AK602&lt;=0,AL602&lt;=0),"",LN(AK602)-LN(AL602))</f>
        <v/>
      </c>
      <c r="AN602" t="n">
        <v>7117</v>
      </c>
      <c r="AO602" t="n">
        <v>101762</v>
      </c>
      <c r="AP602" s="88">
        <f>IF(OR(AN602&lt;=0,AO602&lt;=0),"",LN(AN602)-LN(AO602))</f>
        <v/>
      </c>
      <c r="AQ602" t="n">
        <v>8040</v>
      </c>
      <c r="AR602" t="n">
        <v>106141</v>
      </c>
      <c r="AS602" s="88">
        <f>IF(OR(AQ602&lt;=0,AR602&lt;=0),"",LN(AQ602)-LN(AR602))</f>
        <v/>
      </c>
      <c r="AT602" t="n">
        <v>10299</v>
      </c>
      <c r="AU602" t="n">
        <v>103368</v>
      </c>
      <c r="AV602" t="n">
        <v>749</v>
      </c>
      <c r="AW602" t="n">
        <v>1263</v>
      </c>
      <c r="AX602" t="n">
        <v>6924</v>
      </c>
      <c r="AY602" s="88">
        <f>IF(OR(AT602&lt;=0,AU602&lt;=0),"",LN(AT602)-LN(AU602))</f>
        <v/>
      </c>
      <c r="AZ602" s="46" t="n">
        <v>3.6</v>
      </c>
      <c r="BA602" s="46" t="n">
        <v>11.71</v>
      </c>
      <c r="BB602" s="47" t="n">
        <v>4.3</v>
      </c>
    </row>
    <row r="603">
      <c r="A603" s="48" t="n">
        <v>45893</v>
      </c>
      <c r="B603" s="49" t="n">
        <v>98956</v>
      </c>
      <c r="C603" s="50" t="n">
        <v>14</v>
      </c>
      <c r="D603" s="51" t="inlineStr">
        <is>
          <t>Good</t>
        </is>
      </c>
      <c r="E603" s="52" t="n">
        <v>30.2</v>
      </c>
      <c r="F603" s="52" t="n"/>
      <c r="G603" s="51" t="inlineStr">
        <is>
          <t>Sun</t>
        </is>
      </c>
      <c r="H603" s="51" t="inlineStr">
        <is>
          <t>Weekend</t>
        </is>
      </c>
      <c r="I603" s="51" t="inlineStr">
        <is>
          <t>Summer</t>
        </is>
      </c>
      <c r="J603" s="51" t="n">
        <v>25</v>
      </c>
      <c r="K603" s="51" t="inlineStr">
        <is>
          <t>강수량 공란</t>
        </is>
      </c>
      <c r="L603" s="46" t="n">
        <v>22.04</v>
      </c>
      <c r="M603" t="inlineStr">
        <is>
          <t>Good</t>
        </is>
      </c>
      <c r="N603" s="87" t="n">
        <v>25</v>
      </c>
      <c r="O603" s="87" t="n">
        <v>0</v>
      </c>
      <c r="P603" s="87" t="n">
        <v>0</v>
      </c>
      <c r="Q603" s="87" t="n">
        <v>0</v>
      </c>
      <c r="R603" s="87" t="n">
        <v>0</v>
      </c>
      <c r="S603" s="47" t="n">
        <v>1.7</v>
      </c>
      <c r="T603" s="47" t="n">
        <v>69.40000000000001</v>
      </c>
      <c r="U603" s="47" t="n"/>
      <c r="V603" s="87" t="n">
        <v>1</v>
      </c>
      <c r="W603" s="87" t="n">
        <v>0</v>
      </c>
      <c r="Y603" t="inlineStr">
        <is>
          <t>Aug</t>
        </is>
      </c>
      <c r="Z603" s="87" t="n">
        <v>2025</v>
      </c>
      <c r="AA603" s="47">
        <f>IF(F603="",0,F603)</f>
        <v/>
      </c>
      <c r="AB603" s="87">
        <f>IF(AA603&gt;=0.1,1,0)</f>
        <v/>
      </c>
      <c r="AC603" s="87" t="n">
        <v>0</v>
      </c>
      <c r="AD603" s="47">
        <f>IF(U603="",0,U603)</f>
        <v/>
      </c>
      <c r="AE603" s="87">
        <f>IF(OR(V603=1,W603=1),1,0)</f>
        <v/>
      </c>
      <c r="AF603" s="87" t="n">
        <v>0</v>
      </c>
      <c r="AG603" t="n">
        <v>7966</v>
      </c>
      <c r="AH603" t="n">
        <v>90990</v>
      </c>
      <c r="AI603" t="n">
        <v>0</v>
      </c>
      <c r="AJ603" s="88">
        <f>IF(OR(AG603&lt;=0,AH603&lt;=0),"",LN(AG603)-LN(AH603))</f>
        <v/>
      </c>
      <c r="AK603" t="n">
        <v>17419</v>
      </c>
      <c r="AL603" t="n">
        <v>81537</v>
      </c>
      <c r="AM603" s="88">
        <f>IF(OR(AK603&lt;=0,AL603&lt;=0),"",LN(AK603)-LN(AL603))</f>
        <v/>
      </c>
      <c r="AN603" t="n">
        <v>6913</v>
      </c>
      <c r="AO603" t="n">
        <v>87270</v>
      </c>
      <c r="AP603" s="88">
        <f>IF(OR(AN603&lt;=0,AO603&lt;=0),"",LN(AN603)-LN(AO603))</f>
        <v/>
      </c>
      <c r="AQ603" t="n">
        <v>7709</v>
      </c>
      <c r="AR603" t="n">
        <v>90990</v>
      </c>
      <c r="AS603" s="88">
        <f>IF(OR(AQ603&lt;=0,AR603&lt;=0),"",LN(AQ603)-LN(AR603))</f>
        <v/>
      </c>
      <c r="AT603" t="n">
        <v>9851</v>
      </c>
      <c r="AU603" t="n">
        <v>88524</v>
      </c>
      <c r="AV603" t="n">
        <v>581</v>
      </c>
      <c r="AW603" t="n">
        <v>1207</v>
      </c>
      <c r="AX603" t="n">
        <v>6691</v>
      </c>
      <c r="AY603" s="88">
        <f>IF(OR(AT603&lt;=0,AU603&lt;=0),"",LN(AT603)-LN(AU603))</f>
        <v/>
      </c>
      <c r="AZ603" s="46" t="n">
        <v>6.3</v>
      </c>
      <c r="BA603" s="46" t="n">
        <v>18.39</v>
      </c>
      <c r="BB603" s="47" t="n">
        <v>3.3</v>
      </c>
    </row>
    <row r="604">
      <c r="A604" s="48" t="n">
        <v>45894</v>
      </c>
      <c r="B604" s="49" t="n">
        <v>112100</v>
      </c>
      <c r="C604" s="50" t="n">
        <v>11.48</v>
      </c>
      <c r="D604" s="51" t="inlineStr">
        <is>
          <t>Good</t>
        </is>
      </c>
      <c r="E604" s="52" t="n">
        <v>28.7</v>
      </c>
      <c r="F604" s="52" t="n">
        <v>17.1</v>
      </c>
      <c r="G604" s="51" t="inlineStr">
        <is>
          <t>Mon</t>
        </is>
      </c>
      <c r="H604" s="51" t="inlineStr">
        <is>
          <t>Weekday</t>
        </is>
      </c>
      <c r="I604" s="51" t="inlineStr">
        <is>
          <t>Summer</t>
        </is>
      </c>
      <c r="J604" s="51" t="n">
        <v>25</v>
      </c>
      <c r="K604" s="51" t="inlineStr">
        <is>
          <t>OK</t>
        </is>
      </c>
      <c r="L604" s="46" t="n">
        <v>22.12</v>
      </c>
      <c r="M604" t="inlineStr">
        <is>
          <t>Good</t>
        </is>
      </c>
      <c r="N604" s="87" t="n">
        <v>25</v>
      </c>
      <c r="O604" s="87" t="n">
        <v>0</v>
      </c>
      <c r="P604" s="87" t="n">
        <v>0</v>
      </c>
      <c r="Q604" s="87" t="n">
        <v>0</v>
      </c>
      <c r="R604" s="87" t="n">
        <v>0</v>
      </c>
      <c r="S604" s="47" t="n">
        <v>2.8</v>
      </c>
      <c r="T604" s="47" t="n">
        <v>80.59999999999999</v>
      </c>
      <c r="U604" s="47" t="n"/>
      <c r="V604" s="87" t="n">
        <v>0</v>
      </c>
      <c r="W604" s="87" t="n">
        <v>0</v>
      </c>
      <c r="Y604" t="inlineStr">
        <is>
          <t>Aug</t>
        </is>
      </c>
      <c r="Z604" s="87" t="n">
        <v>2025</v>
      </c>
      <c r="AA604" s="47">
        <f>IF(F604="",0,F604)</f>
        <v/>
      </c>
      <c r="AB604" s="87">
        <f>IF(AA604&gt;=0.1,1,0)</f>
        <v/>
      </c>
      <c r="AC604" s="87" t="n">
        <v>0</v>
      </c>
      <c r="AD604" s="47">
        <f>IF(U604="",0,U604)</f>
        <v/>
      </c>
      <c r="AE604" s="87">
        <f>IF(OR(V604=1,W604=1),1,0)</f>
        <v/>
      </c>
      <c r="AF604" s="87" t="n">
        <v>0</v>
      </c>
      <c r="AG604" t="n">
        <v>6013</v>
      </c>
      <c r="AH604" t="n">
        <v>106085</v>
      </c>
      <c r="AI604" t="n">
        <v>2</v>
      </c>
      <c r="AJ604" s="88">
        <f>IF(OR(AG604&lt;=0,AH604&lt;=0),"",LN(AG604)-LN(AH604))</f>
        <v/>
      </c>
      <c r="AK604" t="n">
        <v>16555</v>
      </c>
      <c r="AL604" t="n">
        <v>95543</v>
      </c>
      <c r="AM604" s="88">
        <f>IF(OR(AK604&lt;=0,AL604&lt;=0),"",LN(AK604)-LN(AL604))</f>
        <v/>
      </c>
      <c r="AN604" t="n">
        <v>5536</v>
      </c>
      <c r="AO604" t="n">
        <v>101415</v>
      </c>
      <c r="AP604" s="88">
        <f>IF(OR(AN604&lt;=0,AO604&lt;=0),"",LN(AN604)-LN(AO604))</f>
        <v/>
      </c>
      <c r="AQ604" t="n">
        <v>5891</v>
      </c>
      <c r="AR604" t="n">
        <v>106085</v>
      </c>
      <c r="AS604" s="88">
        <f>IF(OR(AQ604&lt;=0,AR604&lt;=0),"",LN(AQ604)-LN(AR604))</f>
        <v/>
      </c>
      <c r="AT604" t="n">
        <v>7224</v>
      </c>
      <c r="AU604" t="n">
        <v>104024</v>
      </c>
      <c r="AV604" t="n">
        <v>855</v>
      </c>
      <c r="AW604" t="n">
        <v>544</v>
      </c>
      <c r="AX604" t="n">
        <v>5422</v>
      </c>
      <c r="AY604" s="88">
        <f>IF(OR(AT604&lt;=0,AU604&lt;=0),"",LN(AT604)-LN(AU604))</f>
        <v/>
      </c>
      <c r="AZ604" s="46" t="n">
        <v>2</v>
      </c>
      <c r="BA604" s="46" t="n">
        <v>10.8</v>
      </c>
      <c r="BB604" s="47" t="n">
        <v>7.1</v>
      </c>
    </row>
    <row r="605">
      <c r="A605" s="48" t="n">
        <v>45895</v>
      </c>
      <c r="B605" s="49" t="n">
        <v>119255</v>
      </c>
      <c r="C605" s="50" t="n">
        <v>7.6</v>
      </c>
      <c r="D605" s="51" t="inlineStr">
        <is>
          <t>Good</t>
        </is>
      </c>
      <c r="E605" s="52" t="n">
        <v>27.6</v>
      </c>
      <c r="F605" s="52" t="n">
        <v>5.4</v>
      </c>
      <c r="G605" s="51" t="inlineStr">
        <is>
          <t>Tue</t>
        </is>
      </c>
      <c r="H605" s="51" t="inlineStr">
        <is>
          <t>Weekday</t>
        </is>
      </c>
      <c r="I605" s="51" t="inlineStr">
        <is>
          <t>Summer</t>
        </is>
      </c>
      <c r="J605" s="51" t="n">
        <v>25</v>
      </c>
      <c r="K605" s="51" t="inlineStr">
        <is>
          <t>OK</t>
        </is>
      </c>
      <c r="L605" s="46" t="n">
        <v>14.88</v>
      </c>
      <c r="M605" t="inlineStr">
        <is>
          <t>Good</t>
        </is>
      </c>
      <c r="N605" s="87" t="n">
        <v>25</v>
      </c>
      <c r="O605" s="87" t="n">
        <v>0</v>
      </c>
      <c r="P605" s="87" t="n">
        <v>0</v>
      </c>
      <c r="Q605" s="87" t="n">
        <v>0</v>
      </c>
      <c r="R605" s="87" t="n">
        <v>0</v>
      </c>
      <c r="S605" s="47" t="n">
        <v>2.8</v>
      </c>
      <c r="T605" s="47" t="n">
        <v>81.8</v>
      </c>
      <c r="U605" s="47" t="n"/>
      <c r="V605" s="87" t="n">
        <v>0</v>
      </c>
      <c r="W605" s="87" t="n">
        <v>0</v>
      </c>
      <c r="Y605" t="inlineStr">
        <is>
          <t>Aug</t>
        </is>
      </c>
      <c r="Z605" s="87" t="n">
        <v>2025</v>
      </c>
      <c r="AA605" s="47">
        <f>IF(F605="",0,F605)</f>
        <v/>
      </c>
      <c r="AB605" s="87">
        <f>IF(AA605&gt;=0.1,1,0)</f>
        <v/>
      </c>
      <c r="AC605" s="87" t="n">
        <v>0</v>
      </c>
      <c r="AD605" s="47">
        <f>IF(U605="",0,U605)</f>
        <v/>
      </c>
      <c r="AE605" s="87">
        <f>IF(OR(V605=1,W605=1),1,0)</f>
        <v/>
      </c>
      <c r="AF605" s="87" t="n">
        <v>0</v>
      </c>
      <c r="AG605" t="n">
        <v>7137</v>
      </c>
      <c r="AH605" t="n">
        <v>112117</v>
      </c>
      <c r="AI605" t="n">
        <v>1</v>
      </c>
      <c r="AJ605" s="88">
        <f>IF(OR(AG605&lt;=0,AH605&lt;=0),"",LN(AG605)-LN(AH605))</f>
        <v/>
      </c>
      <c r="AK605" t="n">
        <v>18177</v>
      </c>
      <c r="AL605" t="n">
        <v>101077</v>
      </c>
      <c r="AM605" s="88">
        <f>IF(OR(AK605&lt;=0,AL605&lt;=0),"",LN(AK605)-LN(AL605))</f>
        <v/>
      </c>
      <c r="AN605" t="n">
        <v>6460</v>
      </c>
      <c r="AO605" t="n">
        <v>107392</v>
      </c>
      <c r="AP605" s="88">
        <f>IF(OR(AN605&lt;=0,AO605&lt;=0),"",LN(AN605)-LN(AO605))</f>
        <v/>
      </c>
      <c r="AQ605" t="n">
        <v>6937</v>
      </c>
      <c r="AR605" t="n">
        <v>112117</v>
      </c>
      <c r="AS605" s="88">
        <f>IF(OR(AQ605&lt;=0,AR605&lt;=0),"",LN(AQ605)-LN(AR605))</f>
        <v/>
      </c>
      <c r="AT605" t="n">
        <v>8671</v>
      </c>
      <c r="AU605" t="n">
        <v>109801</v>
      </c>
      <c r="AV605" t="n">
        <v>785</v>
      </c>
      <c r="AW605" t="n">
        <v>784</v>
      </c>
      <c r="AX605" t="n">
        <v>6299</v>
      </c>
      <c r="AY605" s="88">
        <f>IF(OR(AT605&lt;=0,AU605&lt;=0),"",LN(AT605)-LN(AU605))</f>
        <v/>
      </c>
      <c r="AZ605" s="46" t="n">
        <v>5.6</v>
      </c>
      <c r="BA605" s="46" t="n">
        <v>15</v>
      </c>
      <c r="BB605" s="47" t="n">
        <v>6</v>
      </c>
    </row>
    <row r="606">
      <c r="A606" s="48" t="n">
        <v>45896</v>
      </c>
      <c r="B606" s="49" t="n">
        <v>148793</v>
      </c>
      <c r="C606" s="50" t="n">
        <v>10.04</v>
      </c>
      <c r="D606" s="51" t="inlineStr">
        <is>
          <t>Good</t>
        </is>
      </c>
      <c r="E606" s="52" t="n">
        <v>26.7</v>
      </c>
      <c r="F606" s="52" t="n"/>
      <c r="G606" s="51" t="inlineStr">
        <is>
          <t>Wed</t>
        </is>
      </c>
      <c r="H606" s="51" t="inlineStr">
        <is>
          <t>Weekday</t>
        </is>
      </c>
      <c r="I606" s="51" t="inlineStr">
        <is>
          <t>Summer</t>
        </is>
      </c>
      <c r="J606" s="51" t="n">
        <v>25</v>
      </c>
      <c r="K606" s="51" t="inlineStr">
        <is>
          <t>강수량 공란</t>
        </is>
      </c>
      <c r="L606" s="46" t="n">
        <v>20.48</v>
      </c>
      <c r="M606" t="inlineStr">
        <is>
          <t>Good</t>
        </is>
      </c>
      <c r="N606" s="87" t="n">
        <v>25</v>
      </c>
      <c r="O606" s="87" t="n">
        <v>0</v>
      </c>
      <c r="P606" s="87" t="n">
        <v>0</v>
      </c>
      <c r="Q606" s="87" t="n">
        <v>0</v>
      </c>
      <c r="R606" s="87" t="n">
        <v>0</v>
      </c>
      <c r="S606" s="47" t="n">
        <v>1.6</v>
      </c>
      <c r="T606" s="47" t="n">
        <v>73.8</v>
      </c>
      <c r="U606" s="47" t="n"/>
      <c r="V606" s="87" t="n">
        <v>0</v>
      </c>
      <c r="W606" s="87" t="n">
        <v>0</v>
      </c>
      <c r="Y606" t="inlineStr">
        <is>
          <t>Aug</t>
        </is>
      </c>
      <c r="Z606" s="87" t="n">
        <v>2025</v>
      </c>
      <c r="AA606" s="47">
        <f>IF(F606="",0,F606)</f>
        <v/>
      </c>
      <c r="AB606" s="87">
        <f>IF(AA606&gt;=0.1,1,0)</f>
        <v/>
      </c>
      <c r="AC606" s="87" t="n">
        <v>0</v>
      </c>
      <c r="AD606" s="47">
        <f>IF(U606="",0,U606)</f>
        <v/>
      </c>
      <c r="AE606" s="87">
        <f>IF(OR(V606=1,W606=1),1,0)</f>
        <v/>
      </c>
      <c r="AF606" s="87" t="n">
        <v>0</v>
      </c>
      <c r="AG606" t="n">
        <v>8756</v>
      </c>
      <c r="AH606" t="n">
        <v>140036</v>
      </c>
      <c r="AI606" t="n">
        <v>1</v>
      </c>
      <c r="AJ606" s="88">
        <f>IF(OR(AG606&lt;=0,AH606&lt;=0),"",LN(AG606)-LN(AH606))</f>
        <v/>
      </c>
      <c r="AK606" t="n">
        <v>22745</v>
      </c>
      <c r="AL606" t="n">
        <v>126047</v>
      </c>
      <c r="AM606" s="88">
        <f>IF(OR(AK606&lt;=0,AL606&lt;=0),"",LN(AK606)-LN(AL606))</f>
        <v/>
      </c>
      <c r="AN606" t="n">
        <v>7891</v>
      </c>
      <c r="AO606" t="n">
        <v>134076</v>
      </c>
      <c r="AP606" s="88">
        <f>IF(OR(AN606&lt;=0,AO606&lt;=0),"",LN(AN606)-LN(AO606))</f>
        <v/>
      </c>
      <c r="AQ606" t="n">
        <v>8531</v>
      </c>
      <c r="AR606" t="n">
        <v>140036</v>
      </c>
      <c r="AS606" s="88">
        <f>IF(OR(AQ606&lt;=0,AR606&lt;=0),"",LN(AQ606)-LN(AR606))</f>
        <v/>
      </c>
      <c r="AT606" t="n">
        <v>9664</v>
      </c>
      <c r="AU606" t="n">
        <v>138163</v>
      </c>
      <c r="AV606" t="n">
        <v>968</v>
      </c>
      <c r="AW606" t="n">
        <v>866</v>
      </c>
      <c r="AX606" t="n">
        <v>7825</v>
      </c>
      <c r="AY606" s="88">
        <f>IF(OR(AT606&lt;=0,AU606&lt;=0),"",LN(AT606)-LN(AU606))</f>
        <v/>
      </c>
      <c r="AZ606" s="46" t="n">
        <v>2.6</v>
      </c>
      <c r="BA606" s="46" t="n">
        <v>9.76</v>
      </c>
      <c r="BB606" s="47" t="n">
        <v>6.5</v>
      </c>
    </row>
    <row r="607">
      <c r="A607" s="48" t="n">
        <v>45897</v>
      </c>
      <c r="B607" s="49" t="n">
        <v>148650</v>
      </c>
      <c r="C607" s="50" t="n">
        <v>12.44</v>
      </c>
      <c r="D607" s="51" t="inlineStr">
        <is>
          <t>Good</t>
        </is>
      </c>
      <c r="E607" s="52" t="n">
        <v>28.3</v>
      </c>
      <c r="F607" s="52" t="n"/>
      <c r="G607" s="51" t="inlineStr">
        <is>
          <t>Thu</t>
        </is>
      </c>
      <c r="H607" s="51" t="inlineStr">
        <is>
          <t>Weekday</t>
        </is>
      </c>
      <c r="I607" s="51" t="inlineStr">
        <is>
          <t>Summer</t>
        </is>
      </c>
      <c r="J607" s="51" t="n">
        <v>25</v>
      </c>
      <c r="K607" s="51" t="inlineStr">
        <is>
          <t>강수량 공란</t>
        </is>
      </c>
      <c r="L607" s="46" t="n">
        <v>21.8</v>
      </c>
      <c r="M607" t="inlineStr">
        <is>
          <t>Good</t>
        </is>
      </c>
      <c r="N607" s="87" t="n">
        <v>25</v>
      </c>
      <c r="O607" s="87" t="n">
        <v>0</v>
      </c>
      <c r="P607" s="87" t="n">
        <v>0</v>
      </c>
      <c r="Q607" s="87" t="n">
        <v>0</v>
      </c>
      <c r="R607" s="87" t="n">
        <v>0</v>
      </c>
      <c r="S607" s="47" t="n">
        <v>2.7</v>
      </c>
      <c r="T607" s="47" t="n">
        <v>72.90000000000001</v>
      </c>
      <c r="U607" s="47" t="n"/>
      <c r="V607" s="87" t="n">
        <v>0</v>
      </c>
      <c r="W607" s="87" t="n">
        <v>0</v>
      </c>
      <c r="Y607" t="inlineStr">
        <is>
          <t>Aug</t>
        </is>
      </c>
      <c r="Z607" s="87" t="n">
        <v>2025</v>
      </c>
      <c r="AA607" s="47">
        <f>IF(F607="",0,F607)</f>
        <v/>
      </c>
      <c r="AB607" s="87">
        <f>IF(AA607&gt;=0.1,1,0)</f>
        <v/>
      </c>
      <c r="AC607" s="87" t="n">
        <v>0</v>
      </c>
      <c r="AD607" s="47">
        <f>IF(U607="",0,U607)</f>
        <v/>
      </c>
      <c r="AE607" s="87">
        <f>IF(OR(V607=1,W607=1),1,0)</f>
        <v/>
      </c>
      <c r="AF607" s="87" t="n">
        <v>0</v>
      </c>
      <c r="AG607" t="n">
        <v>8717</v>
      </c>
      <c r="AH607" t="n">
        <v>139933</v>
      </c>
      <c r="AI607" t="n">
        <v>0</v>
      </c>
      <c r="AJ607" s="88">
        <f>IF(OR(AG607&lt;=0,AH607&lt;=0),"",LN(AG607)-LN(AH607))</f>
        <v/>
      </c>
      <c r="AK607" t="n">
        <v>22653</v>
      </c>
      <c r="AL607" t="n">
        <v>125997</v>
      </c>
      <c r="AM607" s="88">
        <f>IF(OR(AK607&lt;=0,AL607&lt;=0),"",LN(AK607)-LN(AL607))</f>
        <v/>
      </c>
      <c r="AN607" t="n">
        <v>7847</v>
      </c>
      <c r="AO607" t="n">
        <v>133916</v>
      </c>
      <c r="AP607" s="88">
        <f>IF(OR(AN607&lt;=0,AO607&lt;=0),"",LN(AN607)-LN(AO607))</f>
        <v/>
      </c>
      <c r="AQ607" t="n">
        <v>8439</v>
      </c>
      <c r="AR607" t="n">
        <v>139933</v>
      </c>
      <c r="AS607" s="88">
        <f>IF(OR(AQ607&lt;=0,AR607&lt;=0),"",LN(AQ607)-LN(AR607))</f>
        <v/>
      </c>
      <c r="AT607" t="n">
        <v>9440</v>
      </c>
      <c r="AU607" t="n">
        <v>138246</v>
      </c>
      <c r="AV607" t="n">
        <v>969</v>
      </c>
      <c r="AW607" t="n">
        <v>912</v>
      </c>
      <c r="AX607" t="n">
        <v>7740</v>
      </c>
      <c r="AY607" s="88">
        <f>IF(OR(AT607&lt;=0,AU607&lt;=0),"",LN(AT607)-LN(AU607))</f>
        <v/>
      </c>
      <c r="AZ607" s="46" t="n">
        <v>3</v>
      </c>
      <c r="BA607" s="46" t="n">
        <v>14.35</v>
      </c>
      <c r="BB607" s="47" t="n">
        <v>8.1</v>
      </c>
    </row>
    <row r="608">
      <c r="A608" s="48" t="n">
        <v>45898</v>
      </c>
      <c r="B608" s="49" t="n">
        <v>110681</v>
      </c>
      <c r="C608" s="50" t="n">
        <v>7.68</v>
      </c>
      <c r="D608" s="51" t="inlineStr">
        <is>
          <t>Good</t>
        </is>
      </c>
      <c r="E608" s="52" t="n">
        <v>29</v>
      </c>
      <c r="F608" s="52" t="n">
        <v>32.2</v>
      </c>
      <c r="G608" s="51" t="inlineStr">
        <is>
          <t>Fri</t>
        </is>
      </c>
      <c r="H608" s="51" t="inlineStr">
        <is>
          <t>Weekday</t>
        </is>
      </c>
      <c r="I608" s="51" t="inlineStr">
        <is>
          <t>Summer</t>
        </is>
      </c>
      <c r="J608" s="51" t="n">
        <v>25</v>
      </c>
      <c r="K608" s="51" t="inlineStr">
        <is>
          <t>OK</t>
        </is>
      </c>
      <c r="L608" s="46" t="n">
        <v>18.08</v>
      </c>
      <c r="M608" t="inlineStr">
        <is>
          <t>Good</t>
        </is>
      </c>
      <c r="N608" s="87" t="n">
        <v>25</v>
      </c>
      <c r="O608" s="87" t="n">
        <v>0</v>
      </c>
      <c r="P608" s="87" t="n">
        <v>0</v>
      </c>
      <c r="Q608" s="87" t="n">
        <v>0</v>
      </c>
      <c r="R608" s="87" t="n">
        <v>0</v>
      </c>
      <c r="S608" s="47" t="n">
        <v>3.5</v>
      </c>
      <c r="T608" s="47" t="n">
        <v>82</v>
      </c>
      <c r="U608" s="47" t="n"/>
      <c r="V608" s="87" t="n">
        <v>0</v>
      </c>
      <c r="W608" s="87" t="n">
        <v>0</v>
      </c>
      <c r="Y608" t="inlineStr">
        <is>
          <t>Aug</t>
        </is>
      </c>
      <c r="Z608" s="87" t="n">
        <v>2025</v>
      </c>
      <c r="AA608" s="47">
        <f>IF(F608="",0,F608)</f>
        <v/>
      </c>
      <c r="AB608" s="87">
        <f>IF(AA608&gt;=0.1,1,0)</f>
        <v/>
      </c>
      <c r="AC608" s="87" t="n">
        <v>0</v>
      </c>
      <c r="AD608" s="47">
        <f>IF(U608="",0,U608)</f>
        <v/>
      </c>
      <c r="AE608" s="87">
        <f>IF(OR(V608=1,W608=1),1,0)</f>
        <v/>
      </c>
      <c r="AF608" s="87" t="n">
        <v>0</v>
      </c>
      <c r="AG608" t="n">
        <v>6201</v>
      </c>
      <c r="AH608" t="n">
        <v>104478</v>
      </c>
      <c r="AI608" t="n">
        <v>2</v>
      </c>
      <c r="AJ608" s="88">
        <f>IF(OR(AG608&lt;=0,AH608&lt;=0),"",LN(AG608)-LN(AH608))</f>
        <v/>
      </c>
      <c r="AK608" t="n">
        <v>16644</v>
      </c>
      <c r="AL608" t="n">
        <v>94035</v>
      </c>
      <c r="AM608" s="88">
        <f>IF(OR(AK608&lt;=0,AL608&lt;=0),"",LN(AK608)-LN(AL608))</f>
        <v/>
      </c>
      <c r="AN608" t="n">
        <v>5673</v>
      </c>
      <c r="AO608" t="n">
        <v>99877</v>
      </c>
      <c r="AP608" s="88">
        <f>IF(OR(AN608&lt;=0,AO608&lt;=0),"",LN(AN608)-LN(AO608))</f>
        <v/>
      </c>
      <c r="AQ608" t="n">
        <v>6052</v>
      </c>
      <c r="AR608" t="n">
        <v>104478</v>
      </c>
      <c r="AS608" s="88">
        <f>IF(OR(AQ608&lt;=0,AR608&lt;=0),"",LN(AQ608)-LN(AR608))</f>
        <v/>
      </c>
      <c r="AT608" t="n">
        <v>7412</v>
      </c>
      <c r="AU608" t="n">
        <v>102462</v>
      </c>
      <c r="AV608" t="n">
        <v>807</v>
      </c>
      <c r="AW608" t="n">
        <v>638</v>
      </c>
      <c r="AX608" t="n">
        <v>5500</v>
      </c>
      <c r="AY608" s="88">
        <f>IF(OR(AT608&lt;=0,AU608&lt;=0),"",LN(AT608)-LN(AU608))</f>
        <v/>
      </c>
      <c r="AZ608" s="46" t="n">
        <v>4.3</v>
      </c>
      <c r="BA608" s="46" t="n">
        <v>17.8</v>
      </c>
      <c r="BB608" s="47" t="n">
        <v>7.6</v>
      </c>
    </row>
    <row r="609">
      <c r="A609" s="48" t="n">
        <v>45899</v>
      </c>
      <c r="B609" s="49" t="n">
        <v>94645</v>
      </c>
      <c r="C609" s="50" t="n">
        <v>6.08</v>
      </c>
      <c r="D609" s="51" t="inlineStr">
        <is>
          <t>Good</t>
        </is>
      </c>
      <c r="E609" s="52" t="n">
        <v>28.4</v>
      </c>
      <c r="F609" s="52" t="n">
        <v>23.9</v>
      </c>
      <c r="G609" s="51" t="inlineStr">
        <is>
          <t>Sat</t>
        </is>
      </c>
      <c r="H609" s="51" t="inlineStr">
        <is>
          <t>Weekend</t>
        </is>
      </c>
      <c r="I609" s="51" t="inlineStr">
        <is>
          <t>Summer</t>
        </is>
      </c>
      <c r="J609" s="51" t="n">
        <v>25</v>
      </c>
      <c r="K609" s="51" t="inlineStr">
        <is>
          <t>OK</t>
        </is>
      </c>
      <c r="L609" s="46" t="n">
        <v>12.92</v>
      </c>
      <c r="M609" t="inlineStr">
        <is>
          <t>Good</t>
        </is>
      </c>
      <c r="N609" s="87" t="n">
        <v>25</v>
      </c>
      <c r="O609" s="87" t="n">
        <v>0</v>
      </c>
      <c r="P609" s="87" t="n">
        <v>0</v>
      </c>
      <c r="Q609" s="87" t="n">
        <v>0</v>
      </c>
      <c r="R609" s="87" t="n">
        <v>0</v>
      </c>
      <c r="S609" s="47" t="n">
        <v>2</v>
      </c>
      <c r="T609" s="47" t="n">
        <v>81.09999999999999</v>
      </c>
      <c r="U609" s="47" t="n"/>
      <c r="V609" s="87" t="n">
        <v>1</v>
      </c>
      <c r="W609" s="87" t="n">
        <v>0</v>
      </c>
      <c r="Y609" t="inlineStr">
        <is>
          <t>Aug</t>
        </is>
      </c>
      <c r="Z609" s="87" t="n">
        <v>2025</v>
      </c>
      <c r="AA609" s="47">
        <f>IF(F609="",0,F609)</f>
        <v/>
      </c>
      <c r="AB609" s="87">
        <f>IF(AA609&gt;=0.1,1,0)</f>
        <v/>
      </c>
      <c r="AC609" s="87" t="n">
        <v>0</v>
      </c>
      <c r="AD609" s="47">
        <f>IF(U609="",0,U609)</f>
        <v/>
      </c>
      <c r="AE609" s="87">
        <f>IF(OR(V609=1,W609=1),1,0)</f>
        <v/>
      </c>
      <c r="AF609" s="87" t="n">
        <v>0</v>
      </c>
      <c r="AG609" t="n">
        <v>7270</v>
      </c>
      <c r="AH609" t="n">
        <v>87375</v>
      </c>
      <c r="AI609" t="n">
        <v>0</v>
      </c>
      <c r="AJ609" s="88">
        <f>IF(OR(AG609&lt;=0,AH609&lt;=0),"",LN(AG609)-LN(AH609))</f>
        <v/>
      </c>
      <c r="AK609" t="n">
        <v>16115</v>
      </c>
      <c r="AL609" t="n">
        <v>78530</v>
      </c>
      <c r="AM609" s="88">
        <f>IF(OR(AK609&lt;=0,AL609&lt;=0),"",LN(AK609)-LN(AL609))</f>
        <v/>
      </c>
      <c r="AN609" t="n">
        <v>6113</v>
      </c>
      <c r="AO609" t="n">
        <v>83751</v>
      </c>
      <c r="AP609" s="88">
        <f>IF(OR(AN609&lt;=0,AO609&lt;=0),"",LN(AN609)-LN(AO609))</f>
        <v/>
      </c>
      <c r="AQ609" t="n">
        <v>7069</v>
      </c>
      <c r="AR609" t="n">
        <v>87375</v>
      </c>
      <c r="AS609" s="88">
        <f>IF(OR(AQ609&lt;=0,AR609&lt;=0),"",LN(AQ609)-LN(AR609))</f>
        <v/>
      </c>
      <c r="AT609" t="n">
        <v>8870</v>
      </c>
      <c r="AU609" t="n">
        <v>85050</v>
      </c>
      <c r="AV609" t="n">
        <v>725</v>
      </c>
      <c r="AW609" t="n">
        <v>1123</v>
      </c>
      <c r="AX609" t="n">
        <v>6067</v>
      </c>
      <c r="AY609" s="88">
        <f>IF(OR(AT609&lt;=0,AU609&lt;=0),"",LN(AT609)-LN(AU609))</f>
        <v/>
      </c>
      <c r="AZ609" s="46" t="n">
        <v>5.8</v>
      </c>
      <c r="BA609" s="46" t="n">
        <v>16.69</v>
      </c>
      <c r="BB609" s="47" t="n">
        <v>5.3</v>
      </c>
    </row>
    <row r="610">
      <c r="A610" s="48" t="n">
        <v>45900</v>
      </c>
      <c r="B610" s="49" t="n">
        <v>103141</v>
      </c>
      <c r="C610" s="50" t="n">
        <v>15.2</v>
      </c>
      <c r="D610" s="51" t="inlineStr">
        <is>
          <t>Moderate</t>
        </is>
      </c>
      <c r="E610" s="52" t="n">
        <v>28.5</v>
      </c>
      <c r="F610" s="52" t="n">
        <v>0</v>
      </c>
      <c r="G610" s="51" t="inlineStr">
        <is>
          <t>Sun</t>
        </is>
      </c>
      <c r="H610" s="51" t="inlineStr">
        <is>
          <t>Weekend</t>
        </is>
      </c>
      <c r="I610" s="51" t="inlineStr">
        <is>
          <t>Summer</t>
        </is>
      </c>
      <c r="J610" s="51" t="n">
        <v>25</v>
      </c>
      <c r="K610" s="51" t="inlineStr">
        <is>
          <t>OK</t>
        </is>
      </c>
      <c r="L610" s="46" t="n">
        <v>22.56</v>
      </c>
      <c r="M610" t="inlineStr">
        <is>
          <t>Good</t>
        </is>
      </c>
      <c r="N610" s="87" t="n">
        <v>25</v>
      </c>
      <c r="O610" s="87" t="n">
        <v>0</v>
      </c>
      <c r="P610" s="87" t="n">
        <v>0</v>
      </c>
      <c r="Q610" s="87" t="n">
        <v>0</v>
      </c>
      <c r="R610" s="87" t="n">
        <v>0</v>
      </c>
      <c r="S610" s="47" t="n">
        <v>2.4</v>
      </c>
      <c r="T610" s="47" t="n">
        <v>75.3</v>
      </c>
      <c r="U610" s="47" t="n"/>
      <c r="V610" s="87" t="n">
        <v>1</v>
      </c>
      <c r="W610" s="87" t="n">
        <v>0</v>
      </c>
      <c r="Y610" t="inlineStr">
        <is>
          <t>Aug</t>
        </is>
      </c>
      <c r="Z610" s="87" t="n">
        <v>2025</v>
      </c>
      <c r="AA610" s="47">
        <f>IF(F610="",0,F610)</f>
        <v/>
      </c>
      <c r="AB610" s="87">
        <f>IF(AA610&gt;=0.1,1,0)</f>
        <v/>
      </c>
      <c r="AC610" s="87" t="n">
        <v>1</v>
      </c>
      <c r="AD610" s="47">
        <f>IF(U610="",0,U610)</f>
        <v/>
      </c>
      <c r="AE610" s="87">
        <f>IF(OR(V610=1,W610=1),1,0)</f>
        <v/>
      </c>
      <c r="AF610" s="87" t="n">
        <v>0</v>
      </c>
      <c r="AG610" t="n">
        <v>8344</v>
      </c>
      <c r="AH610" t="n">
        <v>94797</v>
      </c>
      <c r="AI610" t="n">
        <v>0</v>
      </c>
      <c r="AJ610" s="88">
        <f>IF(OR(AG610&lt;=0,AH610&lt;=0),"",LN(AG610)-LN(AH610))</f>
        <v/>
      </c>
      <c r="AK610" t="n">
        <v>17892</v>
      </c>
      <c r="AL610" t="n">
        <v>85249</v>
      </c>
      <c r="AM610" s="88">
        <f>IF(OR(AK610&lt;=0,AL610&lt;=0),"",LN(AK610)-LN(AL610))</f>
        <v/>
      </c>
      <c r="AN610" t="n">
        <v>7098</v>
      </c>
      <c r="AO610" t="n">
        <v>90937</v>
      </c>
      <c r="AP610" s="88">
        <f>IF(OR(AN610&lt;=0,AO610&lt;=0),"",LN(AN610)-LN(AO610))</f>
        <v/>
      </c>
      <c r="AQ610" t="n">
        <v>8083</v>
      </c>
      <c r="AR610" t="n">
        <v>94797</v>
      </c>
      <c r="AS610" s="88">
        <f>IF(OR(AQ610&lt;=0,AR610&lt;=0),"",LN(AQ610)-LN(AR610))</f>
        <v/>
      </c>
      <c r="AT610" t="n">
        <v>10093</v>
      </c>
      <c r="AU610" t="n">
        <v>92322</v>
      </c>
      <c r="AV610" t="n">
        <v>726</v>
      </c>
      <c r="AW610" t="n">
        <v>1250</v>
      </c>
      <c r="AX610" t="n">
        <v>7004</v>
      </c>
      <c r="AY610" s="88">
        <f>IF(OR(AT610&lt;=0,AU610&lt;=0),"",LN(AT610)-LN(AU610))</f>
        <v/>
      </c>
      <c r="AZ610" s="46" t="n">
        <v>5.9</v>
      </c>
      <c r="BA610" s="46" t="n">
        <v>15.74</v>
      </c>
      <c r="BB610" s="47" t="n">
        <v>5.5</v>
      </c>
    </row>
    <row r="611">
      <c r="A611" s="48" t="n">
        <v>45901</v>
      </c>
      <c r="B611" s="49" t="n">
        <v>89505</v>
      </c>
      <c r="C611" s="50" t="n">
        <v>5.48</v>
      </c>
      <c r="D611" s="51" t="inlineStr">
        <is>
          <t>Good</t>
        </is>
      </c>
      <c r="E611" s="52" t="n">
        <v>26.1</v>
      </c>
      <c r="F611" s="52" t="n">
        <v>20.4</v>
      </c>
      <c r="G611" s="51" t="inlineStr">
        <is>
          <t>Mon</t>
        </is>
      </c>
      <c r="H611" s="51" t="inlineStr">
        <is>
          <t>Weekday</t>
        </is>
      </c>
      <c r="I611" s="51" t="inlineStr">
        <is>
          <t>Fall</t>
        </is>
      </c>
      <c r="J611" s="51" t="n">
        <v>25</v>
      </c>
      <c r="K611" s="51" t="inlineStr">
        <is>
          <t>OK</t>
        </is>
      </c>
      <c r="L611" s="46" t="n">
        <v>11.04</v>
      </c>
      <c r="M611" t="inlineStr">
        <is>
          <t>Good</t>
        </is>
      </c>
      <c r="N611" s="87" t="n">
        <v>25</v>
      </c>
      <c r="O611" s="87" t="n">
        <v>0</v>
      </c>
      <c r="P611" s="87" t="n">
        <v>0</v>
      </c>
      <c r="Q611" s="87" t="n">
        <v>0</v>
      </c>
      <c r="R611" s="87" t="n">
        <v>0</v>
      </c>
      <c r="S611" s="47" t="n">
        <v>2.5</v>
      </c>
      <c r="T611" s="47" t="n">
        <v>87.3</v>
      </c>
      <c r="U611" s="47" t="n"/>
      <c r="V611" s="87" t="n">
        <v>0</v>
      </c>
      <c r="W611" s="87" t="n">
        <v>0</v>
      </c>
      <c r="Y611" t="inlineStr">
        <is>
          <t>Sep</t>
        </is>
      </c>
      <c r="Z611" s="87" t="n">
        <v>2025</v>
      </c>
      <c r="AA611" s="47">
        <f>IF(F611="",0,F611)</f>
        <v/>
      </c>
      <c r="AB611" s="87">
        <f>IF(AA611&gt;=0.1,1,0)</f>
        <v/>
      </c>
      <c r="AC611" s="87" t="n">
        <v>0</v>
      </c>
      <c r="AD611" s="47">
        <f>IF(U611="",0,U611)</f>
        <v/>
      </c>
      <c r="AE611" s="87">
        <f>IF(OR(V611=1,W611=1),1,0)</f>
        <v/>
      </c>
      <c r="AF611" s="87" t="n">
        <v>0</v>
      </c>
      <c r="AG611" t="n">
        <v>4835</v>
      </c>
      <c r="AH611" t="n">
        <v>84670</v>
      </c>
      <c r="AI611" t="n">
        <v>0</v>
      </c>
      <c r="AJ611" s="88">
        <f>IF(OR(AG611&lt;=0,AH611&lt;=0),"",LN(AG611)-LN(AH611))</f>
        <v/>
      </c>
      <c r="AK611" t="n">
        <v>13132</v>
      </c>
      <c r="AL611" t="n">
        <v>76373</v>
      </c>
      <c r="AM611" s="88">
        <f>IF(OR(AK611&lt;=0,AL611&lt;=0),"",LN(AK611)-LN(AL611))</f>
        <v/>
      </c>
      <c r="AN611" t="n">
        <v>4367</v>
      </c>
      <c r="AO611" t="n">
        <v>81018</v>
      </c>
      <c r="AP611" s="88">
        <f>IF(OR(AN611&lt;=0,AO611&lt;=0),"",LN(AN611)-LN(AO611))</f>
        <v/>
      </c>
      <c r="AQ611" t="n">
        <v>4703</v>
      </c>
      <c r="AR611" t="n">
        <v>84670</v>
      </c>
      <c r="AS611" s="88">
        <f>IF(OR(AQ611&lt;=0,AR611&lt;=0),"",LN(AQ611)-LN(AR611))</f>
        <v/>
      </c>
      <c r="AT611" t="n">
        <v>6525</v>
      </c>
      <c r="AU611" t="n">
        <v>82365</v>
      </c>
      <c r="AV611" t="n">
        <v>614</v>
      </c>
      <c r="AW611" t="n">
        <v>552</v>
      </c>
      <c r="AX611" t="n">
        <v>4240</v>
      </c>
      <c r="AY611" s="88">
        <f>IF(OR(AT611&lt;=0,AU611&lt;=0),"",LN(AT611)-LN(AU611))</f>
        <v/>
      </c>
      <c r="AZ611" s="46" t="n">
        <v>0.6</v>
      </c>
      <c r="BA611" s="46" t="n">
        <v>7.47</v>
      </c>
      <c r="BB611" s="47" t="n">
        <v>9</v>
      </c>
    </row>
    <row r="612">
      <c r="A612" s="48" t="n">
        <v>45902</v>
      </c>
      <c r="B612" s="49" t="n">
        <v>154041</v>
      </c>
      <c r="C612" s="50" t="n">
        <v>8.880000000000001</v>
      </c>
      <c r="D612" s="51" t="inlineStr">
        <is>
          <t>Good</t>
        </is>
      </c>
      <c r="E612" s="52" t="n">
        <v>26</v>
      </c>
      <c r="F612" s="52" t="n"/>
      <c r="G612" s="51" t="inlineStr">
        <is>
          <t>Tue</t>
        </is>
      </c>
      <c r="H612" s="51" t="inlineStr">
        <is>
          <t>Weekday</t>
        </is>
      </c>
      <c r="I612" s="51" t="inlineStr">
        <is>
          <t>Fall</t>
        </is>
      </c>
      <c r="J612" s="51" t="n">
        <v>25</v>
      </c>
      <c r="K612" s="51" t="inlineStr">
        <is>
          <t>강수량 공란</t>
        </is>
      </c>
      <c r="L612" s="46" t="n">
        <v>18.68</v>
      </c>
      <c r="M612" t="inlineStr">
        <is>
          <t>Good</t>
        </is>
      </c>
      <c r="N612" s="87" t="n">
        <v>25</v>
      </c>
      <c r="O612" s="87" t="n">
        <v>0</v>
      </c>
      <c r="P612" s="87" t="n">
        <v>0</v>
      </c>
      <c r="Q612" s="87" t="n">
        <v>0</v>
      </c>
      <c r="R612" s="87" t="n">
        <v>0</v>
      </c>
      <c r="S612" s="47" t="n">
        <v>1.6</v>
      </c>
      <c r="T612" s="47" t="n">
        <v>74.59999999999999</v>
      </c>
      <c r="U612" s="47" t="n"/>
      <c r="V612" s="87" t="n">
        <v>0</v>
      </c>
      <c r="W612" s="87" t="n">
        <v>0</v>
      </c>
      <c r="Y612" t="inlineStr">
        <is>
          <t>Sep</t>
        </is>
      </c>
      <c r="Z612" s="87" t="n">
        <v>2025</v>
      </c>
      <c r="AA612" s="47">
        <f>IF(F612="",0,F612)</f>
        <v/>
      </c>
      <c r="AB612" s="87">
        <f>IF(AA612&gt;=0.1,1,0)</f>
        <v/>
      </c>
      <c r="AC612" s="87" t="n">
        <v>0</v>
      </c>
      <c r="AD612" s="47">
        <f>IF(U612="",0,U612)</f>
        <v/>
      </c>
      <c r="AE612" s="87">
        <f>IF(OR(V612=1,W612=1),1,0)</f>
        <v/>
      </c>
      <c r="AF612" s="87" t="n">
        <v>0</v>
      </c>
      <c r="AG612" t="n">
        <v>9122</v>
      </c>
      <c r="AH612" t="n">
        <v>144919</v>
      </c>
      <c r="AI612" t="n">
        <v>0</v>
      </c>
      <c r="AJ612" s="88">
        <f>IF(OR(AG612&lt;=0,AH612&lt;=0),"",LN(AG612)-LN(AH612))</f>
        <v/>
      </c>
      <c r="AK612" t="n">
        <v>23480</v>
      </c>
      <c r="AL612" t="n">
        <v>130561</v>
      </c>
      <c r="AM612" s="88">
        <f>IF(OR(AK612&lt;=0,AL612&lt;=0),"",LN(AK612)-LN(AL612))</f>
        <v/>
      </c>
      <c r="AN612" t="n">
        <v>8164</v>
      </c>
      <c r="AO612" t="n">
        <v>138688</v>
      </c>
      <c r="AP612" s="88">
        <f>IF(OR(AN612&lt;=0,AO612&lt;=0),"",LN(AN612)-LN(AO612))</f>
        <v/>
      </c>
      <c r="AQ612" t="n">
        <v>8875</v>
      </c>
      <c r="AR612" t="n">
        <v>144919</v>
      </c>
      <c r="AS612" s="88">
        <f>IF(OR(AQ612&lt;=0,AR612&lt;=0),"",LN(AQ612)-LN(AR612))</f>
        <v/>
      </c>
      <c r="AT612" t="n">
        <v>10195</v>
      </c>
      <c r="AU612" t="n">
        <v>142760</v>
      </c>
      <c r="AV612" t="n">
        <v>1088</v>
      </c>
      <c r="AW612" t="n">
        <v>979</v>
      </c>
      <c r="AX612" t="n">
        <v>8058</v>
      </c>
      <c r="AY612" s="88">
        <f>IF(OR(AT612&lt;=0,AU612&lt;=0),"",LN(AT612)-LN(AU612))</f>
        <v/>
      </c>
      <c r="AZ612" s="46" t="n">
        <v>9.1</v>
      </c>
      <c r="BA612" s="46" t="n">
        <v>20.32</v>
      </c>
      <c r="BB612" s="47" t="n">
        <v>3</v>
      </c>
    </row>
    <row r="613">
      <c r="A613" s="48" t="n">
        <v>45903</v>
      </c>
      <c r="B613" s="49" t="n">
        <v>155136</v>
      </c>
      <c r="C613" s="50" t="n">
        <v>11.76</v>
      </c>
      <c r="D613" s="51" t="inlineStr">
        <is>
          <t>Good</t>
        </is>
      </c>
      <c r="E613" s="52" t="n">
        <v>27.6</v>
      </c>
      <c r="F613" s="52" t="n"/>
      <c r="G613" s="51" t="inlineStr">
        <is>
          <t>Wed</t>
        </is>
      </c>
      <c r="H613" s="51" t="inlineStr">
        <is>
          <t>Weekday</t>
        </is>
      </c>
      <c r="I613" s="51" t="inlineStr">
        <is>
          <t>Fall</t>
        </is>
      </c>
      <c r="J613" s="51" t="n">
        <v>25</v>
      </c>
      <c r="K613" s="51" t="inlineStr">
        <is>
          <t>강수량 공란</t>
        </is>
      </c>
      <c r="L613" s="46" t="n">
        <v>21.52</v>
      </c>
      <c r="M613" t="inlineStr">
        <is>
          <t>Good</t>
        </is>
      </c>
      <c r="N613" s="87" t="n">
        <v>25</v>
      </c>
      <c r="O613" s="87" t="n">
        <v>0</v>
      </c>
      <c r="P613" s="87" t="n">
        <v>0</v>
      </c>
      <c r="Q613" s="87" t="n">
        <v>0</v>
      </c>
      <c r="R613" s="87" t="n">
        <v>0</v>
      </c>
      <c r="S613" s="47" t="n">
        <v>1.9</v>
      </c>
      <c r="T613" s="47" t="n">
        <v>67.5</v>
      </c>
      <c r="U613" s="47" t="n"/>
      <c r="V613" s="87" t="n">
        <v>0</v>
      </c>
      <c r="W613" s="87" t="n">
        <v>0</v>
      </c>
      <c r="Y613" t="inlineStr">
        <is>
          <t>Sep</t>
        </is>
      </c>
      <c r="Z613" s="87" t="n">
        <v>2025</v>
      </c>
      <c r="AA613" s="47">
        <f>IF(F613="",0,F613)</f>
        <v/>
      </c>
      <c r="AB613" s="87">
        <f>IF(AA613&gt;=0.1,1,0)</f>
        <v/>
      </c>
      <c r="AC613" s="87" t="n">
        <v>0</v>
      </c>
      <c r="AD613" s="47">
        <f>IF(U613="",0,U613)</f>
        <v/>
      </c>
      <c r="AE613" s="87">
        <f>IF(OR(V613=1,W613=1),1,0)</f>
        <v/>
      </c>
      <c r="AF613" s="87" t="n">
        <v>0</v>
      </c>
      <c r="AG613" t="n">
        <v>9163</v>
      </c>
      <c r="AH613" t="n">
        <v>145973</v>
      </c>
      <c r="AI613" t="n">
        <v>0</v>
      </c>
      <c r="AJ613" s="88">
        <f>IF(OR(AG613&lt;=0,AH613&lt;=0),"",LN(AG613)-LN(AH613))</f>
        <v/>
      </c>
      <c r="AK613" t="n">
        <v>23431</v>
      </c>
      <c r="AL613" t="n">
        <v>131705</v>
      </c>
      <c r="AM613" s="88">
        <f>IF(OR(AK613&lt;=0,AL613&lt;=0),"",LN(AK613)-LN(AL613))</f>
        <v/>
      </c>
      <c r="AN613" t="n">
        <v>8288</v>
      </c>
      <c r="AO613" t="n">
        <v>139557</v>
      </c>
      <c r="AP613" s="88">
        <f>IF(OR(AN613&lt;=0,AO613&lt;=0),"",LN(AN613)-LN(AO613))</f>
        <v/>
      </c>
      <c r="AQ613" t="n">
        <v>8905</v>
      </c>
      <c r="AR613" t="n">
        <v>145973</v>
      </c>
      <c r="AS613" s="88">
        <f>IF(OR(AQ613&lt;=0,AR613&lt;=0),"",LN(AQ613)-LN(AR613))</f>
        <v/>
      </c>
      <c r="AT613" t="n">
        <v>10036</v>
      </c>
      <c r="AU613" t="n">
        <v>143954</v>
      </c>
      <c r="AV613" t="n">
        <v>1147</v>
      </c>
      <c r="AW613" t="n">
        <v>955</v>
      </c>
      <c r="AX613" t="n">
        <v>8133</v>
      </c>
      <c r="AY613" s="88">
        <f>IF(OR(AT613&lt;=0,AU613&lt;=0),"",LN(AT613)-LN(AU613))</f>
        <v/>
      </c>
      <c r="AZ613" s="46" t="n">
        <v>9.5</v>
      </c>
      <c r="BA613" s="46" t="n">
        <v>21.38</v>
      </c>
      <c r="BB613" s="47" t="n">
        <v>5.3</v>
      </c>
    </row>
    <row r="614">
      <c r="A614" s="48" t="n">
        <v>45904</v>
      </c>
      <c r="B614" s="49" t="n">
        <v>99884</v>
      </c>
      <c r="C614" s="50" t="n">
        <v>4.8</v>
      </c>
      <c r="D614" s="51" t="inlineStr">
        <is>
          <t>Good</t>
        </is>
      </c>
      <c r="E614" s="52" t="n">
        <v>25.8</v>
      </c>
      <c r="F614" s="52" t="n">
        <v>44.2</v>
      </c>
      <c r="G614" s="51" t="inlineStr">
        <is>
          <t>Thu</t>
        </is>
      </c>
      <c r="H614" s="51" t="inlineStr">
        <is>
          <t>Weekday</t>
        </is>
      </c>
      <c r="I614" s="51" t="inlineStr">
        <is>
          <t>Fall</t>
        </is>
      </c>
      <c r="J614" s="51" t="n">
        <v>25</v>
      </c>
      <c r="K614" s="51" t="inlineStr">
        <is>
          <t>OK</t>
        </is>
      </c>
      <c r="L614" s="46" t="n">
        <v>10.32</v>
      </c>
      <c r="M614" t="inlineStr">
        <is>
          <t>Good</t>
        </is>
      </c>
      <c r="N614" s="87" t="n">
        <v>25</v>
      </c>
      <c r="O614" s="87" t="n">
        <v>0</v>
      </c>
      <c r="P614" s="87" t="n">
        <v>0</v>
      </c>
      <c r="Q614" s="87" t="n">
        <v>0</v>
      </c>
      <c r="R614" s="87" t="n">
        <v>0</v>
      </c>
      <c r="S614" s="47" t="n">
        <v>2.6</v>
      </c>
      <c r="T614" s="47" t="n">
        <v>82.09999999999999</v>
      </c>
      <c r="U614" s="47" t="n"/>
      <c r="V614" s="87" t="n">
        <v>0</v>
      </c>
      <c r="W614" s="87" t="n">
        <v>0</v>
      </c>
      <c r="Y614" t="inlineStr">
        <is>
          <t>Sep</t>
        </is>
      </c>
      <c r="Z614" s="87" t="n">
        <v>2025</v>
      </c>
      <c r="AA614" s="47">
        <f>IF(F614="",0,F614)</f>
        <v/>
      </c>
      <c r="AB614" s="87">
        <f>IF(AA614&gt;=0.1,1,0)</f>
        <v/>
      </c>
      <c r="AC614" s="87" t="n">
        <v>0</v>
      </c>
      <c r="AD614" s="47">
        <f>IF(U614="",0,U614)</f>
        <v/>
      </c>
      <c r="AE614" s="87">
        <f>IF(OR(V614=1,W614=1),1,0)</f>
        <v/>
      </c>
      <c r="AF614" s="87" t="n">
        <v>0</v>
      </c>
      <c r="AG614" t="n">
        <v>5924</v>
      </c>
      <c r="AH614" t="n">
        <v>93960</v>
      </c>
      <c r="AI614" t="n">
        <v>0</v>
      </c>
      <c r="AJ614" s="88">
        <f>IF(OR(AG614&lt;=0,AH614&lt;=0),"",LN(AG614)-LN(AH614))</f>
        <v/>
      </c>
      <c r="AK614" t="n">
        <v>14895</v>
      </c>
      <c r="AL614" t="n">
        <v>84989</v>
      </c>
      <c r="AM614" s="88">
        <f>IF(OR(AK614&lt;=0,AL614&lt;=0),"",LN(AK614)-LN(AL614))</f>
        <v/>
      </c>
      <c r="AN614" t="n">
        <v>5216</v>
      </c>
      <c r="AO614" t="n">
        <v>89872</v>
      </c>
      <c r="AP614" s="88">
        <f>IF(OR(AN614&lt;=0,AO614&lt;=0),"",LN(AN614)-LN(AO614))</f>
        <v/>
      </c>
      <c r="AQ614" t="n">
        <v>5741</v>
      </c>
      <c r="AR614" t="n">
        <v>93960</v>
      </c>
      <c r="AS614" s="88">
        <f>IF(OR(AQ614&lt;=0,AR614&lt;=0),"",LN(AQ614)-LN(AR614))</f>
        <v/>
      </c>
      <c r="AT614" t="n">
        <v>7627</v>
      </c>
      <c r="AU614" t="n">
        <v>91521</v>
      </c>
      <c r="AV614" t="n">
        <v>736</v>
      </c>
      <c r="AW614" t="n">
        <v>654</v>
      </c>
      <c r="AX614" t="n">
        <v>5217</v>
      </c>
      <c r="AY614" s="88">
        <f>IF(OR(AT614&lt;=0,AU614&lt;=0),"",LN(AT614)-LN(AU614))</f>
        <v/>
      </c>
      <c r="AZ614" s="46" t="n">
        <v>3.1</v>
      </c>
      <c r="BA614" s="46" t="n">
        <v>13.76</v>
      </c>
      <c r="BB614" s="47" t="n">
        <v>6.5</v>
      </c>
    </row>
    <row r="615">
      <c r="A615" s="48" t="n">
        <v>45905</v>
      </c>
      <c r="B615" s="49" t="n">
        <v>152732</v>
      </c>
      <c r="C615" s="50" t="n">
        <v>8</v>
      </c>
      <c r="D615" s="51" t="inlineStr">
        <is>
          <t>Good</t>
        </is>
      </c>
      <c r="E615" s="52" t="n">
        <v>27.9</v>
      </c>
      <c r="F615" s="52" t="n"/>
      <c r="G615" s="51" t="inlineStr">
        <is>
          <t>Fri</t>
        </is>
      </c>
      <c r="H615" s="51" t="inlineStr">
        <is>
          <t>Weekday</t>
        </is>
      </c>
      <c r="I615" s="51" t="inlineStr">
        <is>
          <t>Fall</t>
        </is>
      </c>
      <c r="J615" s="51" t="n">
        <v>25</v>
      </c>
      <c r="K615" s="51" t="inlineStr">
        <is>
          <t>강수량 공란</t>
        </is>
      </c>
      <c r="L615" s="46" t="n">
        <v>16.56</v>
      </c>
      <c r="M615" t="inlineStr">
        <is>
          <t>Good</t>
        </is>
      </c>
      <c r="N615" s="87" t="n">
        <v>25</v>
      </c>
      <c r="O615" s="87" t="n">
        <v>0</v>
      </c>
      <c r="P615" s="87" t="n">
        <v>0</v>
      </c>
      <c r="Q615" s="87" t="n">
        <v>0</v>
      </c>
      <c r="R615" s="87" t="n">
        <v>0</v>
      </c>
      <c r="S615" s="47" t="n">
        <v>2.2</v>
      </c>
      <c r="T615" s="47" t="n">
        <v>68.5</v>
      </c>
      <c r="U615" s="47" t="n"/>
      <c r="V615" s="87" t="n">
        <v>0</v>
      </c>
      <c r="W615" s="87" t="n">
        <v>0</v>
      </c>
      <c r="Y615" t="inlineStr">
        <is>
          <t>Sep</t>
        </is>
      </c>
      <c r="Z615" s="87" t="n">
        <v>2025</v>
      </c>
      <c r="AA615" s="47">
        <f>IF(F615="",0,F615)</f>
        <v/>
      </c>
      <c r="AB615" s="87">
        <f>IF(AA615&gt;=0.1,1,0)</f>
        <v/>
      </c>
      <c r="AC615" s="87" t="n">
        <v>0</v>
      </c>
      <c r="AD615" s="47">
        <f>IF(U615="",0,U615)</f>
        <v/>
      </c>
      <c r="AE615" s="87">
        <f>IF(OR(V615=1,W615=1),1,0)</f>
        <v/>
      </c>
      <c r="AF615" s="87" t="n">
        <v>0</v>
      </c>
      <c r="AG615" t="n">
        <v>9226</v>
      </c>
      <c r="AH615" t="n">
        <v>143506</v>
      </c>
      <c r="AI615" t="n">
        <v>0</v>
      </c>
      <c r="AJ615" s="88">
        <f>IF(OR(AG615&lt;=0,AH615&lt;=0),"",LN(AG615)-LN(AH615))</f>
        <v/>
      </c>
      <c r="AK615" t="n">
        <v>23364</v>
      </c>
      <c r="AL615" t="n">
        <v>129368</v>
      </c>
      <c r="AM615" s="88">
        <f>IF(OR(AK615&lt;=0,AL615&lt;=0),"",LN(AK615)-LN(AL615))</f>
        <v/>
      </c>
      <c r="AN615" t="n">
        <v>8378</v>
      </c>
      <c r="AO615" t="n">
        <v>137378</v>
      </c>
      <c r="AP615" s="88">
        <f>IF(OR(AN615&lt;=0,AO615&lt;=0),"",LN(AN615)-LN(AO615))</f>
        <v/>
      </c>
      <c r="AQ615" t="n">
        <v>8957</v>
      </c>
      <c r="AR615" t="n">
        <v>143506</v>
      </c>
      <c r="AS615" s="88">
        <f>IF(OR(AQ615&lt;=0,AR615&lt;=0),"",LN(AQ615)-LN(AR615))</f>
        <v/>
      </c>
      <c r="AT615" t="n">
        <v>9928</v>
      </c>
      <c r="AU615" t="n">
        <v>141739</v>
      </c>
      <c r="AV615" t="n">
        <v>1066</v>
      </c>
      <c r="AW615" t="n">
        <v>938</v>
      </c>
      <c r="AX615" t="n">
        <v>8223</v>
      </c>
      <c r="AY615" s="88">
        <f>IF(OR(AT615&lt;=0,AU615&lt;=0),"",LN(AT615)-LN(AU615))</f>
        <v/>
      </c>
      <c r="AZ615" s="46" t="n">
        <v>7.9</v>
      </c>
      <c r="BA615" s="46" t="n">
        <v>20.45</v>
      </c>
      <c r="BB615" s="47" t="n">
        <v>4.3</v>
      </c>
    </row>
    <row r="616">
      <c r="A616" s="48" t="n">
        <v>45906</v>
      </c>
      <c r="B616" s="49" t="n">
        <v>57072</v>
      </c>
      <c r="C616" s="50" t="n">
        <v>9.84</v>
      </c>
      <c r="D616" s="51" t="inlineStr">
        <is>
          <t>Good</t>
        </is>
      </c>
      <c r="E616" s="52" t="n">
        <v>26.8</v>
      </c>
      <c r="F616" s="52" t="n">
        <v>36.1</v>
      </c>
      <c r="G616" s="51" t="inlineStr">
        <is>
          <t>Sat</t>
        </is>
      </c>
      <c r="H616" s="51" t="inlineStr">
        <is>
          <t>Weekend</t>
        </is>
      </c>
      <c r="I616" s="51" t="inlineStr">
        <is>
          <t>Fall</t>
        </is>
      </c>
      <c r="J616" s="51" t="n">
        <v>25</v>
      </c>
      <c r="K616" s="51" t="inlineStr">
        <is>
          <t>OK</t>
        </is>
      </c>
      <c r="L616" s="46" t="n">
        <v>16.84</v>
      </c>
      <c r="M616" t="inlineStr">
        <is>
          <t>Good</t>
        </is>
      </c>
      <c r="N616" s="87" t="n">
        <v>25</v>
      </c>
      <c r="O616" s="87" t="n">
        <v>0</v>
      </c>
      <c r="P616" s="87" t="n">
        <v>0</v>
      </c>
      <c r="Q616" s="87" t="n">
        <v>0</v>
      </c>
      <c r="R616" s="87" t="n">
        <v>0</v>
      </c>
      <c r="S616" s="47" t="n">
        <v>2.4</v>
      </c>
      <c r="T616" s="47" t="n">
        <v>86.59999999999999</v>
      </c>
      <c r="U616" s="47" t="n"/>
      <c r="V616" s="87" t="n">
        <v>1</v>
      </c>
      <c r="W616" s="87" t="n">
        <v>0</v>
      </c>
      <c r="Y616" t="inlineStr">
        <is>
          <t>Sep</t>
        </is>
      </c>
      <c r="Z616" s="87" t="n">
        <v>2025</v>
      </c>
      <c r="AA616" s="47">
        <f>IF(F616="",0,F616)</f>
        <v/>
      </c>
      <c r="AB616" s="87">
        <f>IF(AA616&gt;=0.1,1,0)</f>
        <v/>
      </c>
      <c r="AC616" s="87" t="n">
        <v>0</v>
      </c>
      <c r="AD616" s="47">
        <f>IF(U616="",0,U616)</f>
        <v/>
      </c>
      <c r="AE616" s="87">
        <f>IF(OR(V616=1,W616=1),1,0)</f>
        <v/>
      </c>
      <c r="AF616" s="87" t="n">
        <v>0</v>
      </c>
      <c r="AG616" t="n">
        <v>3400</v>
      </c>
      <c r="AH616" t="n">
        <v>53672</v>
      </c>
      <c r="AI616" t="n">
        <v>0</v>
      </c>
      <c r="AJ616" s="88">
        <f>IF(OR(AG616&lt;=0,AH616&lt;=0),"",LN(AG616)-LN(AH616))</f>
        <v/>
      </c>
      <c r="AK616" t="n">
        <v>8641</v>
      </c>
      <c r="AL616" t="n">
        <v>48431</v>
      </c>
      <c r="AM616" s="88">
        <f>IF(OR(AK616&lt;=0,AL616&lt;=0),"",LN(AK616)-LN(AL616))</f>
        <v/>
      </c>
      <c r="AN616" t="n">
        <v>3047</v>
      </c>
      <c r="AO616" t="n">
        <v>51430</v>
      </c>
      <c r="AP616" s="88">
        <f>IF(OR(AN616&lt;=0,AO616&lt;=0),"",LN(AN616)-LN(AO616))</f>
        <v/>
      </c>
      <c r="AQ616" t="n">
        <v>3309</v>
      </c>
      <c r="AR616" t="n">
        <v>53672</v>
      </c>
      <c r="AS616" s="88">
        <f>IF(OR(AQ616&lt;=0,AR616&lt;=0),"",LN(AQ616)-LN(AR616))</f>
        <v/>
      </c>
      <c r="AT616" t="n">
        <v>4677</v>
      </c>
      <c r="AU616" t="n">
        <v>51962</v>
      </c>
      <c r="AV616" t="n">
        <v>437</v>
      </c>
      <c r="AW616" t="n">
        <v>448</v>
      </c>
      <c r="AX616" t="n">
        <v>2921</v>
      </c>
      <c r="AY616" s="88">
        <f>IF(OR(AT616&lt;=0,AU616&lt;=0),"",LN(AT616)-LN(AU616))</f>
        <v/>
      </c>
      <c r="AZ616" s="46" t="n">
        <v>1.2</v>
      </c>
      <c r="BA616" s="46" t="n">
        <v>8.94</v>
      </c>
      <c r="BB616" s="47" t="n">
        <v>8.300000000000001</v>
      </c>
    </row>
    <row r="617">
      <c r="A617" s="48" t="n">
        <v>45907</v>
      </c>
      <c r="B617" s="49" t="n">
        <v>116306</v>
      </c>
      <c r="C617" s="50" t="n">
        <v>7.75</v>
      </c>
      <c r="D617" s="51" t="inlineStr">
        <is>
          <t>Good</t>
        </is>
      </c>
      <c r="E617" s="52" t="n">
        <v>25.3</v>
      </c>
      <c r="F617" s="52" t="n">
        <v>0.2</v>
      </c>
      <c r="G617" s="51" t="inlineStr">
        <is>
          <t>Sun</t>
        </is>
      </c>
      <c r="H617" s="51" t="inlineStr">
        <is>
          <t>Weekend</t>
        </is>
      </c>
      <c r="I617" s="51" t="inlineStr">
        <is>
          <t>Fall</t>
        </is>
      </c>
      <c r="J617" s="51" t="n">
        <v>24</v>
      </c>
      <c r="K617" s="51" t="inlineStr">
        <is>
          <t>OK</t>
        </is>
      </c>
      <c r="L617" s="46" t="n">
        <v>15.875</v>
      </c>
      <c r="M617" t="inlineStr">
        <is>
          <t>Good</t>
        </is>
      </c>
      <c r="N617" s="87" t="n">
        <v>24</v>
      </c>
      <c r="O617" s="87" t="n">
        <v>0</v>
      </c>
      <c r="P617" s="87" t="n">
        <v>0</v>
      </c>
      <c r="Q617" s="87" t="n">
        <v>0</v>
      </c>
      <c r="R617" s="87" t="n">
        <v>0</v>
      </c>
      <c r="S617" s="47" t="n">
        <v>2.1</v>
      </c>
      <c r="T617" s="47" t="n">
        <v>77.5</v>
      </c>
      <c r="U617" s="47" t="n"/>
      <c r="V617" s="87" t="n">
        <v>1</v>
      </c>
      <c r="W617" s="87" t="n">
        <v>0</v>
      </c>
      <c r="Y617" t="inlineStr">
        <is>
          <t>Sep</t>
        </is>
      </c>
      <c r="Z617" s="87" t="n">
        <v>2025</v>
      </c>
      <c r="AA617" s="47">
        <f>IF(F617="",0,F617)</f>
        <v/>
      </c>
      <c r="AB617" s="87">
        <f>IF(AA617&gt;=0.1,1,0)</f>
        <v/>
      </c>
      <c r="AC617" s="87" t="n">
        <v>0</v>
      </c>
      <c r="AD617" s="47">
        <f>IF(U617="",0,U617)</f>
        <v/>
      </c>
      <c r="AE617" s="87">
        <f>IF(OR(V617=1,W617=1),1,0)</f>
        <v/>
      </c>
      <c r="AF617" s="87" t="n">
        <v>0</v>
      </c>
      <c r="AG617" t="n">
        <v>10738</v>
      </c>
      <c r="AH617" t="n">
        <v>105568</v>
      </c>
      <c r="AI617" t="n">
        <v>0</v>
      </c>
      <c r="AJ617" s="88">
        <f>IF(OR(AG617&lt;=0,AH617&lt;=0),"",LN(AG617)-LN(AH617))</f>
        <v/>
      </c>
      <c r="AK617" t="n">
        <v>22089</v>
      </c>
      <c r="AL617" t="n">
        <v>94217</v>
      </c>
      <c r="AM617" s="88">
        <f>IF(OR(AK617&lt;=0,AL617&lt;=0),"",LN(AK617)-LN(AL617))</f>
        <v/>
      </c>
      <c r="AN617" t="n">
        <v>9239</v>
      </c>
      <c r="AO617" t="n">
        <v>101358</v>
      </c>
      <c r="AP617" s="88">
        <f>IF(OR(AN617&lt;=0,AO617&lt;=0),"",LN(AN617)-LN(AO617))</f>
        <v/>
      </c>
      <c r="AQ617" t="n">
        <v>10424</v>
      </c>
      <c r="AR617" t="n">
        <v>105568</v>
      </c>
      <c r="AS617" s="88">
        <f>IF(OR(AQ617&lt;=0,AR617&lt;=0),"",LN(AQ617)-LN(AR617))</f>
        <v/>
      </c>
      <c r="AT617" t="n">
        <v>12093</v>
      </c>
      <c r="AU617" t="n">
        <v>103473</v>
      </c>
      <c r="AV617" t="n">
        <v>740</v>
      </c>
      <c r="AW617" t="n">
        <v>1761</v>
      </c>
      <c r="AX617" t="n">
        <v>8884</v>
      </c>
      <c r="AY617" s="88">
        <f>IF(OR(AT617&lt;=0,AU617&lt;=0),"",LN(AT617)-LN(AU617))</f>
        <v/>
      </c>
      <c r="AZ617" s="46" t="n">
        <v>1.7</v>
      </c>
      <c r="BA617" s="46" t="n">
        <v>12.58</v>
      </c>
      <c r="BB617" s="47" t="n">
        <v>7.1</v>
      </c>
    </row>
    <row r="618">
      <c r="A618" s="48" t="n">
        <v>45908</v>
      </c>
      <c r="B618" s="49" t="n">
        <v>152238</v>
      </c>
      <c r="C618" s="50" t="n">
        <v>12.8</v>
      </c>
      <c r="D618" s="51" t="inlineStr">
        <is>
          <t>Good</t>
        </is>
      </c>
      <c r="E618" s="52" t="n">
        <v>24.4</v>
      </c>
      <c r="F618" s="52" t="n">
        <v>0</v>
      </c>
      <c r="G618" s="51" t="inlineStr">
        <is>
          <t>Mon</t>
        </is>
      </c>
      <c r="H618" s="51" t="inlineStr">
        <is>
          <t>Weekday</t>
        </is>
      </c>
      <c r="I618" s="51" t="inlineStr">
        <is>
          <t>Fall</t>
        </is>
      </c>
      <c r="J618" s="51" t="n">
        <v>25</v>
      </c>
      <c r="K618" s="51" t="inlineStr">
        <is>
          <t>OK</t>
        </is>
      </c>
      <c r="L618" s="46" t="n">
        <v>27.2</v>
      </c>
      <c r="M618" t="inlineStr">
        <is>
          <t>Good</t>
        </is>
      </c>
      <c r="N618" s="87" t="n">
        <v>25</v>
      </c>
      <c r="O618" s="87" t="n">
        <v>0</v>
      </c>
      <c r="P618" s="87" t="n">
        <v>0</v>
      </c>
      <c r="Q618" s="87" t="n">
        <v>0</v>
      </c>
      <c r="R618" s="87" t="n">
        <v>0</v>
      </c>
      <c r="S618" s="47" t="n">
        <v>1.8</v>
      </c>
      <c r="T618" s="47" t="n">
        <v>73</v>
      </c>
      <c r="U618" s="47" t="n"/>
      <c r="V618" s="87" t="n">
        <v>0</v>
      </c>
      <c r="W618" s="87" t="n">
        <v>0</v>
      </c>
      <c r="Y618" t="inlineStr">
        <is>
          <t>Sep</t>
        </is>
      </c>
      <c r="Z618" s="87" t="n">
        <v>2025</v>
      </c>
      <c r="AA618" s="47">
        <f>IF(F618="",0,F618)</f>
        <v/>
      </c>
      <c r="AB618" s="87">
        <f>IF(AA618&gt;=0.1,1,0)</f>
        <v/>
      </c>
      <c r="AC618" s="87" t="n">
        <v>1</v>
      </c>
      <c r="AD618" s="47">
        <f>IF(U618="",0,U618)</f>
        <v/>
      </c>
      <c r="AE618" s="87">
        <f>IF(OR(V618=1,W618=1),1,0)</f>
        <v/>
      </c>
      <c r="AF618" s="87" t="n">
        <v>0</v>
      </c>
      <c r="AG618" t="n">
        <v>8969</v>
      </c>
      <c r="AH618" t="n">
        <v>143269</v>
      </c>
      <c r="AI618" t="n">
        <v>0</v>
      </c>
      <c r="AJ618" s="88">
        <f>IF(OR(AG618&lt;=0,AH618&lt;=0),"",LN(AG618)-LN(AH618))</f>
        <v/>
      </c>
      <c r="AK618" t="n">
        <v>23221</v>
      </c>
      <c r="AL618" t="n">
        <v>129017</v>
      </c>
      <c r="AM618" s="88">
        <f>IF(OR(AK618&lt;=0,AL618&lt;=0),"",LN(AK618)-LN(AL618))</f>
        <v/>
      </c>
      <c r="AN618" t="n">
        <v>8008</v>
      </c>
      <c r="AO618" t="n">
        <v>137225</v>
      </c>
      <c r="AP618" s="88">
        <f>IF(OR(AN618&lt;=0,AO618&lt;=0),"",LN(AN618)-LN(AO618))</f>
        <v/>
      </c>
      <c r="AQ618" t="n">
        <v>8727</v>
      </c>
      <c r="AR618" t="n">
        <v>143269</v>
      </c>
      <c r="AS618" s="88">
        <f>IF(OR(AQ618&lt;=0,AR618&lt;=0),"",LN(AQ618)-LN(AR618))</f>
        <v/>
      </c>
      <c r="AT618" t="n">
        <v>9853</v>
      </c>
      <c r="AU618" t="n">
        <v>141401</v>
      </c>
      <c r="AV618" t="n">
        <v>990</v>
      </c>
      <c r="AW618" t="n">
        <v>959</v>
      </c>
      <c r="AX618" t="n">
        <v>7947</v>
      </c>
      <c r="AY618" s="88">
        <f>IF(OR(AT618&lt;=0,AU618&lt;=0),"",LN(AT618)-LN(AU618))</f>
        <v/>
      </c>
      <c r="AZ618" s="46" t="n">
        <v>3.9</v>
      </c>
      <c r="BA618" s="46" t="n">
        <v>16.17</v>
      </c>
      <c r="BB618" s="47" t="n">
        <v>8</v>
      </c>
    </row>
    <row r="619">
      <c r="A619" s="48" t="n">
        <v>45909</v>
      </c>
      <c r="B619" s="49" t="n">
        <v>165309</v>
      </c>
      <c r="C619" s="50" t="n">
        <v>16.96</v>
      </c>
      <c r="D619" s="51" t="inlineStr">
        <is>
          <t>Moderate</t>
        </is>
      </c>
      <c r="E619" s="52" t="n">
        <v>23.7</v>
      </c>
      <c r="F619" s="52" t="n">
        <v>0</v>
      </c>
      <c r="G619" s="51" t="inlineStr">
        <is>
          <t>Tue</t>
        </is>
      </c>
      <c r="H619" s="51" t="inlineStr">
        <is>
          <t>Weekday</t>
        </is>
      </c>
      <c r="I619" s="51" t="inlineStr">
        <is>
          <t>Fall</t>
        </is>
      </c>
      <c r="J619" s="51" t="n">
        <v>25</v>
      </c>
      <c r="K619" s="51" t="inlineStr">
        <is>
          <t>OK</t>
        </is>
      </c>
      <c r="L619" s="46" t="n">
        <v>33.84</v>
      </c>
      <c r="M619" t="inlineStr">
        <is>
          <t>Moderate</t>
        </is>
      </c>
      <c r="N619" s="87" t="n">
        <v>25</v>
      </c>
      <c r="O619" s="87" t="n">
        <v>0</v>
      </c>
      <c r="P619" s="87" t="n">
        <v>0</v>
      </c>
      <c r="Q619" s="87" t="n">
        <v>0</v>
      </c>
      <c r="R619" s="87" t="n">
        <v>0</v>
      </c>
      <c r="S619" s="47" t="n">
        <v>1.6</v>
      </c>
      <c r="T619" s="47" t="n">
        <v>71.90000000000001</v>
      </c>
      <c r="U619" s="47" t="n"/>
      <c r="V619" s="87" t="n">
        <v>0</v>
      </c>
      <c r="W619" s="87" t="n">
        <v>0</v>
      </c>
      <c r="Y619" t="inlineStr">
        <is>
          <t>Sep</t>
        </is>
      </c>
      <c r="Z619" s="87" t="n">
        <v>2025</v>
      </c>
      <c r="AA619" s="47">
        <f>IF(F619="",0,F619)</f>
        <v/>
      </c>
      <c r="AB619" s="87">
        <f>IF(AA619&gt;=0.1,1,0)</f>
        <v/>
      </c>
      <c r="AC619" s="87" t="n">
        <v>1</v>
      </c>
      <c r="AD619" s="47">
        <f>IF(U619="",0,U619)</f>
        <v/>
      </c>
      <c r="AE619" s="87">
        <f>IF(OR(V619=1,W619=1),1,0)</f>
        <v/>
      </c>
      <c r="AF619" s="87" t="n">
        <v>0</v>
      </c>
      <c r="AG619" t="n">
        <v>10195</v>
      </c>
      <c r="AH619" t="n">
        <v>155114</v>
      </c>
      <c r="AI619" t="n">
        <v>0</v>
      </c>
      <c r="AJ619" s="88">
        <f>IF(OR(AG619&lt;=0,AH619&lt;=0),"",LN(AG619)-LN(AH619))</f>
        <v/>
      </c>
      <c r="AK619" t="n">
        <v>25629</v>
      </c>
      <c r="AL619" t="n">
        <v>139680</v>
      </c>
      <c r="AM619" s="88">
        <f>IF(OR(AK619&lt;=0,AL619&lt;=0),"",LN(AK619)-LN(AL619))</f>
        <v/>
      </c>
      <c r="AN619" t="n">
        <v>8826</v>
      </c>
      <c r="AO619" t="n">
        <v>148498</v>
      </c>
      <c r="AP619" s="88">
        <f>IF(OR(AN619&lt;=0,AO619&lt;=0),"",LN(AN619)-LN(AO619))</f>
        <v/>
      </c>
      <c r="AQ619" t="n">
        <v>9929</v>
      </c>
      <c r="AR619" t="n">
        <v>155114</v>
      </c>
      <c r="AS619" s="88">
        <f>IF(OR(AQ619&lt;=0,AR619&lt;=0),"",LN(AQ619)-LN(AR619))</f>
        <v/>
      </c>
      <c r="AT619" t="n">
        <v>10585</v>
      </c>
      <c r="AU619" t="n">
        <v>153644</v>
      </c>
      <c r="AV619" t="n">
        <v>1083</v>
      </c>
      <c r="AW619" t="n">
        <v>1034</v>
      </c>
      <c r="AX619" t="n">
        <v>9083</v>
      </c>
      <c r="AY619" s="88">
        <f>IF(OR(AT619&lt;=0,AU619&lt;=0),"",LN(AT619)-LN(AU619))</f>
        <v/>
      </c>
      <c r="AZ619" s="46" t="n">
        <v>1</v>
      </c>
      <c r="BA619" s="46" t="n">
        <v>9.73</v>
      </c>
      <c r="BB619" s="47" t="n">
        <v>7.3</v>
      </c>
    </row>
    <row r="620">
      <c r="A620" s="48" t="n">
        <v>45910</v>
      </c>
      <c r="B620" s="49" t="n">
        <v>165849</v>
      </c>
      <c r="C620" s="50" t="n">
        <v>12.64</v>
      </c>
      <c r="D620" s="51" t="inlineStr">
        <is>
          <t>Good</t>
        </is>
      </c>
      <c r="E620" s="52" t="n">
        <v>24.8</v>
      </c>
      <c r="F620" s="52" t="n"/>
      <c r="G620" s="51" t="inlineStr">
        <is>
          <t>Wed</t>
        </is>
      </c>
      <c r="H620" s="51" t="inlineStr">
        <is>
          <t>Weekday</t>
        </is>
      </c>
      <c r="I620" s="51" t="inlineStr">
        <is>
          <t>Fall</t>
        </is>
      </c>
      <c r="J620" s="51" t="n">
        <v>25</v>
      </c>
      <c r="K620" s="51" t="inlineStr">
        <is>
          <t>강수량 공란</t>
        </is>
      </c>
      <c r="L620" s="46" t="n">
        <v>24.96</v>
      </c>
      <c r="M620" t="inlineStr">
        <is>
          <t>Good</t>
        </is>
      </c>
      <c r="N620" s="87" t="n">
        <v>25</v>
      </c>
      <c r="O620" s="87" t="n">
        <v>0</v>
      </c>
      <c r="P620" s="87" t="n">
        <v>0</v>
      </c>
      <c r="Q620" s="87" t="n">
        <v>0</v>
      </c>
      <c r="R620" s="87" t="n">
        <v>0</v>
      </c>
      <c r="S620" s="47" t="n">
        <v>1.7</v>
      </c>
      <c r="T620" s="47" t="n">
        <v>61.1</v>
      </c>
      <c r="U620" s="47" t="n"/>
      <c r="V620" s="87" t="n">
        <v>0</v>
      </c>
      <c r="W620" s="87" t="n">
        <v>0</v>
      </c>
      <c r="Y620" t="inlineStr">
        <is>
          <t>Sep</t>
        </is>
      </c>
      <c r="Z620" s="87" t="n">
        <v>2025</v>
      </c>
      <c r="AA620" s="47">
        <f>IF(F620="",0,F620)</f>
        <v/>
      </c>
      <c r="AB620" s="87">
        <f>IF(AA620&gt;=0.1,1,0)</f>
        <v/>
      </c>
      <c r="AC620" s="87" t="n">
        <v>0</v>
      </c>
      <c r="AD620" s="47">
        <f>IF(U620="",0,U620)</f>
        <v/>
      </c>
      <c r="AE620" s="87">
        <f>IF(OR(V620=1,W620=1),1,0)</f>
        <v/>
      </c>
      <c r="AF620" s="87" t="n">
        <v>0</v>
      </c>
      <c r="AG620" t="n">
        <v>10693</v>
      </c>
      <c r="AH620" t="n">
        <v>155156</v>
      </c>
      <c r="AI620" t="n">
        <v>0</v>
      </c>
      <c r="AJ620" s="88">
        <f>IF(OR(AG620&lt;=0,AH620&lt;=0),"",LN(AG620)-LN(AH620))</f>
        <v/>
      </c>
      <c r="AK620" t="n">
        <v>26477</v>
      </c>
      <c r="AL620" t="n">
        <v>139372</v>
      </c>
      <c r="AM620" s="88">
        <f>IF(OR(AK620&lt;=0,AL620&lt;=0),"",LN(AK620)-LN(AL620))</f>
        <v/>
      </c>
      <c r="AN620" t="n">
        <v>9274</v>
      </c>
      <c r="AO620" t="n">
        <v>148544</v>
      </c>
      <c r="AP620" s="88">
        <f>IF(OR(AN620&lt;=0,AO620&lt;=0),"",LN(AN620)-LN(AO620))</f>
        <v/>
      </c>
      <c r="AQ620" t="n">
        <v>10440</v>
      </c>
      <c r="AR620" t="n">
        <v>155156</v>
      </c>
      <c r="AS620" s="88">
        <f>IF(OR(AQ620&lt;=0,AR620&lt;=0),"",LN(AQ620)-LN(AR620))</f>
        <v/>
      </c>
      <c r="AT620" t="n">
        <v>10462</v>
      </c>
      <c r="AU620" t="n">
        <v>154173</v>
      </c>
      <c r="AV620" t="n">
        <v>1215</v>
      </c>
      <c r="AW620" t="n">
        <v>1154</v>
      </c>
      <c r="AX620" t="n">
        <v>9449</v>
      </c>
      <c r="AY620" s="88">
        <f>IF(OR(AT620&lt;=0,AU620&lt;=0),"",LN(AT620)-LN(AU620))</f>
        <v/>
      </c>
      <c r="AZ620" s="46" t="n">
        <v>11.9</v>
      </c>
      <c r="BA620" s="46" t="n">
        <v>24.56</v>
      </c>
      <c r="BB620" s="47" t="n">
        <v>0</v>
      </c>
    </row>
    <row r="621">
      <c r="A621" s="48" t="n">
        <v>45911</v>
      </c>
      <c r="B621" s="49" t="n">
        <v>166211</v>
      </c>
      <c r="C621" s="50" t="n">
        <v>9.24</v>
      </c>
      <c r="D621" s="51" t="inlineStr">
        <is>
          <t>Good</t>
        </is>
      </c>
      <c r="E621" s="52" t="n">
        <v>25.8</v>
      </c>
      <c r="F621" s="52" t="n"/>
      <c r="G621" s="51" t="inlineStr">
        <is>
          <t>Thu</t>
        </is>
      </c>
      <c r="H621" s="51" t="inlineStr">
        <is>
          <t>Weekday</t>
        </is>
      </c>
      <c r="I621" s="51" t="inlineStr">
        <is>
          <t>Fall</t>
        </is>
      </c>
      <c r="J621" s="51" t="n">
        <v>25</v>
      </c>
      <c r="K621" s="51" t="inlineStr">
        <is>
          <t>강수량 공란</t>
        </is>
      </c>
      <c r="L621" s="46" t="n">
        <v>20</v>
      </c>
      <c r="M621" t="inlineStr">
        <is>
          <t>Good</t>
        </is>
      </c>
      <c r="N621" s="87" t="n">
        <v>25</v>
      </c>
      <c r="O621" s="87" t="n">
        <v>0</v>
      </c>
      <c r="P621" s="87" t="n">
        <v>0</v>
      </c>
      <c r="Q621" s="87" t="n">
        <v>0</v>
      </c>
      <c r="R621" s="87" t="n">
        <v>0</v>
      </c>
      <c r="S621" s="47" t="n">
        <v>2.5</v>
      </c>
      <c r="T621" s="47" t="n">
        <v>57.6</v>
      </c>
      <c r="U621" s="47" t="n"/>
      <c r="V621" s="87" t="n">
        <v>0</v>
      </c>
      <c r="W621" s="87" t="n">
        <v>0</v>
      </c>
      <c r="Y621" t="inlineStr">
        <is>
          <t>Sep</t>
        </is>
      </c>
      <c r="Z621" s="87" t="n">
        <v>2025</v>
      </c>
      <c r="AA621" s="47">
        <f>IF(F621="",0,F621)</f>
        <v/>
      </c>
      <c r="AB621" s="87">
        <f>IF(AA621&gt;=0.1,1,0)</f>
        <v/>
      </c>
      <c r="AC621" s="87" t="n">
        <v>0</v>
      </c>
      <c r="AD621" s="47">
        <f>IF(U621="",0,U621)</f>
        <v/>
      </c>
      <c r="AE621" s="87">
        <f>IF(OR(V621=1,W621=1),1,0)</f>
        <v/>
      </c>
      <c r="AF621" s="87" t="n">
        <v>0</v>
      </c>
      <c r="AG621" t="n">
        <v>10491</v>
      </c>
      <c r="AH621" t="n">
        <v>155720</v>
      </c>
      <c r="AI621" t="n">
        <v>0</v>
      </c>
      <c r="AJ621" s="88">
        <f>IF(OR(AG621&lt;=0,AH621&lt;=0),"",LN(AG621)-LN(AH621))</f>
        <v/>
      </c>
      <c r="AK621" t="n">
        <v>25961</v>
      </c>
      <c r="AL621" t="n">
        <v>140250</v>
      </c>
      <c r="AM621" s="88">
        <f>IF(OR(AK621&lt;=0,AL621&lt;=0),"",LN(AK621)-LN(AL621))</f>
        <v/>
      </c>
      <c r="AN621" t="n">
        <v>9034</v>
      </c>
      <c r="AO621" t="n">
        <v>149141</v>
      </c>
      <c r="AP621" s="88">
        <f>IF(OR(AN621&lt;=0,AO621&lt;=0),"",LN(AN621)-LN(AO621))</f>
        <v/>
      </c>
      <c r="AQ621" t="n">
        <v>10237</v>
      </c>
      <c r="AR621" t="n">
        <v>155720</v>
      </c>
      <c r="AS621" s="88">
        <f>IF(OR(AQ621&lt;=0,AR621&lt;=0),"",LN(AQ621)-LN(AR621))</f>
        <v/>
      </c>
      <c r="AT621" t="n">
        <v>10824</v>
      </c>
      <c r="AU621" t="n">
        <v>154207</v>
      </c>
      <c r="AV621" t="n">
        <v>1182</v>
      </c>
      <c r="AW621" t="n">
        <v>1169</v>
      </c>
      <c r="AX621" t="n">
        <v>9237</v>
      </c>
      <c r="AY621" s="88">
        <f>IF(OR(AT621&lt;=0,AU621&lt;=0),"",LN(AT621)-LN(AU621))</f>
        <v/>
      </c>
      <c r="AZ621" s="46" t="n">
        <v>11.8</v>
      </c>
      <c r="BA621" s="46" t="n">
        <v>24.11</v>
      </c>
      <c r="BB621" s="47" t="n">
        <v>2.8</v>
      </c>
    </row>
    <row r="622">
      <c r="A622" s="48" t="n">
        <v>45912</v>
      </c>
      <c r="B622" s="49" t="n">
        <v>106260</v>
      </c>
      <c r="C622" s="50" t="n">
        <v>7.68</v>
      </c>
      <c r="D622" s="51" t="inlineStr">
        <is>
          <t>Good</t>
        </is>
      </c>
      <c r="E622" s="52" t="n">
        <v>23.9</v>
      </c>
      <c r="F622" s="52" t="n">
        <v>6.8</v>
      </c>
      <c r="G622" s="51" t="inlineStr">
        <is>
          <t>Fri</t>
        </is>
      </c>
      <c r="H622" s="51" t="inlineStr">
        <is>
          <t>Weekday</t>
        </is>
      </c>
      <c r="I622" s="51" t="inlineStr">
        <is>
          <t>Fall</t>
        </is>
      </c>
      <c r="J622" s="51" t="n">
        <v>25</v>
      </c>
      <c r="K622" s="51" t="inlineStr">
        <is>
          <t>OK</t>
        </is>
      </c>
      <c r="L622" s="46" t="n">
        <v>17.08</v>
      </c>
      <c r="M622" t="inlineStr">
        <is>
          <t>Good</t>
        </is>
      </c>
      <c r="N622" s="87" t="n">
        <v>25</v>
      </c>
      <c r="O622" s="87" t="n">
        <v>0</v>
      </c>
      <c r="P622" s="87" t="n">
        <v>0</v>
      </c>
      <c r="Q622" s="87" t="n">
        <v>0</v>
      </c>
      <c r="R622" s="87" t="n">
        <v>0</v>
      </c>
      <c r="S622" s="47" t="n">
        <v>2.7</v>
      </c>
      <c r="T622" s="47" t="n">
        <v>68.8</v>
      </c>
      <c r="U622" s="47" t="n"/>
      <c r="V622" s="87" t="n">
        <v>0</v>
      </c>
      <c r="W622" s="87" t="n">
        <v>0</v>
      </c>
      <c r="Y622" t="inlineStr">
        <is>
          <t>Sep</t>
        </is>
      </c>
      <c r="Z622" s="87" t="n">
        <v>2025</v>
      </c>
      <c r="AA622" s="47">
        <f>IF(F622="",0,F622)</f>
        <v/>
      </c>
      <c r="AB622" s="87">
        <f>IF(AA622&gt;=0.1,1,0)</f>
        <v/>
      </c>
      <c r="AC622" s="87" t="n">
        <v>0</v>
      </c>
      <c r="AD622" s="47">
        <f>IF(U622="",0,U622)</f>
        <v/>
      </c>
      <c r="AE622" s="87">
        <f>IF(OR(V622=1,W622=1),1,0)</f>
        <v/>
      </c>
      <c r="AF622" s="87" t="n">
        <v>0</v>
      </c>
      <c r="AG622" t="n">
        <v>6017</v>
      </c>
      <c r="AH622" t="n">
        <v>100243</v>
      </c>
      <c r="AI622" t="n">
        <v>0</v>
      </c>
      <c r="AJ622" s="88">
        <f>IF(OR(AG622&lt;=0,AH622&lt;=0),"",LN(AG622)-LN(AH622))</f>
        <v/>
      </c>
      <c r="AK622" t="n">
        <v>15660</v>
      </c>
      <c r="AL622" t="n">
        <v>90600</v>
      </c>
      <c r="AM622" s="88">
        <f>IF(OR(AK622&lt;=0,AL622&lt;=0),"",LN(AK622)-LN(AL622))</f>
        <v/>
      </c>
      <c r="AN622" t="n">
        <v>5464</v>
      </c>
      <c r="AO622" t="n">
        <v>96100</v>
      </c>
      <c r="AP622" s="88">
        <f>IF(OR(AN622&lt;=0,AO622&lt;=0),"",LN(AN622)-LN(AO622))</f>
        <v/>
      </c>
      <c r="AQ622" t="n">
        <v>5840</v>
      </c>
      <c r="AR622" t="n">
        <v>100243</v>
      </c>
      <c r="AS622" s="88">
        <f>IF(OR(AQ622&lt;=0,AR622&lt;=0),"",LN(AQ622)-LN(AR622))</f>
        <v/>
      </c>
      <c r="AT622" t="n">
        <v>6714</v>
      </c>
      <c r="AU622" t="n">
        <v>98756</v>
      </c>
      <c r="AV622" t="n">
        <v>794</v>
      </c>
      <c r="AW622" t="n">
        <v>526</v>
      </c>
      <c r="AX622" t="n">
        <v>5443</v>
      </c>
      <c r="AY622" s="88">
        <f>IF(OR(AT622&lt;=0,AU622&lt;=0),"",LN(AT622)-LN(AU622))</f>
        <v/>
      </c>
      <c r="AZ622" s="46" t="n">
        <v>0.3</v>
      </c>
      <c r="BA622" s="46" t="n">
        <v>7.7</v>
      </c>
      <c r="BB622" s="47" t="n">
        <v>9.5</v>
      </c>
    </row>
    <row r="623">
      <c r="A623" s="48" t="n">
        <v>45913</v>
      </c>
      <c r="B623" s="49" t="n">
        <v>113754</v>
      </c>
      <c r="C623" s="50" t="n">
        <v>2.16</v>
      </c>
      <c r="D623" s="51" t="inlineStr">
        <is>
          <t>Good</t>
        </is>
      </c>
      <c r="E623" s="52" t="n">
        <v>23.3</v>
      </c>
      <c r="F623" s="52" t="n">
        <v>63.7</v>
      </c>
      <c r="G623" s="51" t="inlineStr">
        <is>
          <t>Sat</t>
        </is>
      </c>
      <c r="H623" s="51" t="inlineStr">
        <is>
          <t>Weekend</t>
        </is>
      </c>
      <c r="I623" s="51" t="inlineStr">
        <is>
          <t>Fall</t>
        </is>
      </c>
      <c r="J623" s="51" t="n">
        <v>25</v>
      </c>
      <c r="K623" s="51" t="inlineStr">
        <is>
          <t>OK</t>
        </is>
      </c>
      <c r="L623" s="46" t="n">
        <v>5.16</v>
      </c>
      <c r="M623" t="inlineStr">
        <is>
          <t>Good</t>
        </is>
      </c>
      <c r="N623" s="87" t="n">
        <v>25</v>
      </c>
      <c r="O623" s="87" t="n">
        <v>0</v>
      </c>
      <c r="P623" s="87" t="n">
        <v>0</v>
      </c>
      <c r="Q623" s="87" t="n">
        <v>0</v>
      </c>
      <c r="R623" s="87" t="n">
        <v>0</v>
      </c>
      <c r="S623" s="47" t="n">
        <v>2.4</v>
      </c>
      <c r="T623" s="47" t="n">
        <v>81</v>
      </c>
      <c r="U623" s="47" t="n"/>
      <c r="V623" s="87" t="n">
        <v>1</v>
      </c>
      <c r="W623" s="87" t="n">
        <v>0</v>
      </c>
      <c r="Y623" t="inlineStr">
        <is>
          <t>Sep</t>
        </is>
      </c>
      <c r="Z623" s="87" t="n">
        <v>2025</v>
      </c>
      <c r="AA623" s="47">
        <f>IF(F623="",0,F623)</f>
        <v/>
      </c>
      <c r="AB623" s="87">
        <f>IF(AA623&gt;=0.1,1,0)</f>
        <v/>
      </c>
      <c r="AC623" s="87" t="n">
        <v>0</v>
      </c>
      <c r="AD623" s="47">
        <f>IF(U623="",0,U623)</f>
        <v/>
      </c>
      <c r="AE623" s="87">
        <f>IF(OR(V623=1,W623=1),1,0)</f>
        <v/>
      </c>
      <c r="AF623" s="87" t="n">
        <v>0</v>
      </c>
      <c r="AG623" t="n">
        <v>10560</v>
      </c>
      <c r="AH623" t="n">
        <v>103194</v>
      </c>
      <c r="AI623" t="n">
        <v>0</v>
      </c>
      <c r="AJ623" s="88">
        <f>IF(OR(AG623&lt;=0,AH623&lt;=0),"",LN(AG623)-LN(AH623))</f>
        <v/>
      </c>
      <c r="AK623" t="n">
        <v>21872</v>
      </c>
      <c r="AL623" t="n">
        <v>91882</v>
      </c>
      <c r="AM623" s="88">
        <f>IF(OR(AK623&lt;=0,AL623&lt;=0),"",LN(AK623)-LN(AL623))</f>
        <v/>
      </c>
      <c r="AN623" t="n">
        <v>8507</v>
      </c>
      <c r="AO623" t="n">
        <v>98929</v>
      </c>
      <c r="AP623" s="88">
        <f>IF(OR(AN623&lt;=0,AO623&lt;=0),"",LN(AN623)-LN(AO623))</f>
        <v/>
      </c>
      <c r="AQ623" t="n">
        <v>10245</v>
      </c>
      <c r="AR623" t="n">
        <v>103194</v>
      </c>
      <c r="AS623" s="88">
        <f>IF(OR(AQ623&lt;=0,AR623&lt;=0),"",LN(AQ623)-LN(AR623))</f>
        <v/>
      </c>
      <c r="AT623" t="n">
        <v>11186</v>
      </c>
      <c r="AU623" t="n">
        <v>101593</v>
      </c>
      <c r="AV623" t="n">
        <v>977</v>
      </c>
      <c r="AW623" t="n">
        <v>1851</v>
      </c>
      <c r="AX623" t="n">
        <v>8602</v>
      </c>
      <c r="AY623" s="88">
        <f>IF(OR(AT623&lt;=0,AU623&lt;=0),"",LN(AT623)-LN(AU623))</f>
        <v/>
      </c>
      <c r="AZ623" s="46" t="n"/>
      <c r="BA623" s="46" t="n"/>
      <c r="BB623" s="47" t="n">
        <v>8.9</v>
      </c>
    </row>
    <row r="624">
      <c r="A624" s="48" t="n">
        <v>45914</v>
      </c>
      <c r="B624" s="49" t="n">
        <v>134623</v>
      </c>
      <c r="C624" s="50" t="n">
        <v>5.8</v>
      </c>
      <c r="D624" s="51" t="inlineStr">
        <is>
          <t>Good</t>
        </is>
      </c>
      <c r="E624" s="52" t="n">
        <v>24.8</v>
      </c>
      <c r="F624" s="52" t="n"/>
      <c r="G624" s="51" t="inlineStr">
        <is>
          <t>Sun</t>
        </is>
      </c>
      <c r="H624" s="51" t="inlineStr">
        <is>
          <t>Weekend</t>
        </is>
      </c>
      <c r="I624" s="51" t="inlineStr">
        <is>
          <t>Fall</t>
        </is>
      </c>
      <c r="J624" s="51" t="n">
        <v>25</v>
      </c>
      <c r="K624" s="51" t="inlineStr">
        <is>
          <t>강수량 공란</t>
        </is>
      </c>
      <c r="L624" s="46" t="n">
        <v>11.88</v>
      </c>
      <c r="M624" t="inlineStr">
        <is>
          <t>Good</t>
        </is>
      </c>
      <c r="N624" s="87" t="n">
        <v>25</v>
      </c>
      <c r="O624" s="87" t="n">
        <v>0</v>
      </c>
      <c r="P624" s="87" t="n">
        <v>0</v>
      </c>
      <c r="Q624" s="87" t="n">
        <v>0</v>
      </c>
      <c r="R624" s="87" t="n">
        <v>0</v>
      </c>
      <c r="S624" s="47" t="n">
        <v>1.6</v>
      </c>
      <c r="T624" s="47" t="n">
        <v>72</v>
      </c>
      <c r="U624" s="47" t="n"/>
      <c r="V624" s="87" t="n">
        <v>1</v>
      </c>
      <c r="W624" s="87" t="n">
        <v>0</v>
      </c>
      <c r="Y624" t="inlineStr">
        <is>
          <t>Sep</t>
        </is>
      </c>
      <c r="Z624" s="87" t="n">
        <v>2025</v>
      </c>
      <c r="AA624" s="47">
        <f>IF(F624="",0,F624)</f>
        <v/>
      </c>
      <c r="AB624" s="87">
        <f>IF(AA624&gt;=0.1,1,0)</f>
        <v/>
      </c>
      <c r="AC624" s="87" t="n">
        <v>0</v>
      </c>
      <c r="AD624" s="47">
        <f>IF(U624="",0,U624)</f>
        <v/>
      </c>
      <c r="AE624" s="87">
        <f>IF(OR(V624=1,W624=1),1,0)</f>
        <v/>
      </c>
      <c r="AF624" s="87" t="n">
        <v>0</v>
      </c>
      <c r="AG624" t="n">
        <v>13791</v>
      </c>
      <c r="AH624" t="n">
        <v>120832</v>
      </c>
      <c r="AI624" t="n">
        <v>0</v>
      </c>
      <c r="AJ624" s="88">
        <f>IF(OR(AG624&lt;=0,AH624&lt;=0),"",LN(AG624)-LN(AH624))</f>
        <v/>
      </c>
      <c r="AK624" t="n">
        <v>27095</v>
      </c>
      <c r="AL624" t="n">
        <v>107528</v>
      </c>
      <c r="AM624" s="88">
        <f>IF(OR(AK624&lt;=0,AL624&lt;=0),"",LN(AK624)-LN(AL624))</f>
        <v/>
      </c>
      <c r="AN624" t="n">
        <v>11043</v>
      </c>
      <c r="AO624" t="n">
        <v>116098</v>
      </c>
      <c r="AP624" s="88">
        <f>IF(OR(AN624&lt;=0,AO624&lt;=0),"",LN(AN624)-LN(AO624))</f>
        <v/>
      </c>
      <c r="AQ624" t="n">
        <v>13384</v>
      </c>
      <c r="AR624" t="n">
        <v>120832</v>
      </c>
      <c r="AS624" s="88">
        <f>IF(OR(AQ624&lt;=0,AR624&lt;=0),"",LN(AQ624)-LN(AR624))</f>
        <v/>
      </c>
      <c r="AT624" t="n">
        <v>13945</v>
      </c>
      <c r="AU624" t="n">
        <v>119595</v>
      </c>
      <c r="AV624" t="n">
        <v>1084</v>
      </c>
      <c r="AW624" t="n">
        <v>2335</v>
      </c>
      <c r="AX624" t="n">
        <v>11274</v>
      </c>
      <c r="AY624" s="88">
        <f>IF(OR(AT624&lt;=0,AU624&lt;=0),"",LN(AT624)-LN(AU624))</f>
        <v/>
      </c>
      <c r="AZ624" s="46" t="n">
        <v>5.7</v>
      </c>
      <c r="BA624" s="46" t="n">
        <v>16.74</v>
      </c>
      <c r="BB624" s="47" t="n">
        <v>6</v>
      </c>
    </row>
    <row r="625">
      <c r="A625" s="48" t="n">
        <v>45915</v>
      </c>
      <c r="B625" s="49" t="n">
        <v>165343</v>
      </c>
      <c r="C625" s="50" t="n">
        <v>11.12</v>
      </c>
      <c r="D625" s="51" t="inlineStr">
        <is>
          <t>Good</t>
        </is>
      </c>
      <c r="E625" s="52" t="n">
        <v>25.7</v>
      </c>
      <c r="F625" s="52" t="n"/>
      <c r="G625" s="51" t="inlineStr">
        <is>
          <t>Mon</t>
        </is>
      </c>
      <c r="H625" s="51" t="inlineStr">
        <is>
          <t>Weekday</t>
        </is>
      </c>
      <c r="I625" s="51" t="inlineStr">
        <is>
          <t>Fall</t>
        </is>
      </c>
      <c r="J625" s="51" t="n">
        <v>25</v>
      </c>
      <c r="K625" s="51" t="inlineStr">
        <is>
          <t>강수량 공란</t>
        </is>
      </c>
      <c r="L625" s="46" t="n">
        <v>19.2</v>
      </c>
      <c r="M625" t="inlineStr">
        <is>
          <t>Good</t>
        </is>
      </c>
      <c r="N625" s="87" t="n">
        <v>25</v>
      </c>
      <c r="O625" s="87" t="n">
        <v>0</v>
      </c>
      <c r="P625" s="87" t="n">
        <v>0</v>
      </c>
      <c r="Q625" s="87" t="n">
        <v>0</v>
      </c>
      <c r="R625" s="87" t="n">
        <v>0</v>
      </c>
      <c r="S625" s="47" t="n">
        <v>1.5</v>
      </c>
      <c r="T625" s="47" t="n">
        <v>71.59999999999999</v>
      </c>
      <c r="U625" s="47" t="n"/>
      <c r="V625" s="87" t="n">
        <v>0</v>
      </c>
      <c r="W625" s="87" t="n">
        <v>0</v>
      </c>
      <c r="Y625" t="inlineStr">
        <is>
          <t>Sep</t>
        </is>
      </c>
      <c r="Z625" s="87" t="n">
        <v>2025</v>
      </c>
      <c r="AA625" s="47">
        <f>IF(F625="",0,F625)</f>
        <v/>
      </c>
      <c r="AB625" s="87">
        <f>IF(AA625&gt;=0.1,1,0)</f>
        <v/>
      </c>
      <c r="AC625" s="87" t="n">
        <v>0</v>
      </c>
      <c r="AD625" s="47">
        <f>IF(U625="",0,U625)</f>
        <v/>
      </c>
      <c r="AE625" s="87">
        <f>IF(OR(V625=1,W625=1),1,0)</f>
        <v/>
      </c>
      <c r="AF625" s="87" t="n">
        <v>0</v>
      </c>
      <c r="AG625" t="n">
        <v>10755</v>
      </c>
      <c r="AH625" t="n">
        <v>154588</v>
      </c>
      <c r="AI625" t="n">
        <v>0</v>
      </c>
      <c r="AJ625" s="88">
        <f>IF(OR(AG625&lt;=0,AH625&lt;=0),"",LN(AG625)-LN(AH625))</f>
        <v/>
      </c>
      <c r="AK625" t="n">
        <v>26719</v>
      </c>
      <c r="AL625" t="n">
        <v>138624</v>
      </c>
      <c r="AM625" s="88">
        <f>IF(OR(AK625&lt;=0,AL625&lt;=0),"",LN(AK625)-LN(AL625))</f>
        <v/>
      </c>
      <c r="AN625" t="n">
        <v>9195</v>
      </c>
      <c r="AO625" t="n">
        <v>148108</v>
      </c>
      <c r="AP625" s="88">
        <f>IF(OR(AN625&lt;=0,AO625&lt;=0),"",LN(AN625)-LN(AO625))</f>
        <v/>
      </c>
      <c r="AQ625" t="n">
        <v>10509</v>
      </c>
      <c r="AR625" t="n">
        <v>154588</v>
      </c>
      <c r="AS625" s="88">
        <f>IF(OR(AQ625&lt;=0,AR625&lt;=0),"",LN(AQ625)-LN(AR625))</f>
        <v/>
      </c>
      <c r="AT625" t="n">
        <v>10995</v>
      </c>
      <c r="AU625" t="n">
        <v>152998</v>
      </c>
      <c r="AV625" t="n">
        <v>1356</v>
      </c>
      <c r="AW625" t="n">
        <v>1154</v>
      </c>
      <c r="AX625" t="n">
        <v>9473</v>
      </c>
      <c r="AY625" s="88">
        <f>IF(OR(AT625&lt;=0,AU625&lt;=0),"",LN(AT625)-LN(AU625))</f>
        <v/>
      </c>
      <c r="AZ625" s="46" t="n">
        <v>9.4</v>
      </c>
      <c r="BA625" s="46" t="n">
        <v>18.66</v>
      </c>
      <c r="BB625" s="47" t="n">
        <v>4.3</v>
      </c>
    </row>
    <row r="626">
      <c r="A626" s="48" t="n">
        <v>45916</v>
      </c>
      <c r="B626" s="49" t="n">
        <v>107806</v>
      </c>
      <c r="C626" s="50" t="n">
        <v>12.28</v>
      </c>
      <c r="D626" s="51" t="inlineStr">
        <is>
          <t>Good</t>
        </is>
      </c>
      <c r="E626" s="52" t="n">
        <v>23.7</v>
      </c>
      <c r="F626" s="52" t="n">
        <v>17.5</v>
      </c>
      <c r="G626" s="51" t="inlineStr">
        <is>
          <t>Tue</t>
        </is>
      </c>
      <c r="H626" s="51" t="inlineStr">
        <is>
          <t>Weekday</t>
        </is>
      </c>
      <c r="I626" s="51" t="inlineStr">
        <is>
          <t>Fall</t>
        </is>
      </c>
      <c r="J626" s="51" t="n">
        <v>25</v>
      </c>
      <c r="K626" s="51" t="inlineStr">
        <is>
          <t>OK</t>
        </is>
      </c>
      <c r="L626" s="46" t="n">
        <v>20.08</v>
      </c>
      <c r="M626" t="inlineStr">
        <is>
          <t>Good</t>
        </is>
      </c>
      <c r="N626" s="87" t="n">
        <v>25</v>
      </c>
      <c r="O626" s="87" t="n">
        <v>0</v>
      </c>
      <c r="P626" s="87" t="n">
        <v>0</v>
      </c>
      <c r="Q626" s="87" t="n">
        <v>0</v>
      </c>
      <c r="R626" s="87" t="n">
        <v>0</v>
      </c>
      <c r="S626" s="47" t="n">
        <v>1.5</v>
      </c>
      <c r="T626" s="47" t="n">
        <v>86.8</v>
      </c>
      <c r="U626" s="47" t="n"/>
      <c r="V626" s="87" t="n">
        <v>0</v>
      </c>
      <c r="W626" s="87" t="n">
        <v>0</v>
      </c>
      <c r="Y626" t="inlineStr">
        <is>
          <t>Sep</t>
        </is>
      </c>
      <c r="Z626" s="87" t="n">
        <v>2025</v>
      </c>
      <c r="AA626" s="47">
        <f>IF(F626="",0,F626)</f>
        <v/>
      </c>
      <c r="AB626" s="87">
        <f>IF(AA626&gt;=0.1,1,0)</f>
        <v/>
      </c>
      <c r="AC626" s="87" t="n">
        <v>0</v>
      </c>
      <c r="AD626" s="47">
        <f>IF(U626="",0,U626)</f>
        <v/>
      </c>
      <c r="AE626" s="87">
        <f>IF(OR(V626=1,W626=1),1,0)</f>
        <v/>
      </c>
      <c r="AF626" s="87" t="n">
        <v>0</v>
      </c>
      <c r="AG626" t="n">
        <v>5660</v>
      </c>
      <c r="AH626" t="n">
        <v>102146</v>
      </c>
      <c r="AI626" t="n">
        <v>0</v>
      </c>
      <c r="AJ626" s="88">
        <f>IF(OR(AG626&lt;=0,AH626&lt;=0),"",LN(AG626)-LN(AH626))</f>
        <v/>
      </c>
      <c r="AK626" t="n">
        <v>15550</v>
      </c>
      <c r="AL626" t="n">
        <v>92256</v>
      </c>
      <c r="AM626" s="88">
        <f>IF(OR(AK626&lt;=0,AL626&lt;=0),"",LN(AK626)-LN(AL626))</f>
        <v/>
      </c>
      <c r="AN626" t="n">
        <v>5109</v>
      </c>
      <c r="AO626" t="n">
        <v>97904</v>
      </c>
      <c r="AP626" s="88">
        <f>IF(OR(AN626&lt;=0,AO626&lt;=0),"",LN(AN626)-LN(AO626))</f>
        <v/>
      </c>
      <c r="AQ626" t="n">
        <v>5500</v>
      </c>
      <c r="AR626" t="n">
        <v>102146</v>
      </c>
      <c r="AS626" s="88">
        <f>IF(OR(AQ626&lt;=0,AR626&lt;=0),"",LN(AQ626)-LN(AR626))</f>
        <v/>
      </c>
      <c r="AT626" t="n">
        <v>6070</v>
      </c>
      <c r="AU626" t="n">
        <v>100895</v>
      </c>
      <c r="AV626" t="n">
        <v>841</v>
      </c>
      <c r="AW626" t="n">
        <v>478</v>
      </c>
      <c r="AX626" t="n">
        <v>5137</v>
      </c>
      <c r="AY626" s="88">
        <f>IF(OR(AT626&lt;=0,AU626&lt;=0),"",LN(AT626)-LN(AU626))</f>
        <v/>
      </c>
      <c r="AZ626" s="46" t="n">
        <v>0.7</v>
      </c>
      <c r="BA626" s="46" t="n">
        <v>5.11</v>
      </c>
      <c r="BB626" s="47" t="n">
        <v>7.5</v>
      </c>
    </row>
    <row r="627">
      <c r="A627" s="48" t="n">
        <v>45917</v>
      </c>
      <c r="B627" s="49" t="n">
        <v>84085</v>
      </c>
      <c r="C627" s="50" t="n">
        <v>5.96</v>
      </c>
      <c r="D627" s="51" t="inlineStr">
        <is>
          <t>Good</t>
        </is>
      </c>
      <c r="E627" s="52" t="n">
        <v>22.7</v>
      </c>
      <c r="F627" s="52" t="n">
        <v>52.7</v>
      </c>
      <c r="G627" s="51" t="inlineStr">
        <is>
          <t>Wed</t>
        </is>
      </c>
      <c r="H627" s="51" t="inlineStr">
        <is>
          <t>Weekday</t>
        </is>
      </c>
      <c r="I627" s="51" t="inlineStr">
        <is>
          <t>Fall</t>
        </is>
      </c>
      <c r="J627" s="51" t="n">
        <v>25</v>
      </c>
      <c r="K627" s="51" t="inlineStr">
        <is>
          <t>OK</t>
        </is>
      </c>
      <c r="L627" s="46" t="n">
        <v>12.08</v>
      </c>
      <c r="M627" t="inlineStr">
        <is>
          <t>Good</t>
        </is>
      </c>
      <c r="N627" s="87" t="n">
        <v>25</v>
      </c>
      <c r="O627" s="87" t="n">
        <v>0</v>
      </c>
      <c r="P627" s="87" t="n">
        <v>0</v>
      </c>
      <c r="Q627" s="87" t="n">
        <v>0</v>
      </c>
      <c r="R627" s="87" t="n">
        <v>0</v>
      </c>
      <c r="S627" s="47" t="n">
        <v>1.7</v>
      </c>
      <c r="T627" s="47" t="n">
        <v>92</v>
      </c>
      <c r="U627" s="47" t="n"/>
      <c r="V627" s="87" t="n">
        <v>0</v>
      </c>
      <c r="W627" s="87" t="n">
        <v>0</v>
      </c>
      <c r="Y627" t="inlineStr">
        <is>
          <t>Sep</t>
        </is>
      </c>
      <c r="Z627" s="87" t="n">
        <v>2025</v>
      </c>
      <c r="AA627" s="47">
        <f>IF(F627="",0,F627)</f>
        <v/>
      </c>
      <c r="AB627" s="87">
        <f>IF(AA627&gt;=0.1,1,0)</f>
        <v/>
      </c>
      <c r="AC627" s="87" t="n">
        <v>0</v>
      </c>
      <c r="AD627" s="47">
        <f>IF(U627="",0,U627)</f>
        <v/>
      </c>
      <c r="AE627" s="87">
        <f>IF(OR(V627=1,W627=1),1,0)</f>
        <v/>
      </c>
      <c r="AF627" s="87" t="n">
        <v>0</v>
      </c>
      <c r="AG627" t="n">
        <v>4729</v>
      </c>
      <c r="AH627" t="n">
        <v>79356</v>
      </c>
      <c r="AI627" t="n">
        <v>0</v>
      </c>
      <c r="AJ627" s="88">
        <f>IF(OR(AG627&lt;=0,AH627&lt;=0),"",LN(AG627)-LN(AH627))</f>
        <v/>
      </c>
      <c r="AK627" t="n">
        <v>12492</v>
      </c>
      <c r="AL627" t="n">
        <v>71593</v>
      </c>
      <c r="AM627" s="88">
        <f>IF(OR(AK627&lt;=0,AL627&lt;=0),"",LN(AK627)-LN(AL627))</f>
        <v/>
      </c>
      <c r="AN627" t="n">
        <v>4080</v>
      </c>
      <c r="AO627" t="n">
        <v>75914</v>
      </c>
      <c r="AP627" s="88">
        <f>IF(OR(AN627&lt;=0,AO627&lt;=0),"",LN(AN627)-LN(AO627))</f>
        <v/>
      </c>
      <c r="AQ627" t="n">
        <v>4598</v>
      </c>
      <c r="AR627" t="n">
        <v>79356</v>
      </c>
      <c r="AS627" s="88">
        <f>IF(OR(AQ627&lt;=0,AR627&lt;=0),"",LN(AQ627)-LN(AR627))</f>
        <v/>
      </c>
      <c r="AT627" t="n">
        <v>4938</v>
      </c>
      <c r="AU627" t="n">
        <v>78557</v>
      </c>
      <c r="AV627" t="n">
        <v>590</v>
      </c>
      <c r="AW627" t="n">
        <v>421</v>
      </c>
      <c r="AX627" t="n">
        <v>4269</v>
      </c>
      <c r="AY627" s="88">
        <f>IF(OR(AT627&lt;=0,AU627&lt;=0),"",LN(AT627)-LN(AU627))</f>
        <v/>
      </c>
      <c r="AZ627" s="46" t="n">
        <v>0.4</v>
      </c>
      <c r="BA627" s="46" t="n">
        <v>3.54</v>
      </c>
      <c r="BB627" s="47" t="n">
        <v>8.5</v>
      </c>
    </row>
    <row r="628">
      <c r="A628" s="48" t="n">
        <v>45918</v>
      </c>
      <c r="B628" s="49" t="n">
        <v>168435</v>
      </c>
      <c r="C628" s="50" t="n">
        <v>3.68</v>
      </c>
      <c r="D628" s="51" t="inlineStr">
        <is>
          <t>Good</t>
        </is>
      </c>
      <c r="E628" s="52" t="n">
        <v>22.1</v>
      </c>
      <c r="F628" s="52" t="n"/>
      <c r="G628" s="51" t="inlineStr">
        <is>
          <t>Thu</t>
        </is>
      </c>
      <c r="H628" s="51" t="inlineStr">
        <is>
          <t>Weekday</t>
        </is>
      </c>
      <c r="I628" s="51" t="inlineStr">
        <is>
          <t>Fall</t>
        </is>
      </c>
      <c r="J628" s="51" t="n">
        <v>25</v>
      </c>
      <c r="K628" s="51" t="inlineStr">
        <is>
          <t>강수량 공란</t>
        </is>
      </c>
      <c r="L628" s="46" t="n">
        <v>11.28</v>
      </c>
      <c r="M628" t="inlineStr">
        <is>
          <t>Good</t>
        </is>
      </c>
      <c r="N628" s="87" t="n">
        <v>25</v>
      </c>
      <c r="O628" s="87" t="n">
        <v>0</v>
      </c>
      <c r="P628" s="87" t="n">
        <v>0</v>
      </c>
      <c r="Q628" s="87" t="n">
        <v>0</v>
      </c>
      <c r="R628" s="87" t="n">
        <v>0</v>
      </c>
      <c r="S628" s="47" t="n">
        <v>2.6</v>
      </c>
      <c r="T628" s="47" t="n">
        <v>74.40000000000001</v>
      </c>
      <c r="U628" s="47" t="n"/>
      <c r="V628" s="87" t="n">
        <v>0</v>
      </c>
      <c r="W628" s="87" t="n">
        <v>0</v>
      </c>
      <c r="Y628" t="inlineStr">
        <is>
          <t>Sep</t>
        </is>
      </c>
      <c r="Z628" s="87" t="n">
        <v>2025</v>
      </c>
      <c r="AA628" s="47">
        <f>IF(F628="",0,F628)</f>
        <v/>
      </c>
      <c r="AB628" s="87">
        <f>IF(AA628&gt;=0.1,1,0)</f>
        <v/>
      </c>
      <c r="AC628" s="87" t="n">
        <v>0</v>
      </c>
      <c r="AD628" s="47">
        <f>IF(U628="",0,U628)</f>
        <v/>
      </c>
      <c r="AE628" s="87">
        <f>IF(OR(V628=1,W628=1),1,0)</f>
        <v/>
      </c>
      <c r="AF628" s="87" t="n">
        <v>0</v>
      </c>
      <c r="AG628" t="n">
        <v>11847</v>
      </c>
      <c r="AH628" t="n">
        <v>156588</v>
      </c>
      <c r="AI628" t="n">
        <v>0</v>
      </c>
      <c r="AJ628" s="88">
        <f>IF(OR(AG628&lt;=0,AH628&lt;=0),"",LN(AG628)-LN(AH628))</f>
        <v/>
      </c>
      <c r="AK628" t="n">
        <v>28331</v>
      </c>
      <c r="AL628" t="n">
        <v>140104</v>
      </c>
      <c r="AM628" s="88">
        <f>IF(OR(AK628&lt;=0,AL628&lt;=0),"",LN(AK628)-LN(AL628))</f>
        <v/>
      </c>
      <c r="AN628" t="n">
        <v>9520</v>
      </c>
      <c r="AO628" t="n">
        <v>149947</v>
      </c>
      <c r="AP628" s="88">
        <f>IF(OR(AN628&lt;=0,AO628&lt;=0),"",LN(AN628)-LN(AO628))</f>
        <v/>
      </c>
      <c r="AQ628" t="n">
        <v>11544</v>
      </c>
      <c r="AR628" t="n">
        <v>156588</v>
      </c>
      <c r="AS628" s="88">
        <f>IF(OR(AQ628&lt;=0,AR628&lt;=0),"",LN(AQ628)-LN(AR628))</f>
        <v/>
      </c>
      <c r="AT628" t="n">
        <v>11012</v>
      </c>
      <c r="AU628" t="n">
        <v>156155</v>
      </c>
      <c r="AV628" t="n">
        <v>1254</v>
      </c>
      <c r="AW628" t="n">
        <v>1363</v>
      </c>
      <c r="AX628" t="n">
        <v>10360</v>
      </c>
      <c r="AY628" s="88">
        <f>IF(OR(AT628&lt;=0,AU628&lt;=0),"",LN(AT628)-LN(AU628))</f>
        <v/>
      </c>
      <c r="AZ628" s="46" t="n">
        <v>6.1</v>
      </c>
      <c r="BA628" s="46" t="n">
        <v>17.27</v>
      </c>
      <c r="BB628" s="47" t="n">
        <v>6.6</v>
      </c>
    </row>
    <row r="629">
      <c r="A629" s="48" t="n">
        <v>45919</v>
      </c>
      <c r="B629" s="49" t="n">
        <v>62548</v>
      </c>
      <c r="C629" s="50" t="n">
        <v>4.6</v>
      </c>
      <c r="D629" s="51" t="inlineStr">
        <is>
          <t>Good</t>
        </is>
      </c>
      <c r="E629" s="52" t="n">
        <v>19.4</v>
      </c>
      <c r="F629" s="52" t="n">
        <v>13.8</v>
      </c>
      <c r="G629" s="51" t="inlineStr">
        <is>
          <t>Fri</t>
        </is>
      </c>
      <c r="H629" s="51" t="inlineStr">
        <is>
          <t>Weekday</t>
        </is>
      </c>
      <c r="I629" s="51" t="inlineStr">
        <is>
          <t>Fall</t>
        </is>
      </c>
      <c r="J629" s="51" t="n">
        <v>25</v>
      </c>
      <c r="K629" s="51" t="inlineStr">
        <is>
          <t>OK</t>
        </is>
      </c>
      <c r="L629" s="46" t="n">
        <v>12.36</v>
      </c>
      <c r="M629" t="inlineStr">
        <is>
          <t>Good</t>
        </is>
      </c>
      <c r="N629" s="87" t="n">
        <v>25</v>
      </c>
      <c r="O629" s="87" t="n">
        <v>0</v>
      </c>
      <c r="P629" s="87" t="n">
        <v>0</v>
      </c>
      <c r="Q629" s="87" t="n">
        <v>0</v>
      </c>
      <c r="R629" s="87" t="n">
        <v>0</v>
      </c>
      <c r="S629" s="47" t="n">
        <v>2.8</v>
      </c>
      <c r="T629" s="47" t="n">
        <v>82</v>
      </c>
      <c r="U629" s="47" t="n"/>
      <c r="V629" s="87" t="n">
        <v>0</v>
      </c>
      <c r="W629" s="87" t="n">
        <v>0</v>
      </c>
      <c r="Y629" t="inlineStr">
        <is>
          <t>Sep</t>
        </is>
      </c>
      <c r="Z629" s="87" t="n">
        <v>2025</v>
      </c>
      <c r="AA629" s="47">
        <f>IF(F629="",0,F629)</f>
        <v/>
      </c>
      <c r="AB629" s="87">
        <f>IF(AA629&gt;=0.1,1,0)</f>
        <v/>
      </c>
      <c r="AC629" s="87" t="n">
        <v>0</v>
      </c>
      <c r="AD629" s="47">
        <f>IF(U629="",0,U629)</f>
        <v/>
      </c>
      <c r="AE629" s="87">
        <f>IF(OR(V629=1,W629=1),1,0)</f>
        <v/>
      </c>
      <c r="AF629" s="87" t="n">
        <v>0</v>
      </c>
      <c r="AG629" t="n">
        <v>3534</v>
      </c>
      <c r="AH629" t="n">
        <v>59014</v>
      </c>
      <c r="AI629" t="n">
        <v>0</v>
      </c>
      <c r="AJ629" s="88">
        <f>IF(OR(AG629&lt;=0,AH629&lt;=0),"",LN(AG629)-LN(AH629))</f>
        <v/>
      </c>
      <c r="AK629" t="n">
        <v>8961</v>
      </c>
      <c r="AL629" t="n">
        <v>53587</v>
      </c>
      <c r="AM629" s="88">
        <f>IF(OR(AK629&lt;=0,AL629&lt;=0),"",LN(AK629)-LN(AL629))</f>
        <v/>
      </c>
      <c r="AN629" t="n">
        <v>3146</v>
      </c>
      <c r="AO629" t="n">
        <v>56727</v>
      </c>
      <c r="AP629" s="88">
        <f>IF(OR(AN629&lt;=0,AO629&lt;=0),"",LN(AN629)-LN(AO629))</f>
        <v/>
      </c>
      <c r="AQ629" t="n">
        <v>3425</v>
      </c>
      <c r="AR629" t="n">
        <v>59014</v>
      </c>
      <c r="AS629" s="88">
        <f>IF(OR(AQ629&lt;=0,AR629&lt;=0),"",LN(AQ629)-LN(AR629))</f>
        <v/>
      </c>
      <c r="AT629" t="n">
        <v>2930</v>
      </c>
      <c r="AU629" t="n">
        <v>59113</v>
      </c>
      <c r="AV629" t="n">
        <v>503</v>
      </c>
      <c r="AW629" t="n">
        <v>196</v>
      </c>
      <c r="AX629" t="n">
        <v>3311</v>
      </c>
      <c r="AY629" s="88">
        <f>IF(OR(AT629&lt;=0,AU629&lt;=0),"",LN(AT629)-LN(AU629))</f>
        <v/>
      </c>
      <c r="AZ629" s="46" t="n">
        <v>0</v>
      </c>
      <c r="BA629" s="46" t="n">
        <v>4.73</v>
      </c>
      <c r="BB629" s="47" t="n">
        <v>9.9</v>
      </c>
    </row>
    <row r="630">
      <c r="A630" s="48" t="n">
        <v>45920</v>
      </c>
      <c r="B630" s="49" t="n">
        <v>112489</v>
      </c>
      <c r="C630" s="50" t="n">
        <v>2.6</v>
      </c>
      <c r="D630" s="51" t="inlineStr">
        <is>
          <t>Good</t>
        </is>
      </c>
      <c r="E630" s="52" t="n">
        <v>20</v>
      </c>
      <c r="F630" s="52" t="n">
        <v>35.3</v>
      </c>
      <c r="G630" s="51" t="inlineStr">
        <is>
          <t>Sat</t>
        </is>
      </c>
      <c r="H630" s="51" t="inlineStr">
        <is>
          <t>Weekend</t>
        </is>
      </c>
      <c r="I630" s="51" t="inlineStr">
        <is>
          <t>Fall</t>
        </is>
      </c>
      <c r="J630" s="51" t="n">
        <v>25</v>
      </c>
      <c r="K630" s="51" t="inlineStr">
        <is>
          <t>OK</t>
        </is>
      </c>
      <c r="L630" s="46" t="n">
        <v>5.88</v>
      </c>
      <c r="M630" t="inlineStr">
        <is>
          <t>Good</t>
        </is>
      </c>
      <c r="N630" s="87" t="n">
        <v>25</v>
      </c>
      <c r="O630" s="87" t="n">
        <v>0</v>
      </c>
      <c r="P630" s="87" t="n">
        <v>0</v>
      </c>
      <c r="Q630" s="87" t="n">
        <v>0</v>
      </c>
      <c r="R630" s="87" t="n">
        <v>0</v>
      </c>
      <c r="S630" s="47" t="n">
        <v>1.8</v>
      </c>
      <c r="T630" s="47" t="n">
        <v>85.40000000000001</v>
      </c>
      <c r="U630" s="47" t="n"/>
      <c r="V630" s="87" t="n">
        <v>1</v>
      </c>
      <c r="W630" s="87" t="n">
        <v>0</v>
      </c>
      <c r="Y630" t="inlineStr">
        <is>
          <t>Sep</t>
        </is>
      </c>
      <c r="Z630" s="87" t="n">
        <v>2025</v>
      </c>
      <c r="AA630" s="47">
        <f>IF(F630="",0,F630)</f>
        <v/>
      </c>
      <c r="AB630" s="87">
        <f>IF(AA630&gt;=0.1,1,0)</f>
        <v/>
      </c>
      <c r="AC630" s="87" t="n">
        <v>0</v>
      </c>
      <c r="AD630" s="47">
        <f>IF(U630="",0,U630)</f>
        <v/>
      </c>
      <c r="AE630" s="87">
        <f>IF(OR(V630=1,W630=1),1,0)</f>
        <v/>
      </c>
      <c r="AF630" s="87" t="n">
        <v>0</v>
      </c>
      <c r="AG630" t="n">
        <v>10896</v>
      </c>
      <c r="AH630" t="n">
        <v>101593</v>
      </c>
      <c r="AI630" t="n">
        <v>0</v>
      </c>
      <c r="AJ630" s="88">
        <f>IF(OR(AG630&lt;=0,AH630&lt;=0),"",LN(AG630)-LN(AH630))</f>
        <v/>
      </c>
      <c r="AK630" t="n">
        <v>22548</v>
      </c>
      <c r="AL630" t="n">
        <v>89941</v>
      </c>
      <c r="AM630" s="88">
        <f>IF(OR(AK630&lt;=0,AL630&lt;=0),"",LN(AK630)-LN(AL630))</f>
        <v/>
      </c>
      <c r="AN630" t="n">
        <v>8433</v>
      </c>
      <c r="AO630" t="n">
        <v>97452</v>
      </c>
      <c r="AP630" s="88">
        <f>IF(OR(AN630&lt;=0,AO630&lt;=0),"",LN(AN630)-LN(AO630))</f>
        <v/>
      </c>
      <c r="AQ630" t="n">
        <v>10635</v>
      </c>
      <c r="AR630" t="n">
        <v>101593</v>
      </c>
      <c r="AS630" s="88">
        <f>IF(OR(AQ630&lt;=0,AR630&lt;=0),"",LN(AQ630)-LN(AR630))</f>
        <v/>
      </c>
      <c r="AT630" t="n">
        <v>10718</v>
      </c>
      <c r="AU630" t="n">
        <v>100886</v>
      </c>
      <c r="AV630" t="n">
        <v>887</v>
      </c>
      <c r="AW630" t="n">
        <v>1730</v>
      </c>
      <c r="AX630" t="n">
        <v>9053</v>
      </c>
      <c r="AY630" s="88">
        <f>IF(OR(AT630&lt;=0,AU630&lt;=0),"",LN(AT630)-LN(AU630))</f>
        <v/>
      </c>
      <c r="AZ630" s="46" t="n">
        <v>1.2</v>
      </c>
      <c r="BA630" s="46" t="n">
        <v>8.41</v>
      </c>
      <c r="BB630" s="47" t="n">
        <v>8.9</v>
      </c>
    </row>
    <row r="631">
      <c r="A631" s="48" t="n">
        <v>45921</v>
      </c>
      <c r="B631" s="49" t="n">
        <v>146259</v>
      </c>
      <c r="C631" s="50" t="n">
        <v>2.6</v>
      </c>
      <c r="D631" s="51" t="inlineStr">
        <is>
          <t>Good</t>
        </is>
      </c>
      <c r="E631" s="52" t="n">
        <v>21.6</v>
      </c>
      <c r="F631" s="52" t="n"/>
      <c r="G631" s="51" t="inlineStr">
        <is>
          <t>Sun</t>
        </is>
      </c>
      <c r="H631" s="51" t="inlineStr">
        <is>
          <t>Weekend</t>
        </is>
      </c>
      <c r="I631" s="51" t="inlineStr">
        <is>
          <t>Fall</t>
        </is>
      </c>
      <c r="J631" s="51" t="n">
        <v>25</v>
      </c>
      <c r="K631" s="51" t="inlineStr">
        <is>
          <t>강수량 공란</t>
        </is>
      </c>
      <c r="L631" s="46" t="n">
        <v>6.84</v>
      </c>
      <c r="M631" t="inlineStr">
        <is>
          <t>Good</t>
        </is>
      </c>
      <c r="N631" s="87" t="n">
        <v>25</v>
      </c>
      <c r="O631" s="87" t="n">
        <v>0</v>
      </c>
      <c r="P631" s="87" t="n">
        <v>0</v>
      </c>
      <c r="Q631" s="87" t="n">
        <v>0</v>
      </c>
      <c r="R631" s="87" t="n">
        <v>0</v>
      </c>
      <c r="S631" s="47" t="n">
        <v>2.1</v>
      </c>
      <c r="T631" s="47" t="n">
        <v>67</v>
      </c>
      <c r="U631" s="47" t="n"/>
      <c r="V631" s="87" t="n">
        <v>1</v>
      </c>
      <c r="W631" s="87" t="n">
        <v>0</v>
      </c>
      <c r="Y631" t="inlineStr">
        <is>
          <t>Sep</t>
        </is>
      </c>
      <c r="Z631" s="87" t="n">
        <v>2025</v>
      </c>
      <c r="AA631" s="47">
        <f>IF(F631="",0,F631)</f>
        <v/>
      </c>
      <c r="AB631" s="87">
        <f>IF(AA631&gt;=0.1,1,0)</f>
        <v/>
      </c>
      <c r="AC631" s="87" t="n">
        <v>0</v>
      </c>
      <c r="AD631" s="47">
        <f>IF(U631="",0,U631)</f>
        <v/>
      </c>
      <c r="AE631" s="87">
        <f>IF(OR(V631=1,W631=1),1,0)</f>
        <v/>
      </c>
      <c r="AF631" s="87" t="n">
        <v>0</v>
      </c>
      <c r="AG631" t="n">
        <v>17300</v>
      </c>
      <c r="AH631" t="n">
        <v>128959</v>
      </c>
      <c r="AI631" t="n">
        <v>0</v>
      </c>
      <c r="AJ631" s="88">
        <f>IF(OR(AG631&lt;=0,AH631&lt;=0),"",LN(AG631)-LN(AH631))</f>
        <v/>
      </c>
      <c r="AK631" t="n">
        <v>32728</v>
      </c>
      <c r="AL631" t="n">
        <v>113531</v>
      </c>
      <c r="AM631" s="88">
        <f>IF(OR(AK631&lt;=0,AL631&lt;=0),"",LN(AK631)-LN(AL631))</f>
        <v/>
      </c>
      <c r="AN631" t="n">
        <v>12545</v>
      </c>
      <c r="AO631" t="n">
        <v>123732</v>
      </c>
      <c r="AP631" s="88">
        <f>IF(OR(AN631&lt;=0,AO631&lt;=0),"",LN(AN631)-LN(AO631))</f>
        <v/>
      </c>
      <c r="AQ631" t="n">
        <v>16840</v>
      </c>
      <c r="AR631" t="n">
        <v>128959</v>
      </c>
      <c r="AS631" s="88">
        <f>IF(OR(AQ631&lt;=0,AR631&lt;=0),"",LN(AQ631)-LN(AR631))</f>
        <v/>
      </c>
      <c r="AT631" t="n">
        <v>15166</v>
      </c>
      <c r="AU631" t="n">
        <v>129968</v>
      </c>
      <c r="AV631" t="n">
        <v>1126</v>
      </c>
      <c r="AW631" t="n">
        <v>2900</v>
      </c>
      <c r="AX631" t="n">
        <v>14162</v>
      </c>
      <c r="AY631" s="88">
        <f>IF(OR(AT631&lt;=0,AU631&lt;=0),"",LN(AT631)-LN(AU631))</f>
        <v/>
      </c>
      <c r="AZ631" s="46" t="n">
        <v>10.2</v>
      </c>
      <c r="BA631" s="46" t="n">
        <v>22.01</v>
      </c>
      <c r="BB631" s="47" t="n">
        <v>4.1</v>
      </c>
    </row>
    <row r="632">
      <c r="A632" s="48" t="n">
        <v>45922</v>
      </c>
      <c r="B632" s="49" t="n">
        <v>169397</v>
      </c>
      <c r="C632" s="50" t="n">
        <v>4.68</v>
      </c>
      <c r="D632" s="51" t="inlineStr">
        <is>
          <t>Good</t>
        </is>
      </c>
      <c r="E632" s="52" t="n">
        <v>21.3</v>
      </c>
      <c r="F632" s="52" t="n"/>
      <c r="G632" s="51" t="inlineStr">
        <is>
          <t>Mon</t>
        </is>
      </c>
      <c r="H632" s="51" t="inlineStr">
        <is>
          <t>Weekday</t>
        </is>
      </c>
      <c r="I632" s="51" t="inlineStr">
        <is>
          <t>Fall</t>
        </is>
      </c>
      <c r="J632" s="51" t="n">
        <v>25</v>
      </c>
      <c r="K632" s="51" t="inlineStr">
        <is>
          <t>강수량 공란</t>
        </is>
      </c>
      <c r="L632" s="46" t="n">
        <v>11.4</v>
      </c>
      <c r="M632" t="inlineStr">
        <is>
          <t>Good</t>
        </is>
      </c>
      <c r="N632" s="87" t="n">
        <v>25</v>
      </c>
      <c r="O632" s="87" t="n">
        <v>0</v>
      </c>
      <c r="P632" s="87" t="n">
        <v>0</v>
      </c>
      <c r="Q632" s="87" t="n">
        <v>0</v>
      </c>
      <c r="R632" s="87" t="n">
        <v>0</v>
      </c>
      <c r="S632" s="47" t="n">
        <v>2.5</v>
      </c>
      <c r="T632" s="47" t="n">
        <v>59.8</v>
      </c>
      <c r="U632" s="47" t="n"/>
      <c r="V632" s="87" t="n">
        <v>0</v>
      </c>
      <c r="W632" s="87" t="n">
        <v>0</v>
      </c>
      <c r="Y632" t="inlineStr">
        <is>
          <t>Sep</t>
        </is>
      </c>
      <c r="Z632" s="87" t="n">
        <v>2025</v>
      </c>
      <c r="AA632" s="47">
        <f>IF(F632="",0,F632)</f>
        <v/>
      </c>
      <c r="AB632" s="87">
        <f>IF(AA632&gt;=0.1,1,0)</f>
        <v/>
      </c>
      <c r="AC632" s="87" t="n">
        <v>0</v>
      </c>
      <c r="AD632" s="47">
        <f>IF(U632="",0,U632)</f>
        <v/>
      </c>
      <c r="AE632" s="87">
        <f>IF(OR(V632=1,W632=1),1,0)</f>
        <v/>
      </c>
      <c r="AF632" s="87" t="n">
        <v>0</v>
      </c>
      <c r="AG632" t="n">
        <v>11692</v>
      </c>
      <c r="AH632" t="n">
        <v>157705</v>
      </c>
      <c r="AI632" t="n">
        <v>0</v>
      </c>
      <c r="AJ632" s="88">
        <f>IF(OR(AG632&lt;=0,AH632&lt;=0),"",LN(AG632)-LN(AH632))</f>
        <v/>
      </c>
      <c r="AK632" t="n">
        <v>28416</v>
      </c>
      <c r="AL632" t="n">
        <v>140981</v>
      </c>
      <c r="AM632" s="88">
        <f>IF(OR(AK632&lt;=0,AL632&lt;=0),"",LN(AK632)-LN(AL632))</f>
        <v/>
      </c>
      <c r="AN632" t="n">
        <v>9359</v>
      </c>
      <c r="AO632" t="n">
        <v>150809</v>
      </c>
      <c r="AP632" s="88">
        <f>IF(OR(AN632&lt;=0,AO632&lt;=0),"",LN(AN632)-LN(AO632))</f>
        <v/>
      </c>
      <c r="AQ632" t="n">
        <v>11435</v>
      </c>
      <c r="AR632" t="n">
        <v>157705</v>
      </c>
      <c r="AS632" s="88">
        <f>IF(OR(AQ632&lt;=0,AR632&lt;=0),"",LN(AQ632)-LN(AR632))</f>
        <v/>
      </c>
      <c r="AT632" t="n">
        <v>10948</v>
      </c>
      <c r="AU632" t="n">
        <v>157253</v>
      </c>
      <c r="AV632" t="n">
        <v>1202</v>
      </c>
      <c r="AW632" t="n">
        <v>1277</v>
      </c>
      <c r="AX632" t="n">
        <v>10310</v>
      </c>
      <c r="AY632" s="88">
        <f>IF(OR(AT632&lt;=0,AU632&lt;=0),"",LN(AT632)-LN(AU632))</f>
        <v/>
      </c>
      <c r="AZ632" s="46" t="n">
        <v>4.3</v>
      </c>
      <c r="BA632" s="46" t="n">
        <v>14.98</v>
      </c>
      <c r="BB632" s="47" t="n">
        <v>8.800000000000001</v>
      </c>
    </row>
    <row r="633">
      <c r="A633" s="48" t="n">
        <v>45923</v>
      </c>
      <c r="B633" s="49" t="n">
        <v>173585</v>
      </c>
      <c r="C633" s="50" t="n">
        <v>5.68</v>
      </c>
      <c r="D633" s="51" t="inlineStr">
        <is>
          <t>Good</t>
        </is>
      </c>
      <c r="E633" s="52" t="n">
        <v>22.7</v>
      </c>
      <c r="F633" s="52" t="n">
        <v>0</v>
      </c>
      <c r="G633" s="51" t="inlineStr">
        <is>
          <t>Tue</t>
        </is>
      </c>
      <c r="H633" s="51" t="inlineStr">
        <is>
          <t>Weekday</t>
        </is>
      </c>
      <c r="I633" s="51" t="inlineStr">
        <is>
          <t>Fall</t>
        </is>
      </c>
      <c r="J633" s="51" t="n">
        <v>25</v>
      </c>
      <c r="K633" s="51" t="inlineStr">
        <is>
          <t>OK</t>
        </is>
      </c>
      <c r="L633" s="46" t="n">
        <v>13.56</v>
      </c>
      <c r="M633" t="inlineStr">
        <is>
          <t>Good</t>
        </is>
      </c>
      <c r="N633" s="87" t="n">
        <v>25</v>
      </c>
      <c r="O633" s="87" t="n">
        <v>0</v>
      </c>
      <c r="P633" s="87" t="n">
        <v>0</v>
      </c>
      <c r="Q633" s="87" t="n">
        <v>0</v>
      </c>
      <c r="R633" s="87" t="n">
        <v>0</v>
      </c>
      <c r="S633" s="47" t="n">
        <v>2.4</v>
      </c>
      <c r="T633" s="47" t="n">
        <v>56.5</v>
      </c>
      <c r="U633" s="47" t="n"/>
      <c r="V633" s="87" t="n">
        <v>0</v>
      </c>
      <c r="W633" s="87" t="n">
        <v>0</v>
      </c>
      <c r="Y633" t="inlineStr">
        <is>
          <t>Sep</t>
        </is>
      </c>
      <c r="Z633" s="87" t="n">
        <v>2025</v>
      </c>
      <c r="AA633" s="47">
        <f>IF(F633="",0,F633)</f>
        <v/>
      </c>
      <c r="AB633" s="87">
        <f>IF(AA633&gt;=0.1,1,0)</f>
        <v/>
      </c>
      <c r="AC633" s="87" t="n">
        <v>1</v>
      </c>
      <c r="AD633" s="47">
        <f>IF(U633="",0,U633)</f>
        <v/>
      </c>
      <c r="AE633" s="87">
        <f>IF(OR(V633=1,W633=1),1,0)</f>
        <v/>
      </c>
      <c r="AF633" s="87" t="n">
        <v>0</v>
      </c>
      <c r="AG633" t="n">
        <v>11709</v>
      </c>
      <c r="AH633" t="n">
        <v>161876</v>
      </c>
      <c r="AI633" t="n">
        <v>0</v>
      </c>
      <c r="AJ633" s="88">
        <f>IF(OR(AG633&lt;=0,AH633&lt;=0),"",LN(AG633)-LN(AH633))</f>
        <v/>
      </c>
      <c r="AK633" t="n">
        <v>28649</v>
      </c>
      <c r="AL633" t="n">
        <v>144936</v>
      </c>
      <c r="AM633" s="88">
        <f>IF(OR(AK633&lt;=0,AL633&lt;=0),"",LN(AK633)-LN(AL633))</f>
        <v/>
      </c>
      <c r="AN633" t="n">
        <v>9658</v>
      </c>
      <c r="AO633" t="n">
        <v>154945</v>
      </c>
      <c r="AP633" s="88">
        <f>IF(OR(AN633&lt;=0,AO633&lt;=0),"",LN(AN633)-LN(AO633))</f>
        <v/>
      </c>
      <c r="AQ633" t="n">
        <v>11415</v>
      </c>
      <c r="AR633" t="n">
        <v>161876</v>
      </c>
      <c r="AS633" s="88">
        <f>IF(OR(AQ633&lt;=0,AR633&lt;=0),"",LN(AQ633)-LN(AR633))</f>
        <v/>
      </c>
      <c r="AT633" t="n">
        <v>10977</v>
      </c>
      <c r="AU633" t="n">
        <v>161295</v>
      </c>
      <c r="AV633" t="n">
        <v>1316</v>
      </c>
      <c r="AW633" t="n">
        <v>1228</v>
      </c>
      <c r="AX633" t="n">
        <v>10339</v>
      </c>
      <c r="AY633" s="88">
        <f>IF(OR(AT633&lt;=0,AU633&lt;=0),"",LN(AT633)-LN(AU633))</f>
        <v/>
      </c>
      <c r="AZ633" s="46" t="n">
        <v>5.2</v>
      </c>
      <c r="BA633" s="46" t="n">
        <v>16.89</v>
      </c>
      <c r="BB633" s="47" t="n">
        <v>8.1</v>
      </c>
    </row>
    <row r="634">
      <c r="A634" s="48" t="n">
        <v>45924</v>
      </c>
      <c r="B634" s="49" t="n">
        <v>69984</v>
      </c>
      <c r="C634" s="50" t="n">
        <v>5.64</v>
      </c>
      <c r="D634" s="51" t="inlineStr">
        <is>
          <t>Good</t>
        </is>
      </c>
      <c r="E634" s="52" t="n">
        <v>22</v>
      </c>
      <c r="F634" s="52" t="n">
        <v>35.2</v>
      </c>
      <c r="G634" s="51" t="inlineStr">
        <is>
          <t>Wed</t>
        </is>
      </c>
      <c r="H634" s="51" t="inlineStr">
        <is>
          <t>Weekday</t>
        </is>
      </c>
      <c r="I634" s="51" t="inlineStr">
        <is>
          <t>Fall</t>
        </is>
      </c>
      <c r="J634" s="51" t="n">
        <v>25</v>
      </c>
      <c r="K634" s="51" t="inlineStr">
        <is>
          <t>OK</t>
        </is>
      </c>
      <c r="L634" s="46" t="n">
        <v>12.12</v>
      </c>
      <c r="M634" t="inlineStr">
        <is>
          <t>Good</t>
        </is>
      </c>
      <c r="N634" s="87" t="n">
        <v>25</v>
      </c>
      <c r="O634" s="87" t="n">
        <v>0</v>
      </c>
      <c r="P634" s="87" t="n">
        <v>0</v>
      </c>
      <c r="Q634" s="87" t="n">
        <v>0</v>
      </c>
      <c r="R634" s="87" t="n">
        <v>0</v>
      </c>
      <c r="S634" s="47" t="n">
        <v>2.1</v>
      </c>
      <c r="T634" s="47" t="n">
        <v>81.8</v>
      </c>
      <c r="U634" s="47" t="n"/>
      <c r="V634" s="87" t="n">
        <v>0</v>
      </c>
      <c r="W634" s="87" t="n">
        <v>0</v>
      </c>
      <c r="Y634" t="inlineStr">
        <is>
          <t>Sep</t>
        </is>
      </c>
      <c r="Z634" s="87" t="n">
        <v>2025</v>
      </c>
      <c r="AA634" s="47">
        <f>IF(F634="",0,F634)</f>
        <v/>
      </c>
      <c r="AB634" s="87">
        <f>IF(AA634&gt;=0.1,1,0)</f>
        <v/>
      </c>
      <c r="AC634" s="87" t="n">
        <v>0</v>
      </c>
      <c r="AD634" s="47">
        <f>IF(U634="",0,U634)</f>
        <v/>
      </c>
      <c r="AE634" s="87">
        <f>IF(OR(V634=1,W634=1),1,0)</f>
        <v/>
      </c>
      <c r="AF634" s="87" t="n">
        <v>0</v>
      </c>
      <c r="AG634" t="n">
        <v>3734</v>
      </c>
      <c r="AH634" t="n">
        <v>66250</v>
      </c>
      <c r="AI634" t="n">
        <v>0</v>
      </c>
      <c r="AJ634" s="88">
        <f>IF(OR(AG634&lt;=0,AH634&lt;=0),"",LN(AG634)-LN(AH634))</f>
        <v/>
      </c>
      <c r="AK634" t="n">
        <v>9716</v>
      </c>
      <c r="AL634" t="n">
        <v>60268</v>
      </c>
      <c r="AM634" s="88">
        <f>IF(OR(AK634&lt;=0,AL634&lt;=0),"",LN(AK634)-LN(AL634))</f>
        <v/>
      </c>
      <c r="AN634" t="n">
        <v>3421</v>
      </c>
      <c r="AO634" t="n">
        <v>63538</v>
      </c>
      <c r="AP634" s="88">
        <f>IF(OR(AN634&lt;=0,AO634&lt;=0),"",LN(AN634)-LN(AO634))</f>
        <v/>
      </c>
      <c r="AQ634" t="n">
        <v>3629</v>
      </c>
      <c r="AR634" t="n">
        <v>66250</v>
      </c>
      <c r="AS634" s="88">
        <f>IF(OR(AQ634&lt;=0,AR634&lt;=0),"",LN(AQ634)-LN(AR634))</f>
        <v/>
      </c>
      <c r="AT634" t="n">
        <v>3033</v>
      </c>
      <c r="AU634" t="n">
        <v>66447</v>
      </c>
      <c r="AV634" t="n">
        <v>508</v>
      </c>
      <c r="AW634" t="n">
        <v>249</v>
      </c>
      <c r="AX634" t="n">
        <v>3452</v>
      </c>
      <c r="AY634" s="88">
        <f>IF(OR(AT634&lt;=0,AU634&lt;=0),"",LN(AT634)-LN(AU634))</f>
        <v/>
      </c>
      <c r="AZ634" s="46" t="n">
        <v>0.1</v>
      </c>
      <c r="BA634" s="46" t="n">
        <v>2.84</v>
      </c>
      <c r="BB634" s="47" t="n">
        <v>8.300000000000001</v>
      </c>
    </row>
    <row r="635">
      <c r="A635" s="48" t="n">
        <v>45925</v>
      </c>
      <c r="B635" s="49" t="n">
        <v>157347</v>
      </c>
      <c r="C635" s="50" t="n">
        <v>8.720000000000001</v>
      </c>
      <c r="D635" s="51" t="inlineStr">
        <is>
          <t>Good</t>
        </is>
      </c>
      <c r="E635" s="52" t="n">
        <v>22.5</v>
      </c>
      <c r="F635" s="52" t="n">
        <v>0.3</v>
      </c>
      <c r="G635" s="51" t="inlineStr">
        <is>
          <t>Thu</t>
        </is>
      </c>
      <c r="H635" s="51" t="inlineStr">
        <is>
          <t>Weekday</t>
        </is>
      </c>
      <c r="I635" s="51" t="inlineStr">
        <is>
          <t>Fall</t>
        </is>
      </c>
      <c r="J635" s="51" t="n">
        <v>25</v>
      </c>
      <c r="K635" s="51" t="inlineStr">
        <is>
          <t>OK</t>
        </is>
      </c>
      <c r="L635" s="46" t="n">
        <v>16.8</v>
      </c>
      <c r="M635" t="inlineStr">
        <is>
          <t>Good</t>
        </is>
      </c>
      <c r="N635" s="87" t="n">
        <v>25</v>
      </c>
      <c r="O635" s="87" t="n">
        <v>0</v>
      </c>
      <c r="P635" s="87" t="n">
        <v>0</v>
      </c>
      <c r="Q635" s="87" t="n">
        <v>0</v>
      </c>
      <c r="R635" s="87" t="n">
        <v>0</v>
      </c>
      <c r="S635" s="47" t="n">
        <v>1.4</v>
      </c>
      <c r="T635" s="47" t="n">
        <v>80</v>
      </c>
      <c r="U635" s="47" t="n"/>
      <c r="V635" s="87" t="n">
        <v>0</v>
      </c>
      <c r="W635" s="87" t="n">
        <v>0</v>
      </c>
      <c r="Y635" t="inlineStr">
        <is>
          <t>Sep</t>
        </is>
      </c>
      <c r="Z635" s="87" t="n">
        <v>2025</v>
      </c>
      <c r="AA635" s="47">
        <f>IF(F635="",0,F635)</f>
        <v/>
      </c>
      <c r="AB635" s="87">
        <f>IF(AA635&gt;=0.1,1,0)</f>
        <v/>
      </c>
      <c r="AC635" s="87" t="n">
        <v>0</v>
      </c>
      <c r="AD635" s="47">
        <f>IF(U635="",0,U635)</f>
        <v/>
      </c>
      <c r="AE635" s="87">
        <f>IF(OR(V635=1,W635=1),1,0)</f>
        <v/>
      </c>
      <c r="AF635" s="87" t="n">
        <v>0</v>
      </c>
      <c r="AG635" t="n">
        <v>10038</v>
      </c>
      <c r="AH635" t="n">
        <v>147309</v>
      </c>
      <c r="AI635" t="n">
        <v>0</v>
      </c>
      <c r="AJ635" s="88">
        <f>IF(OR(AG635&lt;=0,AH635&lt;=0),"",LN(AG635)-LN(AH635))</f>
        <v/>
      </c>
      <c r="AK635" t="n">
        <v>25496</v>
      </c>
      <c r="AL635" t="n">
        <v>131851</v>
      </c>
      <c r="AM635" s="88">
        <f>IF(OR(AK635&lt;=0,AL635&lt;=0),"",LN(AK635)-LN(AL635))</f>
        <v/>
      </c>
      <c r="AN635" t="n">
        <v>8327</v>
      </c>
      <c r="AO635" t="n">
        <v>140760</v>
      </c>
      <c r="AP635" s="88">
        <f>IF(OR(AN635&lt;=0,AO635&lt;=0),"",LN(AN635)-LN(AO635))</f>
        <v/>
      </c>
      <c r="AQ635" t="n">
        <v>9820</v>
      </c>
      <c r="AR635" t="n">
        <v>147309</v>
      </c>
      <c r="AS635" s="88">
        <f>IF(OR(AQ635&lt;=0,AR635&lt;=0),"",LN(AQ635)-LN(AR635))</f>
        <v/>
      </c>
      <c r="AT635" t="n">
        <v>10412</v>
      </c>
      <c r="AU635" t="n">
        <v>145648</v>
      </c>
      <c r="AV635" t="n">
        <v>1288</v>
      </c>
      <c r="AW635" t="n">
        <v>1025</v>
      </c>
      <c r="AX635" t="n">
        <v>8900</v>
      </c>
      <c r="AY635" s="88">
        <f>IF(OR(AT635&lt;=0,AU635&lt;=0),"",LN(AT635)-LN(AU635))</f>
        <v/>
      </c>
      <c r="AZ635" s="46" t="n">
        <v>5.5</v>
      </c>
      <c r="BA635" s="46" t="n">
        <v>13.81</v>
      </c>
      <c r="BB635" s="47" t="n">
        <v>6.1</v>
      </c>
    </row>
    <row r="636">
      <c r="A636" s="48" t="n">
        <v>45926</v>
      </c>
      <c r="B636" s="49" t="n">
        <v>176011</v>
      </c>
      <c r="C636" s="50" t="n">
        <v>18.28</v>
      </c>
      <c r="D636" s="51" t="inlineStr">
        <is>
          <t>Moderate</t>
        </is>
      </c>
      <c r="E636" s="52" t="n">
        <v>21.7</v>
      </c>
      <c r="F636" s="52" t="n"/>
      <c r="G636" s="51" t="inlineStr">
        <is>
          <t>Fri</t>
        </is>
      </c>
      <c r="H636" s="51" t="inlineStr">
        <is>
          <t>Weekday</t>
        </is>
      </c>
      <c r="I636" s="51" t="inlineStr">
        <is>
          <t>Fall</t>
        </is>
      </c>
      <c r="J636" s="51" t="n">
        <v>25</v>
      </c>
      <c r="K636" s="51" t="inlineStr">
        <is>
          <t>강수량 공란</t>
        </is>
      </c>
      <c r="L636" s="46" t="n">
        <v>29.08</v>
      </c>
      <c r="M636" t="inlineStr">
        <is>
          <t>Good</t>
        </is>
      </c>
      <c r="N636" s="87" t="n">
        <v>25</v>
      </c>
      <c r="O636" s="87" t="n">
        <v>0</v>
      </c>
      <c r="P636" s="87" t="n">
        <v>0</v>
      </c>
      <c r="Q636" s="87" t="n">
        <v>0</v>
      </c>
      <c r="R636" s="87" t="n">
        <v>0</v>
      </c>
      <c r="S636" s="47" t="n">
        <v>1.4</v>
      </c>
      <c r="T636" s="47" t="n">
        <v>78.09999999999999</v>
      </c>
      <c r="U636" s="47" t="n"/>
      <c r="V636" s="87" t="n">
        <v>0</v>
      </c>
      <c r="W636" s="87" t="n">
        <v>0</v>
      </c>
      <c r="Y636" t="inlineStr">
        <is>
          <t>Sep</t>
        </is>
      </c>
      <c r="Z636" s="87" t="n">
        <v>2025</v>
      </c>
      <c r="AA636" s="47">
        <f>IF(F636="",0,F636)</f>
        <v/>
      </c>
      <c r="AB636" s="87">
        <f>IF(AA636&gt;=0.1,1,0)</f>
        <v/>
      </c>
      <c r="AC636" s="87" t="n">
        <v>0</v>
      </c>
      <c r="AD636" s="47">
        <f>IF(U636="",0,U636)</f>
        <v/>
      </c>
      <c r="AE636" s="87">
        <f>IF(OR(V636=1,W636=1),1,0)</f>
        <v/>
      </c>
      <c r="AF636" s="87" t="n">
        <v>0</v>
      </c>
      <c r="AG636" t="n">
        <v>12112</v>
      </c>
      <c r="AH636" t="n">
        <v>163899</v>
      </c>
      <c r="AI636" t="n">
        <v>0</v>
      </c>
      <c r="AJ636" s="88">
        <f>IF(OR(AG636&lt;=0,AH636&lt;=0),"",LN(AG636)-LN(AH636))</f>
        <v/>
      </c>
      <c r="AK636" t="n">
        <v>29482</v>
      </c>
      <c r="AL636" t="n">
        <v>146529</v>
      </c>
      <c r="AM636" s="88">
        <f>IF(OR(AK636&lt;=0,AL636&lt;=0),"",LN(AK636)-LN(AL636))</f>
        <v/>
      </c>
      <c r="AN636" t="n">
        <v>9968</v>
      </c>
      <c r="AO636" t="n">
        <v>156929</v>
      </c>
      <c r="AP636" s="88">
        <f>IF(OR(AN636&lt;=0,AO636&lt;=0),"",LN(AN636)-LN(AO636))</f>
        <v/>
      </c>
      <c r="AQ636" t="n">
        <v>11828</v>
      </c>
      <c r="AR636" t="n">
        <v>163899</v>
      </c>
      <c r="AS636" s="88">
        <f>IF(OR(AQ636&lt;=0,AR636&lt;=0),"",LN(AQ636)-LN(AR636))</f>
        <v/>
      </c>
      <c r="AT636" t="n">
        <v>11662</v>
      </c>
      <c r="AU636" t="n">
        <v>162984</v>
      </c>
      <c r="AV636" t="n">
        <v>1363</v>
      </c>
      <c r="AW636" t="n">
        <v>1276</v>
      </c>
      <c r="AX636" t="n">
        <v>10721</v>
      </c>
      <c r="AY636" s="88">
        <f>IF(OR(AT636&lt;=0,AU636&lt;=0),"",LN(AT636)-LN(AU636))</f>
        <v/>
      </c>
      <c r="AZ636" s="46" t="n">
        <v>8.1</v>
      </c>
      <c r="BA636" s="46" t="n">
        <v>18.53</v>
      </c>
      <c r="BB636" s="47" t="n">
        <v>3</v>
      </c>
    </row>
    <row r="637">
      <c r="A637" s="48" t="n">
        <v>45927</v>
      </c>
      <c r="B637" s="49" t="n">
        <v>153156</v>
      </c>
      <c r="C637" s="50" t="n">
        <v>16.48</v>
      </c>
      <c r="D637" s="51" t="inlineStr">
        <is>
          <t>Moderate</t>
        </is>
      </c>
      <c r="E637" s="52" t="n">
        <v>22.5</v>
      </c>
      <c r="F637" s="52" t="n"/>
      <c r="G637" s="51" t="inlineStr">
        <is>
          <t>Sat</t>
        </is>
      </c>
      <c r="H637" s="51" t="inlineStr">
        <is>
          <t>Weekend</t>
        </is>
      </c>
      <c r="I637" s="51" t="inlineStr">
        <is>
          <t>Fall</t>
        </is>
      </c>
      <c r="J637" s="51" t="n">
        <v>25</v>
      </c>
      <c r="K637" s="51" t="inlineStr">
        <is>
          <t>강수량 공란</t>
        </is>
      </c>
      <c r="L637" s="46" t="n">
        <v>26.72</v>
      </c>
      <c r="M637" t="inlineStr">
        <is>
          <t>Good</t>
        </is>
      </c>
      <c r="N637" s="87" t="n">
        <v>25</v>
      </c>
      <c r="O637" s="87" t="n">
        <v>0</v>
      </c>
      <c r="P637" s="87" t="n">
        <v>0</v>
      </c>
      <c r="Q637" s="87" t="n">
        <v>0</v>
      </c>
      <c r="R637" s="87" t="n">
        <v>0</v>
      </c>
      <c r="S637" s="47" t="n">
        <v>1.9</v>
      </c>
      <c r="T637" s="47" t="n">
        <v>71.09999999999999</v>
      </c>
      <c r="U637" s="47" t="n"/>
      <c r="V637" s="87" t="n">
        <v>1</v>
      </c>
      <c r="W637" s="87" t="n">
        <v>0</v>
      </c>
      <c r="Y637" t="inlineStr">
        <is>
          <t>Sep</t>
        </is>
      </c>
      <c r="Z637" s="87" t="n">
        <v>2025</v>
      </c>
      <c r="AA637" s="47">
        <f>IF(F637="",0,F637)</f>
        <v/>
      </c>
      <c r="AB637" s="87">
        <f>IF(AA637&gt;=0.1,1,0)</f>
        <v/>
      </c>
      <c r="AC637" s="87" t="n">
        <v>0</v>
      </c>
      <c r="AD637" s="47">
        <f>IF(U637="",0,U637)</f>
        <v/>
      </c>
      <c r="AE637" s="87">
        <f>IF(OR(V637=1,W637=1),1,0)</f>
        <v/>
      </c>
      <c r="AF637" s="87" t="n">
        <v>0</v>
      </c>
      <c r="AG637" t="n">
        <v>14720</v>
      </c>
      <c r="AH637" t="n">
        <v>138436</v>
      </c>
      <c r="AI637" t="n">
        <v>0</v>
      </c>
      <c r="AJ637" s="88">
        <f>IF(OR(AG637&lt;=0,AH637&lt;=0),"",LN(AG637)-LN(AH637))</f>
        <v/>
      </c>
      <c r="AK637" t="n">
        <v>31299</v>
      </c>
      <c r="AL637" t="n">
        <v>121857</v>
      </c>
      <c r="AM637" s="88">
        <f>IF(OR(AK637&lt;=0,AL637&lt;=0),"",LN(AK637)-LN(AL637))</f>
        <v/>
      </c>
      <c r="AN637" t="n">
        <v>11454</v>
      </c>
      <c r="AO637" t="n">
        <v>132623</v>
      </c>
      <c r="AP637" s="88">
        <f>IF(OR(AN637&lt;=0,AO637&lt;=0),"",LN(AN637)-LN(AO637))</f>
        <v/>
      </c>
      <c r="AQ637" t="n">
        <v>14183</v>
      </c>
      <c r="AR637" t="n">
        <v>138436</v>
      </c>
      <c r="AS637" s="88">
        <f>IF(OR(AQ637&lt;=0,AR637&lt;=0),"",LN(AQ637)-LN(AR637))</f>
        <v/>
      </c>
      <c r="AT637" t="n">
        <v>14123</v>
      </c>
      <c r="AU637" t="n">
        <v>137642</v>
      </c>
      <c r="AV637" t="n">
        <v>1389</v>
      </c>
      <c r="AW637" t="n">
        <v>2285</v>
      </c>
      <c r="AX637" t="n">
        <v>12254</v>
      </c>
      <c r="AY637" s="88">
        <f>IF(OR(AT637&lt;=0,AU637&lt;=0),"",LN(AT637)-LN(AU637))</f>
        <v/>
      </c>
      <c r="AZ637" s="46" t="n">
        <v>8.300000000000001</v>
      </c>
      <c r="BA637" s="46" t="n">
        <v>16.5</v>
      </c>
      <c r="BB637" s="47" t="n">
        <v>4</v>
      </c>
    </row>
    <row r="638">
      <c r="A638" s="48" t="n">
        <v>45928</v>
      </c>
      <c r="B638" s="49" t="n">
        <v>77624</v>
      </c>
      <c r="C638" s="50" t="n">
        <v>10.04</v>
      </c>
      <c r="D638" s="51" t="inlineStr">
        <is>
          <t>Good</t>
        </is>
      </c>
      <c r="E638" s="52" t="n">
        <v>20</v>
      </c>
      <c r="F638" s="52" t="n">
        <v>44.5</v>
      </c>
      <c r="G638" s="51" t="inlineStr">
        <is>
          <t>Sun</t>
        </is>
      </c>
      <c r="H638" s="51" t="inlineStr">
        <is>
          <t>Weekend</t>
        </is>
      </c>
      <c r="I638" s="51" t="inlineStr">
        <is>
          <t>Fall</t>
        </is>
      </c>
      <c r="J638" s="51" t="n">
        <v>25</v>
      </c>
      <c r="K638" s="51" t="inlineStr">
        <is>
          <t>OK</t>
        </is>
      </c>
      <c r="L638" s="46" t="n">
        <v>15</v>
      </c>
      <c r="M638" t="inlineStr">
        <is>
          <t>Good</t>
        </is>
      </c>
      <c r="N638" s="87" t="n">
        <v>25</v>
      </c>
      <c r="O638" s="87" t="n">
        <v>0</v>
      </c>
      <c r="P638" s="87" t="n">
        <v>0</v>
      </c>
      <c r="Q638" s="87" t="n">
        <v>0</v>
      </c>
      <c r="R638" s="87" t="n">
        <v>0</v>
      </c>
      <c r="S638" s="47" t="n">
        <v>1.7</v>
      </c>
      <c r="T638" s="47" t="n">
        <v>85.59999999999999</v>
      </c>
      <c r="U638" s="47" t="n"/>
      <c r="V638" s="87" t="n">
        <v>1</v>
      </c>
      <c r="W638" s="87" t="n">
        <v>0</v>
      </c>
      <c r="Y638" t="inlineStr">
        <is>
          <t>Sep</t>
        </is>
      </c>
      <c r="Z638" s="87" t="n">
        <v>2025</v>
      </c>
      <c r="AA638" s="47">
        <f>IF(F638="",0,F638)</f>
        <v/>
      </c>
      <c r="AB638" s="87">
        <f>IF(AA638&gt;=0.1,1,0)</f>
        <v/>
      </c>
      <c r="AC638" s="87" t="n">
        <v>0</v>
      </c>
      <c r="AD638" s="47">
        <f>IF(U638="",0,U638)</f>
        <v/>
      </c>
      <c r="AE638" s="87">
        <f>IF(OR(V638=1,W638=1),1,0)</f>
        <v/>
      </c>
      <c r="AF638" s="87" t="n">
        <v>0</v>
      </c>
      <c r="AG638" t="n">
        <v>6736</v>
      </c>
      <c r="AH638" t="n">
        <v>70888</v>
      </c>
      <c r="AI638" t="n">
        <v>0</v>
      </c>
      <c r="AJ638" s="88">
        <f>IF(OR(AG638&lt;=0,AH638&lt;=0),"",LN(AG638)-LN(AH638))</f>
        <v/>
      </c>
      <c r="AK638" t="n">
        <v>14177</v>
      </c>
      <c r="AL638" t="n">
        <v>63447</v>
      </c>
      <c r="AM638" s="88">
        <f>IF(OR(AK638&lt;=0,AL638&lt;=0),"",LN(AK638)-LN(AL638))</f>
        <v/>
      </c>
      <c r="AN638" t="n">
        <v>5240</v>
      </c>
      <c r="AO638" t="n">
        <v>68180</v>
      </c>
      <c r="AP638" s="88">
        <f>IF(OR(AN638&lt;=0,AO638&lt;=0),"",LN(AN638)-LN(AO638))</f>
        <v/>
      </c>
      <c r="AQ638" t="n">
        <v>6556</v>
      </c>
      <c r="AR638" t="n">
        <v>70888</v>
      </c>
      <c r="AS638" s="88">
        <f>IF(OR(AQ638&lt;=0,AR638&lt;=0),"",LN(AQ638)-LN(AR638))</f>
        <v/>
      </c>
      <c r="AT638" t="n">
        <v>7736</v>
      </c>
      <c r="AU638" t="n">
        <v>69301</v>
      </c>
      <c r="AV638" t="n">
        <v>589</v>
      </c>
      <c r="AW638" t="n">
        <v>1052</v>
      </c>
      <c r="AX638" t="n">
        <v>5622</v>
      </c>
      <c r="AY638" s="88">
        <f>IF(OR(AT638&lt;=0,AU638&lt;=0),"",LN(AT638)-LN(AU638))</f>
        <v/>
      </c>
      <c r="AZ638" s="46" t="n">
        <v>0.9</v>
      </c>
      <c r="BA638" s="46" t="n">
        <v>5.86</v>
      </c>
      <c r="BB638" s="47" t="n">
        <v>9.1</v>
      </c>
    </row>
    <row r="639">
      <c r="A639" s="48" t="n">
        <v>45929</v>
      </c>
      <c r="B639" s="49" t="n">
        <v>168318</v>
      </c>
      <c r="C639" s="50" t="n">
        <v>17.32</v>
      </c>
      <c r="D639" s="51" t="inlineStr">
        <is>
          <t>Moderate</t>
        </is>
      </c>
      <c r="E639" s="52" t="n">
        <v>19.6</v>
      </c>
      <c r="F639" s="52" t="n"/>
      <c r="G639" s="51" t="inlineStr">
        <is>
          <t>Mon</t>
        </is>
      </c>
      <c r="H639" s="51" t="inlineStr">
        <is>
          <t>Weekday</t>
        </is>
      </c>
      <c r="I639" s="51" t="inlineStr">
        <is>
          <t>Fall</t>
        </is>
      </c>
      <c r="J639" s="51" t="n">
        <v>25</v>
      </c>
      <c r="K639" s="51" t="inlineStr">
        <is>
          <t>강수량 공란</t>
        </is>
      </c>
      <c r="L639" s="46" t="n">
        <v>27.76</v>
      </c>
      <c r="M639" t="inlineStr">
        <is>
          <t>Good</t>
        </is>
      </c>
      <c r="N639" s="87" t="n">
        <v>25</v>
      </c>
      <c r="O639" s="87" t="n">
        <v>0</v>
      </c>
      <c r="P639" s="87" t="n">
        <v>0</v>
      </c>
      <c r="Q639" s="87" t="n">
        <v>0</v>
      </c>
      <c r="R639" s="87" t="n">
        <v>0</v>
      </c>
      <c r="S639" s="47" t="n">
        <v>1.5</v>
      </c>
      <c r="T639" s="47" t="n">
        <v>77.8</v>
      </c>
      <c r="U639" s="47" t="n"/>
      <c r="V639" s="87" t="n">
        <v>0</v>
      </c>
      <c r="W639" s="87" t="n">
        <v>0</v>
      </c>
      <c r="Y639" t="inlineStr">
        <is>
          <t>Sep</t>
        </is>
      </c>
      <c r="Z639" s="87" t="n">
        <v>2025</v>
      </c>
      <c r="AA639" s="47">
        <f>IF(F639="",0,F639)</f>
        <v/>
      </c>
      <c r="AB639" s="87">
        <f>IF(AA639&gt;=0.1,1,0)</f>
        <v/>
      </c>
      <c r="AC639" s="87" t="n">
        <v>0</v>
      </c>
      <c r="AD639" s="47">
        <f>IF(U639="",0,U639)</f>
        <v/>
      </c>
      <c r="AE639" s="87">
        <f>IF(OR(V639=1,W639=1),1,0)</f>
        <v/>
      </c>
      <c r="AF639" s="87" t="n">
        <v>0</v>
      </c>
      <c r="AG639" t="n">
        <v>11082</v>
      </c>
      <c r="AH639" t="n">
        <v>157236</v>
      </c>
      <c r="AI639" t="n">
        <v>0</v>
      </c>
      <c r="AJ639" s="88">
        <f>IF(OR(AG639&lt;=0,AH639&lt;=0),"",LN(AG639)-LN(AH639))</f>
        <v/>
      </c>
      <c r="AK639" t="n">
        <v>26990</v>
      </c>
      <c r="AL639" t="n">
        <v>141328</v>
      </c>
      <c r="AM639" s="88">
        <f>IF(OR(AK639&lt;=0,AL639&lt;=0),"",LN(AK639)-LN(AL639))</f>
        <v/>
      </c>
      <c r="AN639" t="n">
        <v>9190</v>
      </c>
      <c r="AO639" t="n">
        <v>150687</v>
      </c>
      <c r="AP639" s="88">
        <f>IF(OR(AN639&lt;=0,AO639&lt;=0),"",LN(AN639)-LN(AO639))</f>
        <v/>
      </c>
      <c r="AQ639" t="n">
        <v>10785</v>
      </c>
      <c r="AR639" t="n">
        <v>157236</v>
      </c>
      <c r="AS639" s="88">
        <f>IF(OR(AQ639&lt;=0,AR639&lt;=0),"",LN(AQ639)-LN(AR639))</f>
        <v/>
      </c>
      <c r="AT639" t="n">
        <v>11029</v>
      </c>
      <c r="AU639" t="n">
        <v>156079</v>
      </c>
      <c r="AV639" t="n">
        <v>1213</v>
      </c>
      <c r="AW639" t="n">
        <v>1174</v>
      </c>
      <c r="AX639" t="n">
        <v>9795</v>
      </c>
      <c r="AY639" s="88">
        <f>IF(OR(AT639&lt;=0,AU639&lt;=0),"",LN(AT639)-LN(AU639))</f>
        <v/>
      </c>
      <c r="AZ639" s="46" t="n">
        <v>4.9</v>
      </c>
      <c r="BA639" s="46" t="n">
        <v>11.97</v>
      </c>
      <c r="BB639" s="47" t="n">
        <v>4</v>
      </c>
    </row>
    <row r="640">
      <c r="A640" s="48" t="n">
        <v>45930</v>
      </c>
      <c r="B640" s="49" t="n">
        <v>170955</v>
      </c>
      <c r="C640" s="50" t="n">
        <v>20.72</v>
      </c>
      <c r="D640" s="51" t="inlineStr">
        <is>
          <t>Moderate</t>
        </is>
      </c>
      <c r="E640" s="52" t="n">
        <v>19.8</v>
      </c>
      <c r="F640" s="52" t="n"/>
      <c r="G640" s="51" t="inlineStr">
        <is>
          <t>Tue</t>
        </is>
      </c>
      <c r="H640" s="51" t="inlineStr">
        <is>
          <t>Weekday</t>
        </is>
      </c>
      <c r="I640" s="51" t="inlineStr">
        <is>
          <t>Fall</t>
        </is>
      </c>
      <c r="J640" s="51" t="n">
        <v>25</v>
      </c>
      <c r="K640" s="51" t="inlineStr">
        <is>
          <t>강수량 공란</t>
        </is>
      </c>
      <c r="L640" s="46" t="n">
        <v>32.72</v>
      </c>
      <c r="M640" t="inlineStr">
        <is>
          <t>Moderate</t>
        </is>
      </c>
      <c r="N640" s="87" t="n">
        <v>25</v>
      </c>
      <c r="O640" s="87" t="n">
        <v>0</v>
      </c>
      <c r="P640" s="87" t="n">
        <v>0</v>
      </c>
      <c r="Q640" s="87" t="n">
        <v>0</v>
      </c>
      <c r="R640" s="87" t="n">
        <v>0</v>
      </c>
      <c r="S640" s="47" t="n">
        <v>1.4</v>
      </c>
      <c r="T640" s="47" t="n">
        <v>81.3</v>
      </c>
      <c r="U640" s="47" t="n"/>
      <c r="V640" s="87" t="n">
        <v>0</v>
      </c>
      <c r="W640" s="87" t="n">
        <v>0</v>
      </c>
      <c r="Y640" t="inlineStr">
        <is>
          <t>Sep</t>
        </is>
      </c>
      <c r="Z640" s="87" t="n">
        <v>2025</v>
      </c>
      <c r="AA640" s="47">
        <f>IF(F640="",0,F640)</f>
        <v/>
      </c>
      <c r="AB640" s="87">
        <f>IF(AA640&gt;=0.1,1,0)</f>
        <v/>
      </c>
      <c r="AC640" s="87" t="n">
        <v>0</v>
      </c>
      <c r="AD640" s="47">
        <f>IF(U640="",0,U640)</f>
        <v/>
      </c>
      <c r="AE640" s="87">
        <f>IF(OR(V640=1,W640=1),1,0)</f>
        <v/>
      </c>
      <c r="AF640" s="87" t="n">
        <v>0</v>
      </c>
      <c r="AG640" t="n">
        <v>10947</v>
      </c>
      <c r="AH640" t="n">
        <v>160008</v>
      </c>
      <c r="AI640" t="n">
        <v>0</v>
      </c>
      <c r="AJ640" s="88">
        <f>IF(OR(AG640&lt;=0,AH640&lt;=0),"",LN(AG640)-LN(AH640))</f>
        <v/>
      </c>
      <c r="AK640" t="n">
        <v>27104</v>
      </c>
      <c r="AL640" t="n">
        <v>143851</v>
      </c>
      <c r="AM640" s="88">
        <f>IF(OR(AK640&lt;=0,AL640&lt;=0),"",LN(AK640)-LN(AL640))</f>
        <v/>
      </c>
      <c r="AN640" t="n">
        <v>8974</v>
      </c>
      <c r="AO640" t="n">
        <v>153299</v>
      </c>
      <c r="AP640" s="88">
        <f>IF(OR(AN640&lt;=0,AO640&lt;=0),"",LN(AN640)-LN(AO640))</f>
        <v/>
      </c>
      <c r="AQ640" t="n">
        <v>10696</v>
      </c>
      <c r="AR640" t="n">
        <v>160008</v>
      </c>
      <c r="AS640" s="88">
        <f>IF(OR(AQ640&lt;=0,AR640&lt;=0),"",LN(AQ640)-LN(AR640))</f>
        <v/>
      </c>
      <c r="AT640" t="n">
        <v>11138</v>
      </c>
      <c r="AU640" t="n">
        <v>158532</v>
      </c>
      <c r="AV640" t="n">
        <v>1285</v>
      </c>
      <c r="AW640" t="n">
        <v>1246</v>
      </c>
      <c r="AX640" t="n">
        <v>9613</v>
      </c>
      <c r="AY640" s="88">
        <f>IF(OR(AT640&lt;=0,AU640&lt;=0),"",LN(AT640)-LN(AU640))</f>
        <v/>
      </c>
      <c r="AZ640" s="46" t="n">
        <v>1.2</v>
      </c>
      <c r="BA640" s="46" t="n">
        <v>8.56</v>
      </c>
      <c r="BB640" s="47" t="n">
        <v>6.1</v>
      </c>
    </row>
    <row r="641">
      <c r="A641" s="48" t="n">
        <v>45931</v>
      </c>
      <c r="B641" s="49" t="n">
        <v>169645</v>
      </c>
      <c r="C641" s="50" t="n">
        <v>19.88</v>
      </c>
      <c r="D641" s="51" t="inlineStr">
        <is>
          <t>Moderate</t>
        </is>
      </c>
      <c r="E641" s="52" t="n">
        <v>20.5</v>
      </c>
      <c r="F641" s="52" t="n"/>
      <c r="G641" s="51" t="inlineStr">
        <is>
          <t>Wed</t>
        </is>
      </c>
      <c r="H641" s="51" t="inlineStr">
        <is>
          <t>Weekday</t>
        </is>
      </c>
      <c r="I641" s="51" t="inlineStr">
        <is>
          <t>Fall</t>
        </is>
      </c>
      <c r="J641" s="51" t="n">
        <v>25</v>
      </c>
      <c r="K641" s="51" t="inlineStr">
        <is>
          <t>강수량 공란</t>
        </is>
      </c>
      <c r="L641" s="46" t="n">
        <v>30.4</v>
      </c>
      <c r="M641" t="inlineStr">
        <is>
          <t>Moderate</t>
        </is>
      </c>
      <c r="N641" s="87" t="n">
        <v>25</v>
      </c>
      <c r="O641" s="87" t="n">
        <v>0</v>
      </c>
      <c r="P641" s="87" t="n">
        <v>0</v>
      </c>
      <c r="Q641" s="87" t="n">
        <v>0</v>
      </c>
      <c r="R641" s="87" t="n">
        <v>0</v>
      </c>
      <c r="S641" s="47" t="n">
        <v>1.7</v>
      </c>
      <c r="T641" s="47" t="n">
        <v>78.09999999999999</v>
      </c>
      <c r="U641" s="47" t="n"/>
      <c r="V641" s="87" t="n">
        <v>0</v>
      </c>
      <c r="W641" s="87" t="n">
        <v>0</v>
      </c>
      <c r="Y641" t="inlineStr">
        <is>
          <t>Oct</t>
        </is>
      </c>
      <c r="Z641" s="87" t="n">
        <v>2025</v>
      </c>
      <c r="AA641" s="47">
        <f>IF(F641="",0,F641)</f>
        <v/>
      </c>
      <c r="AB641" s="87">
        <f>IF(AA641&gt;=0.1,1,0)</f>
        <v/>
      </c>
      <c r="AC641" s="87" t="n">
        <v>0</v>
      </c>
      <c r="AD641" s="47">
        <f>IF(U641="",0,U641)</f>
        <v/>
      </c>
      <c r="AE641" s="87">
        <f>IF(OR(V641=1,W641=1),1,0)</f>
        <v/>
      </c>
      <c r="AF641" s="87" t="n">
        <v>0</v>
      </c>
      <c r="AG641" t="n">
        <v>11140</v>
      </c>
      <c r="AH641" t="n">
        <v>158505</v>
      </c>
      <c r="AI641" t="n">
        <v>0</v>
      </c>
      <c r="AJ641" s="88">
        <f>IF(OR(AG641&lt;=0,AH641&lt;=0),"",LN(AG641)-LN(AH641))</f>
        <v/>
      </c>
      <c r="AK641" t="n">
        <v>26970</v>
      </c>
      <c r="AL641" t="n">
        <v>142675</v>
      </c>
      <c r="AM641" s="88">
        <f>IF(OR(AK641&lt;=0,AL641&lt;=0),"",LN(AK641)-LN(AL641))</f>
        <v/>
      </c>
      <c r="AN641" t="n">
        <v>9058</v>
      </c>
      <c r="AO641" t="n">
        <v>151844</v>
      </c>
      <c r="AP641" s="88">
        <f>IF(OR(AN641&lt;=0,AO641&lt;=0),"",LN(AN641)-LN(AO641))</f>
        <v/>
      </c>
      <c r="AQ641" t="n">
        <v>10851</v>
      </c>
      <c r="AR641" t="n">
        <v>158505</v>
      </c>
      <c r="AS641" s="88">
        <f>IF(OR(AQ641&lt;=0,AR641&lt;=0),"",LN(AQ641)-LN(AR641))</f>
        <v/>
      </c>
      <c r="AT641" t="n">
        <v>10896</v>
      </c>
      <c r="AU641" t="n">
        <v>157537</v>
      </c>
      <c r="AV641" t="n">
        <v>1212</v>
      </c>
      <c r="AW641" t="n">
        <v>1251</v>
      </c>
      <c r="AX641" t="n">
        <v>9789</v>
      </c>
      <c r="AY641" s="88">
        <f>IF(OR(AT641&lt;=0,AU641&lt;=0),"",LN(AT641)-LN(AU641))</f>
        <v/>
      </c>
      <c r="AZ641" s="46" t="n">
        <v>4.7</v>
      </c>
      <c r="BA641" s="46" t="n">
        <v>12.23</v>
      </c>
      <c r="BB641" s="47" t="n">
        <v>4.8</v>
      </c>
    </row>
    <row r="642">
      <c r="A642" s="48" t="n">
        <v>45932</v>
      </c>
      <c r="B642" s="49" t="n">
        <v>175021</v>
      </c>
      <c r="C642" s="50" t="n">
        <v>17.28</v>
      </c>
      <c r="D642" s="51" t="inlineStr">
        <is>
          <t>Moderate</t>
        </is>
      </c>
      <c r="E642" s="52" t="n">
        <v>21.4</v>
      </c>
      <c r="F642" s="52" t="n"/>
      <c r="G642" s="51" t="inlineStr">
        <is>
          <t>Thu</t>
        </is>
      </c>
      <c r="H642" s="51" t="inlineStr">
        <is>
          <t>Weekday</t>
        </is>
      </c>
      <c r="I642" s="51" t="inlineStr">
        <is>
          <t>Fall</t>
        </is>
      </c>
      <c r="J642" s="51" t="n">
        <v>25</v>
      </c>
      <c r="K642" s="51" t="inlineStr">
        <is>
          <t>강수량 공란</t>
        </is>
      </c>
      <c r="L642" s="46" t="n">
        <v>28.08</v>
      </c>
      <c r="M642" t="inlineStr">
        <is>
          <t>Good</t>
        </is>
      </c>
      <c r="N642" s="87" t="n">
        <v>25</v>
      </c>
      <c r="O642" s="87" t="n">
        <v>0</v>
      </c>
      <c r="P642" s="87" t="n">
        <v>0</v>
      </c>
      <c r="Q642" s="87" t="n">
        <v>0</v>
      </c>
      <c r="R642" s="87" t="n">
        <v>0</v>
      </c>
      <c r="S642" s="47" t="n">
        <v>1.5</v>
      </c>
      <c r="T642" s="47" t="n">
        <v>74.5</v>
      </c>
      <c r="U642" s="47" t="n"/>
      <c r="V642" s="87" t="n">
        <v>0</v>
      </c>
      <c r="W642" s="87" t="n">
        <v>0</v>
      </c>
      <c r="Y642" t="inlineStr">
        <is>
          <t>Oct</t>
        </is>
      </c>
      <c r="Z642" s="87" t="n">
        <v>2025</v>
      </c>
      <c r="AA642" s="47">
        <f>IF(F642="",0,F642)</f>
        <v/>
      </c>
      <c r="AB642" s="87">
        <f>IF(AA642&gt;=0.1,1,0)</f>
        <v/>
      </c>
      <c r="AC642" s="87" t="n">
        <v>0</v>
      </c>
      <c r="AD642" s="47">
        <f>IF(U642="",0,U642)</f>
        <v/>
      </c>
      <c r="AE642" s="87">
        <f>IF(OR(V642=1,W642=1),1,0)</f>
        <v/>
      </c>
      <c r="AF642" s="87" t="n">
        <v>0</v>
      </c>
      <c r="AG642" t="n">
        <v>11828</v>
      </c>
      <c r="AH642" t="n">
        <v>163193</v>
      </c>
      <c r="AI642" t="n">
        <v>0</v>
      </c>
      <c r="AJ642" s="88">
        <f>IF(OR(AG642&lt;=0,AH642&lt;=0),"",LN(AG642)-LN(AH642))</f>
        <v/>
      </c>
      <c r="AK642" t="n">
        <v>28642</v>
      </c>
      <c r="AL642" t="n">
        <v>146379</v>
      </c>
      <c r="AM642" s="88">
        <f>IF(OR(AK642&lt;=0,AL642&lt;=0),"",LN(AK642)-LN(AL642))</f>
        <v/>
      </c>
      <c r="AN642" t="n">
        <v>9620</v>
      </c>
      <c r="AO642" t="n">
        <v>156287</v>
      </c>
      <c r="AP642" s="88">
        <f>IF(OR(AN642&lt;=0,AO642&lt;=0),"",LN(AN642)-LN(AO642))</f>
        <v/>
      </c>
      <c r="AQ642" t="n">
        <v>11542</v>
      </c>
      <c r="AR642" t="n">
        <v>163193</v>
      </c>
      <c r="AS642" s="88">
        <f>IF(OR(AQ642&lt;=0,AR642&lt;=0),"",LN(AQ642)-LN(AR642))</f>
        <v/>
      </c>
      <c r="AT642" t="n">
        <v>11974</v>
      </c>
      <c r="AU642" t="n">
        <v>161773</v>
      </c>
      <c r="AV642" t="n">
        <v>1274</v>
      </c>
      <c r="AW642" t="n">
        <v>1370</v>
      </c>
      <c r="AX642" t="n">
        <v>10341</v>
      </c>
      <c r="AY642" s="88">
        <f>IF(OR(AT642&lt;=0,AU642&lt;=0),"",LN(AT642)-LN(AU642))</f>
        <v/>
      </c>
      <c r="AZ642" s="46" t="n">
        <v>5.7</v>
      </c>
      <c r="BA642" s="46" t="n">
        <v>13.94</v>
      </c>
      <c r="BB642" s="47" t="n">
        <v>9</v>
      </c>
    </row>
    <row r="643">
      <c r="A643" s="48" t="n">
        <v>45933</v>
      </c>
      <c r="B643" s="49" t="n">
        <v>89958</v>
      </c>
      <c r="C643" s="50" t="n">
        <v>16.12</v>
      </c>
      <c r="D643" s="51" t="inlineStr">
        <is>
          <t>Moderate</t>
        </is>
      </c>
      <c r="E643" s="52" t="n">
        <v>21.2</v>
      </c>
      <c r="F643" s="52" t="n">
        <v>0.8</v>
      </c>
      <c r="G643" s="51" t="inlineStr">
        <is>
          <t>Fri</t>
        </is>
      </c>
      <c r="H643" s="51" t="inlineStr">
        <is>
          <t>Weekday</t>
        </is>
      </c>
      <c r="I643" s="51" t="inlineStr">
        <is>
          <t>Fall</t>
        </is>
      </c>
      <c r="J643" s="51" t="n">
        <v>25</v>
      </c>
      <c r="K643" s="51" t="inlineStr">
        <is>
          <t>OK</t>
        </is>
      </c>
      <c r="L643" s="46" t="n">
        <v>24.36</v>
      </c>
      <c r="M643" t="inlineStr">
        <is>
          <t>Good</t>
        </is>
      </c>
      <c r="N643" s="87" t="n">
        <v>25</v>
      </c>
      <c r="O643" s="87" t="n">
        <v>0</v>
      </c>
      <c r="P643" s="87" t="n">
        <v>0</v>
      </c>
      <c r="Q643" s="87" t="n">
        <v>0</v>
      </c>
      <c r="R643" s="87" t="n">
        <v>0</v>
      </c>
      <c r="S643" s="47" t="n">
        <v>2.4</v>
      </c>
      <c r="T643" s="47" t="n">
        <v>75.5</v>
      </c>
      <c r="U643" s="47" t="n"/>
      <c r="V643" s="87" t="n">
        <v>0</v>
      </c>
      <c r="W643" s="87" t="n">
        <v>1</v>
      </c>
      <c r="X643" t="inlineStr">
        <is>
          <t>개천절</t>
        </is>
      </c>
      <c r="Y643" t="inlineStr">
        <is>
          <t>Oct</t>
        </is>
      </c>
      <c r="Z643" s="87" t="n">
        <v>2025</v>
      </c>
      <c r="AA643" s="47">
        <f>IF(F643="",0,F643)</f>
        <v/>
      </c>
      <c r="AB643" s="87">
        <f>IF(AA643&gt;=0.1,1,0)</f>
        <v/>
      </c>
      <c r="AC643" s="87" t="n">
        <v>0</v>
      </c>
      <c r="AD643" s="47">
        <f>IF(U643="",0,U643)</f>
        <v/>
      </c>
      <c r="AE643" s="87">
        <f>IF(OR(V643=1,W643=1),1,0)</f>
        <v/>
      </c>
      <c r="AF643" s="87" t="n">
        <v>0</v>
      </c>
      <c r="AG643" t="n">
        <v>7755</v>
      </c>
      <c r="AH643" t="n">
        <v>82203</v>
      </c>
      <c r="AI643" t="n">
        <v>0</v>
      </c>
      <c r="AJ643" s="88">
        <f>IF(OR(AG643&lt;=0,AH643&lt;=0),"",LN(AG643)-LN(AH643))</f>
        <v/>
      </c>
      <c r="AK643" t="n">
        <v>16142</v>
      </c>
      <c r="AL643" t="n">
        <v>73816</v>
      </c>
      <c r="AM643" s="88">
        <f>IF(OR(AK643&lt;=0,AL643&lt;=0),"",LN(AK643)-LN(AL643))</f>
        <v/>
      </c>
      <c r="AN643" t="n">
        <v>5683</v>
      </c>
      <c r="AO643" t="n">
        <v>78942</v>
      </c>
      <c r="AP643" s="88">
        <f>IF(OR(AN643&lt;=0,AO643&lt;=0),"",LN(AN643)-LN(AO643))</f>
        <v/>
      </c>
      <c r="AQ643" t="n">
        <v>7553</v>
      </c>
      <c r="AR643" t="n">
        <v>82203</v>
      </c>
      <c r="AS643" s="88">
        <f>IF(OR(AQ643&lt;=0,AR643&lt;=0),"",LN(AQ643)-LN(AR643))</f>
        <v/>
      </c>
      <c r="AT643" t="n">
        <v>8779</v>
      </c>
      <c r="AU643" t="n">
        <v>80579</v>
      </c>
      <c r="AV643" t="n">
        <v>600</v>
      </c>
      <c r="AW643" t="n">
        <v>1331</v>
      </c>
      <c r="AX643" t="n">
        <v>6345</v>
      </c>
      <c r="AY643" s="88">
        <f>IF(OR(AT643&lt;=0,AU643&lt;=0),"",LN(AT643)-LN(AU643))</f>
        <v/>
      </c>
      <c r="AZ643" s="46" t="n">
        <v>0</v>
      </c>
      <c r="BA643" s="46" t="n">
        <v>5.64</v>
      </c>
      <c r="BB643" s="47" t="n">
        <v>9.6</v>
      </c>
    </row>
    <row r="644">
      <c r="A644" s="48" t="n">
        <v>45934</v>
      </c>
      <c r="B644" s="49" t="n">
        <v>113200</v>
      </c>
      <c r="C644" s="50" t="n">
        <v>5.04</v>
      </c>
      <c r="D644" s="51" t="inlineStr">
        <is>
          <t>Good</t>
        </is>
      </c>
      <c r="E644" s="52" t="n">
        <v>22.5</v>
      </c>
      <c r="F644" s="52" t="n">
        <v>0</v>
      </c>
      <c r="G644" s="51" t="inlineStr">
        <is>
          <t>Sat</t>
        </is>
      </c>
      <c r="H644" s="51" t="inlineStr">
        <is>
          <t>Weekend</t>
        </is>
      </c>
      <c r="I644" s="51" t="inlineStr">
        <is>
          <t>Fall</t>
        </is>
      </c>
      <c r="J644" s="51" t="n">
        <v>25</v>
      </c>
      <c r="K644" s="51" t="inlineStr">
        <is>
          <t>OK</t>
        </is>
      </c>
      <c r="L644" s="46" t="n">
        <v>10.24</v>
      </c>
      <c r="M644" t="inlineStr">
        <is>
          <t>Good</t>
        </is>
      </c>
      <c r="N644" s="87" t="n">
        <v>25</v>
      </c>
      <c r="O644" s="87" t="n">
        <v>0</v>
      </c>
      <c r="P644" s="87" t="n">
        <v>0</v>
      </c>
      <c r="Q644" s="87" t="n">
        <v>0</v>
      </c>
      <c r="R644" s="87" t="n">
        <v>0</v>
      </c>
      <c r="S644" s="47" t="n">
        <v>1.9</v>
      </c>
      <c r="T644" s="47" t="n">
        <v>74.59999999999999</v>
      </c>
      <c r="U644" s="47" t="n"/>
      <c r="V644" s="87" t="n">
        <v>1</v>
      </c>
      <c r="W644" s="87" t="n">
        <v>0</v>
      </c>
      <c r="Y644" t="inlineStr">
        <is>
          <t>Oct</t>
        </is>
      </c>
      <c r="Z644" s="87" t="n">
        <v>2025</v>
      </c>
      <c r="AA644" s="47">
        <f>IF(F644="",0,F644)</f>
        <v/>
      </c>
      <c r="AB644" s="87">
        <f>IF(AA644&gt;=0.1,1,0)</f>
        <v/>
      </c>
      <c r="AC644" s="87" t="n">
        <v>1</v>
      </c>
      <c r="AD644" s="47">
        <f>IF(U644="",0,U644)</f>
        <v/>
      </c>
      <c r="AE644" s="87">
        <f>IF(OR(V644=1,W644=1),1,0)</f>
        <v/>
      </c>
      <c r="AF644" s="87" t="n">
        <v>0</v>
      </c>
      <c r="AG644" t="n">
        <v>10606</v>
      </c>
      <c r="AH644" t="n">
        <v>102594</v>
      </c>
      <c r="AI644" t="n">
        <v>0</v>
      </c>
      <c r="AJ644" s="88">
        <f>IF(OR(AG644&lt;=0,AH644&lt;=0),"",LN(AG644)-LN(AH644))</f>
        <v/>
      </c>
      <c r="AK644" t="n">
        <v>21482</v>
      </c>
      <c r="AL644" t="n">
        <v>91718</v>
      </c>
      <c r="AM644" s="88">
        <f>IF(OR(AK644&lt;=0,AL644&lt;=0),"",LN(AK644)-LN(AL644))</f>
        <v/>
      </c>
      <c r="AN644" t="n">
        <v>7739</v>
      </c>
      <c r="AO644" t="n">
        <v>98579</v>
      </c>
      <c r="AP644" s="88">
        <f>IF(OR(AN644&lt;=0,AO644&lt;=0),"",LN(AN644)-LN(AO644))</f>
        <v/>
      </c>
      <c r="AQ644" t="n">
        <v>10287</v>
      </c>
      <c r="AR644" t="n">
        <v>102594</v>
      </c>
      <c r="AS644" s="88">
        <f>IF(OR(AQ644&lt;=0,AR644&lt;=0),"",LN(AQ644)-LN(AR644))</f>
        <v/>
      </c>
      <c r="AT644" t="n">
        <v>11655</v>
      </c>
      <c r="AU644" t="n">
        <v>100781</v>
      </c>
      <c r="AV644" t="n">
        <v>764</v>
      </c>
      <c r="AW644" t="n">
        <v>1897</v>
      </c>
      <c r="AX644" t="n">
        <v>8585</v>
      </c>
      <c r="AY644" s="88">
        <f>IF(OR(AT644&lt;=0,AU644&lt;=0),"",LN(AT644)-LN(AU644))</f>
        <v/>
      </c>
      <c r="AZ644" s="46" t="n">
        <v>0.6</v>
      </c>
      <c r="BA644" s="46" t="n">
        <v>7.29</v>
      </c>
      <c r="BB644" s="47" t="n">
        <v>9.4</v>
      </c>
    </row>
    <row r="645">
      <c r="A645" s="48" t="n">
        <v>45935</v>
      </c>
      <c r="B645" s="49" t="n">
        <v>53622</v>
      </c>
      <c r="C645" s="50" t="n">
        <v>4.6</v>
      </c>
      <c r="D645" s="51" t="inlineStr">
        <is>
          <t>Good</t>
        </is>
      </c>
      <c r="E645" s="52" t="n">
        <v>21.4</v>
      </c>
      <c r="F645" s="52" t="n">
        <v>18.1</v>
      </c>
      <c r="G645" s="51" t="inlineStr">
        <is>
          <t>Sun</t>
        </is>
      </c>
      <c r="H645" s="51" t="inlineStr">
        <is>
          <t>Weekend</t>
        </is>
      </c>
      <c r="I645" s="51" t="inlineStr">
        <is>
          <t>Fall</t>
        </is>
      </c>
      <c r="J645" s="51" t="n">
        <v>25</v>
      </c>
      <c r="K645" s="51" t="inlineStr">
        <is>
          <t>OK</t>
        </is>
      </c>
      <c r="L645" s="46" t="n">
        <v>9.199999999999999</v>
      </c>
      <c r="M645" t="inlineStr">
        <is>
          <t>Good</t>
        </is>
      </c>
      <c r="N645" s="87" t="n">
        <v>25</v>
      </c>
      <c r="O645" s="87" t="n">
        <v>0</v>
      </c>
      <c r="P645" s="87" t="n">
        <v>0</v>
      </c>
      <c r="Q645" s="87" t="n">
        <v>0</v>
      </c>
      <c r="R645" s="87" t="n">
        <v>0</v>
      </c>
      <c r="S645" s="47" t="n">
        <v>1.6</v>
      </c>
      <c r="T645" s="47" t="n">
        <v>89.59999999999999</v>
      </c>
      <c r="U645" s="47" t="n"/>
      <c r="V645" s="87" t="n">
        <v>1</v>
      </c>
      <c r="W645" s="87" t="n">
        <v>1</v>
      </c>
      <c r="X645" t="inlineStr">
        <is>
          <t>추석 연휴</t>
        </is>
      </c>
      <c r="Y645" t="inlineStr">
        <is>
          <t>Oct</t>
        </is>
      </c>
      <c r="Z645" s="87" t="n">
        <v>2025</v>
      </c>
      <c r="AA645" s="47">
        <f>IF(F645="",0,F645)</f>
        <v/>
      </c>
      <c r="AB645" s="87">
        <f>IF(AA645&gt;=0.1,1,0)</f>
        <v/>
      </c>
      <c r="AC645" s="87" t="n">
        <v>0</v>
      </c>
      <c r="AD645" s="47">
        <f>IF(U645="",0,U645)</f>
        <v/>
      </c>
      <c r="AE645" s="87">
        <f>IF(OR(V645=1,W645=1),1,0)</f>
        <v/>
      </c>
      <c r="AF645" s="87" t="n">
        <v>0</v>
      </c>
      <c r="AG645" t="n">
        <v>4856</v>
      </c>
      <c r="AH645" t="n">
        <v>48766</v>
      </c>
      <c r="AI645" t="n">
        <v>0</v>
      </c>
      <c r="AJ645" s="88">
        <f>IF(OR(AG645&lt;=0,AH645&lt;=0),"",LN(AG645)-LN(AH645))</f>
        <v/>
      </c>
      <c r="AK645" t="n">
        <v>9941</v>
      </c>
      <c r="AL645" t="n">
        <v>43681</v>
      </c>
      <c r="AM645" s="88">
        <f>IF(OR(AK645&lt;=0,AL645&lt;=0),"",LN(AK645)-LN(AL645))</f>
        <v/>
      </c>
      <c r="AN645" t="n">
        <v>3632</v>
      </c>
      <c r="AO645" t="n">
        <v>46826</v>
      </c>
      <c r="AP645" s="88">
        <f>IF(OR(AN645&lt;=0,AO645&lt;=0),"",LN(AN645)-LN(AO645))</f>
        <v/>
      </c>
      <c r="AQ645" t="n">
        <v>4722</v>
      </c>
      <c r="AR645" t="n">
        <v>48766</v>
      </c>
      <c r="AS645" s="88">
        <f>IF(OR(AQ645&lt;=0,AR645&lt;=0),"",LN(AQ645)-LN(AR645))</f>
        <v/>
      </c>
      <c r="AT645" t="n">
        <v>5969</v>
      </c>
      <c r="AU645" t="n">
        <v>47290</v>
      </c>
      <c r="AV645" t="n">
        <v>364</v>
      </c>
      <c r="AW645" t="n">
        <v>872</v>
      </c>
      <c r="AX645" t="n">
        <v>3951</v>
      </c>
      <c r="AY645" s="88">
        <f>IF(OR(AT645&lt;=0,AU645&lt;=0),"",LN(AT645)-LN(AU645))</f>
        <v/>
      </c>
      <c r="AZ645" s="46" t="n">
        <v>0</v>
      </c>
      <c r="BA645" s="46" t="n">
        <v>2.85</v>
      </c>
      <c r="BB645" s="47" t="n">
        <v>9.6</v>
      </c>
    </row>
    <row r="646">
      <c r="A646" s="48" t="n">
        <v>45936</v>
      </c>
      <c r="B646" s="49" t="n">
        <v>10493</v>
      </c>
      <c r="C646" s="50" t="n">
        <v>2.08</v>
      </c>
      <c r="D646" s="51" t="inlineStr">
        <is>
          <t>Good</t>
        </is>
      </c>
      <c r="E646" s="52" t="n">
        <v>17.6</v>
      </c>
      <c r="F646" s="52" t="n">
        <v>36.8</v>
      </c>
      <c r="G646" s="51" t="inlineStr">
        <is>
          <t>Mon</t>
        </is>
      </c>
      <c r="H646" s="51" t="inlineStr">
        <is>
          <t>Weekday</t>
        </is>
      </c>
      <c r="I646" s="51" t="inlineStr">
        <is>
          <t>Fall</t>
        </is>
      </c>
      <c r="J646" s="51" t="n">
        <v>25</v>
      </c>
      <c r="K646" s="51" t="inlineStr">
        <is>
          <t>OK</t>
        </is>
      </c>
      <c r="L646" s="46" t="n">
        <v>5.68</v>
      </c>
      <c r="M646" t="inlineStr">
        <is>
          <t>Good</t>
        </is>
      </c>
      <c r="N646" s="87" t="n">
        <v>25</v>
      </c>
      <c r="O646" s="87" t="n">
        <v>0</v>
      </c>
      <c r="P646" s="87" t="n">
        <v>0</v>
      </c>
      <c r="Q646" s="87" t="n">
        <v>0</v>
      </c>
      <c r="R646" s="87" t="n">
        <v>0</v>
      </c>
      <c r="S646" s="47" t="n">
        <v>3.8</v>
      </c>
      <c r="T646" s="47" t="n">
        <v>93.8</v>
      </c>
      <c r="U646" s="47" t="n"/>
      <c r="V646" s="87" t="n">
        <v>0</v>
      </c>
      <c r="W646" s="87" t="n">
        <v>1</v>
      </c>
      <c r="X646" t="inlineStr">
        <is>
          <t>추석</t>
        </is>
      </c>
      <c r="Y646" t="inlineStr">
        <is>
          <t>Oct</t>
        </is>
      </c>
      <c r="Z646" s="87" t="n">
        <v>2025</v>
      </c>
      <c r="AA646" s="47">
        <f>IF(F646="",0,F646)</f>
        <v/>
      </c>
      <c r="AB646" s="87">
        <f>IF(AA646&gt;=0.1,1,0)</f>
        <v/>
      </c>
      <c r="AC646" s="87" t="n">
        <v>0</v>
      </c>
      <c r="AD646" s="47">
        <f>IF(U646="",0,U646)</f>
        <v/>
      </c>
      <c r="AE646" s="87">
        <f>IF(OR(V646=1,W646=1),1,0)</f>
        <v/>
      </c>
      <c r="AF646" s="87" t="n">
        <v>0</v>
      </c>
      <c r="AG646" t="n">
        <v>654</v>
      </c>
      <c r="AH646" t="n">
        <v>9839</v>
      </c>
      <c r="AI646" t="n">
        <v>0</v>
      </c>
      <c r="AJ646" s="88">
        <f>IF(OR(AG646&lt;=0,AH646&lt;=0),"",LN(AG646)-LN(AH646))</f>
        <v/>
      </c>
      <c r="AK646" t="n">
        <v>1471</v>
      </c>
      <c r="AL646" t="n">
        <v>9022</v>
      </c>
      <c r="AM646" s="88">
        <f>IF(OR(AK646&lt;=0,AL646&lt;=0),"",LN(AK646)-LN(AL646))</f>
        <v/>
      </c>
      <c r="AN646" t="n">
        <v>538</v>
      </c>
      <c r="AO646" t="n">
        <v>9460</v>
      </c>
      <c r="AP646" s="88">
        <f>IF(OR(AN646&lt;=0,AO646&lt;=0),"",LN(AN646)-LN(AO646))</f>
        <v/>
      </c>
      <c r="AQ646" t="n">
        <v>633</v>
      </c>
      <c r="AR646" t="n">
        <v>9839</v>
      </c>
      <c r="AS646" s="88">
        <f>IF(OR(AQ646&lt;=0,AR646&lt;=0),"",LN(AQ646)-LN(AR646))</f>
        <v/>
      </c>
      <c r="AT646" t="n">
        <v>846</v>
      </c>
      <c r="AU646" t="n">
        <v>9578</v>
      </c>
      <c r="AV646" t="n">
        <v>69</v>
      </c>
      <c r="AW646" t="n">
        <v>83</v>
      </c>
      <c r="AX646" t="n">
        <v>568</v>
      </c>
      <c r="AY646" s="88">
        <f>IF(OR(AT646&lt;=0,AU646&lt;=0),"",LN(AT646)-LN(AU646))</f>
        <v/>
      </c>
      <c r="AZ646" s="46" t="n">
        <v>0</v>
      </c>
      <c r="BA646" s="46" t="n">
        <v>2.17</v>
      </c>
      <c r="BB646" s="47" t="n">
        <v>10</v>
      </c>
    </row>
    <row r="647">
      <c r="A647" s="48" t="n">
        <v>45937</v>
      </c>
      <c r="B647" s="49" t="n">
        <v>26673</v>
      </c>
      <c r="C647" s="50" t="n">
        <v>1.56</v>
      </c>
      <c r="D647" s="51" t="inlineStr">
        <is>
          <t>Good</t>
        </is>
      </c>
      <c r="E647" s="52" t="n">
        <v>18.2</v>
      </c>
      <c r="F647" s="52" t="n">
        <v>7.1</v>
      </c>
      <c r="G647" s="51" t="inlineStr">
        <is>
          <t>Tue</t>
        </is>
      </c>
      <c r="H647" s="51" t="inlineStr">
        <is>
          <t>Weekday</t>
        </is>
      </c>
      <c r="I647" s="51" t="inlineStr">
        <is>
          <t>Fall</t>
        </is>
      </c>
      <c r="J647" s="51" t="n">
        <v>25</v>
      </c>
      <c r="K647" s="51" t="inlineStr">
        <is>
          <t>OK</t>
        </is>
      </c>
      <c r="L647" s="46" t="n">
        <v>3.96</v>
      </c>
      <c r="M647" t="inlineStr">
        <is>
          <t>Good</t>
        </is>
      </c>
      <c r="N647" s="87" t="n">
        <v>25</v>
      </c>
      <c r="O647" s="87" t="n">
        <v>0</v>
      </c>
      <c r="P647" s="87" t="n">
        <v>0</v>
      </c>
      <c r="Q647" s="87" t="n">
        <v>0</v>
      </c>
      <c r="R647" s="87" t="n">
        <v>0</v>
      </c>
      <c r="S647" s="47" t="n">
        <v>3.1</v>
      </c>
      <c r="T647" s="47" t="n">
        <v>94.90000000000001</v>
      </c>
      <c r="U647" s="47" t="n"/>
      <c r="V647" s="87" t="n">
        <v>0</v>
      </c>
      <c r="W647" s="87" t="n">
        <v>1</v>
      </c>
      <c r="X647" t="inlineStr">
        <is>
          <t>추석 연휴</t>
        </is>
      </c>
      <c r="Y647" t="inlineStr">
        <is>
          <t>Oct</t>
        </is>
      </c>
      <c r="Z647" s="87" t="n">
        <v>2025</v>
      </c>
      <c r="AA647" s="47">
        <f>IF(F647="",0,F647)</f>
        <v/>
      </c>
      <c r="AB647" s="87">
        <f>IF(AA647&gt;=0.1,1,0)</f>
        <v/>
      </c>
      <c r="AC647" s="87" t="n">
        <v>0</v>
      </c>
      <c r="AD647" s="47">
        <f>IF(U647="",0,U647)</f>
        <v/>
      </c>
      <c r="AE647" s="87">
        <f>IF(OR(V647=1,W647=1),1,0)</f>
        <v/>
      </c>
      <c r="AF647" s="87" t="n">
        <v>0</v>
      </c>
      <c r="AG647" t="n">
        <v>2263</v>
      </c>
      <c r="AH647" t="n">
        <v>24410</v>
      </c>
      <c r="AI647" t="n">
        <v>0</v>
      </c>
      <c r="AJ647" s="88">
        <f>IF(OR(AG647&lt;=0,AH647&lt;=0),"",LN(AG647)-LN(AH647))</f>
        <v/>
      </c>
      <c r="AK647" t="n">
        <v>4790</v>
      </c>
      <c r="AL647" t="n">
        <v>21883</v>
      </c>
      <c r="AM647" s="88">
        <f>IF(OR(AK647&lt;=0,AL647&lt;=0),"",LN(AK647)-LN(AL647))</f>
        <v/>
      </c>
      <c r="AN647" t="n">
        <v>1725</v>
      </c>
      <c r="AO647" t="n">
        <v>23498</v>
      </c>
      <c r="AP647" s="88">
        <f>IF(OR(AN647&lt;=0,AO647&lt;=0),"",LN(AN647)-LN(AO647))</f>
        <v/>
      </c>
      <c r="AQ647" t="n">
        <v>2202</v>
      </c>
      <c r="AR647" t="n">
        <v>24410</v>
      </c>
      <c r="AS647" s="88">
        <f>IF(OR(AQ647&lt;=0,AR647&lt;=0),"",LN(AQ647)-LN(AR647))</f>
        <v/>
      </c>
      <c r="AT647" t="n">
        <v>3089</v>
      </c>
      <c r="AU647" t="n">
        <v>23409</v>
      </c>
      <c r="AV647" t="n">
        <v>174</v>
      </c>
      <c r="AW647" t="n">
        <v>401</v>
      </c>
      <c r="AX647" t="n">
        <v>1840</v>
      </c>
      <c r="AY647" s="88">
        <f>IF(OR(AT647&lt;=0,AU647&lt;=0),"",LN(AT647)-LN(AU647))</f>
        <v/>
      </c>
      <c r="AZ647" s="46" t="n">
        <v>0</v>
      </c>
      <c r="BA647" s="46" t="n">
        <v>4.81</v>
      </c>
      <c r="BB647" s="47" t="n">
        <v>9.800000000000001</v>
      </c>
    </row>
    <row r="648">
      <c r="A648" s="48" t="n">
        <v>45938</v>
      </c>
      <c r="B648" s="49" t="n">
        <v>126692</v>
      </c>
      <c r="C648" s="50" t="n">
        <v>4.32</v>
      </c>
      <c r="D648" s="51" t="inlineStr">
        <is>
          <t>Good</t>
        </is>
      </c>
      <c r="E648" s="52" t="n">
        <v>21.9</v>
      </c>
      <c r="F648" s="52" t="n">
        <v>0</v>
      </c>
      <c r="G648" s="51" t="inlineStr">
        <is>
          <t>Wed</t>
        </is>
      </c>
      <c r="H648" s="51" t="inlineStr">
        <is>
          <t>Weekday</t>
        </is>
      </c>
      <c r="I648" s="51" t="inlineStr">
        <is>
          <t>Fall</t>
        </is>
      </c>
      <c r="J648" s="51" t="n">
        <v>25</v>
      </c>
      <c r="K648" s="51" t="inlineStr">
        <is>
          <t>OK</t>
        </is>
      </c>
      <c r="L648" s="46" t="n">
        <v>10.88</v>
      </c>
      <c r="M648" t="inlineStr">
        <is>
          <t>Good</t>
        </is>
      </c>
      <c r="N648" s="87" t="n">
        <v>25</v>
      </c>
      <c r="O648" s="87" t="n">
        <v>0</v>
      </c>
      <c r="P648" s="87" t="n">
        <v>0</v>
      </c>
      <c r="Q648" s="87" t="n">
        <v>0</v>
      </c>
      <c r="R648" s="87" t="n">
        <v>0</v>
      </c>
      <c r="S648" s="47" t="n">
        <v>1.4</v>
      </c>
      <c r="T648" s="47" t="n">
        <v>72.8</v>
      </c>
      <c r="U648" s="47" t="n"/>
      <c r="V648" s="87" t="n">
        <v>0</v>
      </c>
      <c r="W648" s="87" t="n">
        <v>1</v>
      </c>
      <c r="X648" t="inlineStr">
        <is>
          <t>추석 대체공휴일</t>
        </is>
      </c>
      <c r="Y648" t="inlineStr">
        <is>
          <t>Oct</t>
        </is>
      </c>
      <c r="Z648" s="87" t="n">
        <v>2025</v>
      </c>
      <c r="AA648" s="47">
        <f>IF(F648="",0,F648)</f>
        <v/>
      </c>
      <c r="AB648" s="87">
        <f>IF(AA648&gt;=0.1,1,0)</f>
        <v/>
      </c>
      <c r="AC648" s="87" t="n">
        <v>1</v>
      </c>
      <c r="AD648" s="47">
        <f>IF(U648="",0,U648)</f>
        <v/>
      </c>
      <c r="AE648" s="87">
        <f>IF(OR(V648=1,W648=1),1,0)</f>
        <v/>
      </c>
      <c r="AF648" s="87" t="n">
        <v>0</v>
      </c>
      <c r="AG648" t="n">
        <v>16465</v>
      </c>
      <c r="AH648" t="n">
        <v>110227</v>
      </c>
      <c r="AI648" t="n">
        <v>0</v>
      </c>
      <c r="AJ648" s="88">
        <f>IF(OR(AG648&lt;=0,AH648&lt;=0),"",LN(AG648)-LN(AH648))</f>
        <v/>
      </c>
      <c r="AK648" t="n">
        <v>29919</v>
      </c>
      <c r="AL648" t="n">
        <v>96773</v>
      </c>
      <c r="AM648" s="88">
        <f>IF(OR(AK648&lt;=0,AL648&lt;=0),"",LN(AK648)-LN(AL648))</f>
        <v/>
      </c>
      <c r="AN648" t="n">
        <v>11372</v>
      </c>
      <c r="AO648" t="n">
        <v>105828</v>
      </c>
      <c r="AP648" s="88">
        <f>IF(OR(AN648&lt;=0,AO648&lt;=0),"",LN(AN648)-LN(AO648))</f>
        <v/>
      </c>
      <c r="AQ648" t="n">
        <v>16042</v>
      </c>
      <c r="AR648" t="n">
        <v>110227</v>
      </c>
      <c r="AS648" s="88">
        <f>IF(OR(AQ648&lt;=0,AR648&lt;=0),"",LN(AQ648)-LN(AR648))</f>
        <v/>
      </c>
      <c r="AT648" t="n">
        <v>14314</v>
      </c>
      <c r="AU648" t="n">
        <v>111346</v>
      </c>
      <c r="AV648" t="n">
        <v>1032</v>
      </c>
      <c r="AW648" t="n">
        <v>3179</v>
      </c>
      <c r="AX648" t="n">
        <v>13035</v>
      </c>
      <c r="AY648" s="88">
        <f>IF(OR(AT648&lt;=0,AU648&lt;=0),"",LN(AT648)-LN(AU648))</f>
        <v/>
      </c>
      <c r="AZ648" s="46" t="n">
        <v>10.7</v>
      </c>
      <c r="BA648" s="46" t="n">
        <v>18.97</v>
      </c>
      <c r="BB648" s="47" t="n">
        <v>3.6</v>
      </c>
    </row>
    <row r="649">
      <c r="A649" s="48" t="n">
        <v>45939</v>
      </c>
      <c r="B649" s="49" t="n">
        <v>113031</v>
      </c>
      <c r="C649" s="50" t="n">
        <v>4.64</v>
      </c>
      <c r="D649" s="51" t="inlineStr">
        <is>
          <t>Good</t>
        </is>
      </c>
      <c r="E649" s="52" t="n">
        <v>20</v>
      </c>
      <c r="F649" s="52" t="n">
        <v>0</v>
      </c>
      <c r="G649" s="51" t="inlineStr">
        <is>
          <t>Thu</t>
        </is>
      </c>
      <c r="H649" s="51" t="inlineStr">
        <is>
          <t>Weekday</t>
        </is>
      </c>
      <c r="I649" s="51" t="inlineStr">
        <is>
          <t>Fall</t>
        </is>
      </c>
      <c r="J649" s="51" t="n">
        <v>25</v>
      </c>
      <c r="K649" s="51" t="inlineStr">
        <is>
          <t>OK</t>
        </is>
      </c>
      <c r="L649" s="46" t="n">
        <v>11.08</v>
      </c>
      <c r="M649" t="inlineStr">
        <is>
          <t>Good</t>
        </is>
      </c>
      <c r="N649" s="87" t="n">
        <v>25</v>
      </c>
      <c r="O649" s="87" t="n">
        <v>0</v>
      </c>
      <c r="P649" s="87" t="n">
        <v>0</v>
      </c>
      <c r="Q649" s="87" t="n">
        <v>0</v>
      </c>
      <c r="R649" s="87" t="n">
        <v>0</v>
      </c>
      <c r="S649" s="47" t="n">
        <v>3.3</v>
      </c>
      <c r="T649" s="47" t="n">
        <v>69.59999999999999</v>
      </c>
      <c r="U649" s="47" t="n"/>
      <c r="V649" s="87" t="n">
        <v>0</v>
      </c>
      <c r="W649" s="87" t="n">
        <v>1</v>
      </c>
      <c r="X649" t="inlineStr">
        <is>
          <t>한글날</t>
        </is>
      </c>
      <c r="Y649" t="inlineStr">
        <is>
          <t>Oct</t>
        </is>
      </c>
      <c r="Z649" s="87" t="n">
        <v>2025</v>
      </c>
      <c r="AA649" s="47">
        <f>IF(F649="",0,F649)</f>
        <v/>
      </c>
      <c r="AB649" s="87">
        <f>IF(AA649&gt;=0.1,1,0)</f>
        <v/>
      </c>
      <c r="AC649" s="87" t="n">
        <v>1</v>
      </c>
      <c r="AD649" s="47">
        <f>IF(U649="",0,U649)</f>
        <v/>
      </c>
      <c r="AE649" s="87">
        <f>IF(OR(V649=1,W649=1),1,0)</f>
        <v/>
      </c>
      <c r="AF649" s="87" t="n">
        <v>0</v>
      </c>
      <c r="AG649" t="n">
        <v>11681</v>
      </c>
      <c r="AH649" t="n">
        <v>101350</v>
      </c>
      <c r="AI649" t="n">
        <v>0</v>
      </c>
      <c r="AJ649" s="88">
        <f>IF(OR(AG649&lt;=0,AH649&lt;=0),"",LN(AG649)-LN(AH649))</f>
        <v/>
      </c>
      <c r="AK649" t="n">
        <v>22914</v>
      </c>
      <c r="AL649" t="n">
        <v>90117</v>
      </c>
      <c r="AM649" s="88">
        <f>IF(OR(AK649&lt;=0,AL649&lt;=0),"",LN(AK649)-LN(AL649))</f>
        <v/>
      </c>
      <c r="AN649" t="n">
        <v>8533</v>
      </c>
      <c r="AO649" t="n">
        <v>97301</v>
      </c>
      <c r="AP649" s="88">
        <f>IF(OR(AN649&lt;=0,AO649&lt;=0),"",LN(AN649)-LN(AO649))</f>
        <v/>
      </c>
      <c r="AQ649" t="n">
        <v>11311</v>
      </c>
      <c r="AR649" t="n">
        <v>101350</v>
      </c>
      <c r="AS649" s="88">
        <f>IF(OR(AQ649&lt;=0,AR649&lt;=0),"",LN(AQ649)-LN(AR649))</f>
        <v/>
      </c>
      <c r="AT649" t="n">
        <v>11572</v>
      </c>
      <c r="AU649" t="n">
        <v>100572</v>
      </c>
      <c r="AV649" t="n">
        <v>888</v>
      </c>
      <c r="AW649" t="n">
        <v>2034</v>
      </c>
      <c r="AX649" t="n">
        <v>9458</v>
      </c>
      <c r="AY649" s="88">
        <f>IF(OR(AT649&lt;=0,AU649&lt;=0),"",LN(AT649)-LN(AU649))</f>
        <v/>
      </c>
      <c r="AZ649" s="46" t="n">
        <v>0</v>
      </c>
      <c r="BA649" s="46" t="n">
        <v>6.18</v>
      </c>
      <c r="BB649" s="47" t="n">
        <v>9.9</v>
      </c>
    </row>
    <row r="650">
      <c r="A650" s="48" t="n">
        <v>45940</v>
      </c>
      <c r="B650" s="49" t="n">
        <v>13939</v>
      </c>
      <c r="C650" s="50" t="n">
        <v>2.84</v>
      </c>
      <c r="D650" s="51" t="inlineStr">
        <is>
          <t>Good</t>
        </is>
      </c>
      <c r="E650" s="52" t="n">
        <v>17</v>
      </c>
      <c r="F650" s="52" t="n">
        <v>49.3</v>
      </c>
      <c r="G650" s="51" t="inlineStr">
        <is>
          <t>Fri</t>
        </is>
      </c>
      <c r="H650" s="51" t="inlineStr">
        <is>
          <t>Weekday</t>
        </is>
      </c>
      <c r="I650" s="51" t="inlineStr">
        <is>
          <t>Fall</t>
        </is>
      </c>
      <c r="J650" s="51" t="n">
        <v>25</v>
      </c>
      <c r="K650" s="51" t="inlineStr">
        <is>
          <t>OK</t>
        </is>
      </c>
      <c r="L650" s="46" t="n">
        <v>6.48</v>
      </c>
      <c r="M650" t="inlineStr">
        <is>
          <t>Good</t>
        </is>
      </c>
      <c r="N650" s="87" t="n">
        <v>25</v>
      </c>
      <c r="O650" s="87" t="n">
        <v>0</v>
      </c>
      <c r="P650" s="87" t="n">
        <v>0</v>
      </c>
      <c r="Q650" s="87" t="n">
        <v>0</v>
      </c>
      <c r="R650" s="87" t="n">
        <v>0</v>
      </c>
      <c r="S650" s="47" t="n">
        <v>2.9</v>
      </c>
      <c r="T650" s="47" t="n">
        <v>98.09999999999999</v>
      </c>
      <c r="U650" s="47" t="n"/>
      <c r="V650" s="87" t="n">
        <v>0</v>
      </c>
      <c r="W650" s="87" t="n">
        <v>0</v>
      </c>
      <c r="Y650" t="inlineStr">
        <is>
          <t>Oct</t>
        </is>
      </c>
      <c r="Z650" s="87" t="n">
        <v>2025</v>
      </c>
      <c r="AA650" s="47">
        <f>IF(F650="",0,F650)</f>
        <v/>
      </c>
      <c r="AB650" s="87">
        <f>IF(AA650&gt;=0.1,1,0)</f>
        <v/>
      </c>
      <c r="AC650" s="87" t="n">
        <v>0</v>
      </c>
      <c r="AD650" s="47">
        <f>IF(U650="",0,U650)</f>
        <v/>
      </c>
      <c r="AE650" s="87">
        <f>IF(OR(V650=1,W650=1),1,0)</f>
        <v/>
      </c>
      <c r="AF650" s="87" t="n">
        <v>0</v>
      </c>
      <c r="AG650" t="n">
        <v>740</v>
      </c>
      <c r="AH650" t="n">
        <v>13199</v>
      </c>
      <c r="AI650" t="n">
        <v>0</v>
      </c>
      <c r="AJ650" s="88">
        <f>IF(OR(AG650&lt;=0,AH650&lt;=0),"",LN(AG650)-LN(AH650))</f>
        <v/>
      </c>
      <c r="AK650" t="n">
        <v>1898</v>
      </c>
      <c r="AL650" t="n">
        <v>12041</v>
      </c>
      <c r="AM650" s="88">
        <f>IF(OR(AK650&lt;=0,AL650&lt;=0),"",LN(AK650)-LN(AL650))</f>
        <v/>
      </c>
      <c r="AN650" t="n">
        <v>677</v>
      </c>
      <c r="AO650" t="n">
        <v>12705</v>
      </c>
      <c r="AP650" s="88">
        <f>IF(OR(AN650&lt;=0,AO650&lt;=0),"",LN(AN650)-LN(AO650))</f>
        <v/>
      </c>
      <c r="AQ650" t="n">
        <v>721</v>
      </c>
      <c r="AR650" t="n">
        <v>13199</v>
      </c>
      <c r="AS650" s="88">
        <f>IF(OR(AQ650&lt;=0,AR650&lt;=0),"",LN(AQ650)-LN(AR650))</f>
        <v/>
      </c>
      <c r="AT650" t="n">
        <v>912</v>
      </c>
      <c r="AU650" t="n">
        <v>12949</v>
      </c>
      <c r="AV650" t="n">
        <v>79</v>
      </c>
      <c r="AW650" t="n">
        <v>50</v>
      </c>
      <c r="AX650" t="n">
        <v>681</v>
      </c>
      <c r="AY650" s="88">
        <f>IF(OR(AT650&lt;=0,AU650&lt;=0),"",LN(AT650)-LN(AU650))</f>
        <v/>
      </c>
      <c r="AZ650" s="46" t="n">
        <v>0</v>
      </c>
      <c r="BA650" s="46" t="n">
        <v>1.42</v>
      </c>
      <c r="BB650" s="47" t="n">
        <v>10</v>
      </c>
    </row>
    <row r="651">
      <c r="A651" s="48" t="n">
        <v>45941</v>
      </c>
      <c r="B651" s="49" t="n">
        <v>55776</v>
      </c>
      <c r="C651" s="50" t="n">
        <v>5.48</v>
      </c>
      <c r="D651" s="51" t="inlineStr">
        <is>
          <t>Good</t>
        </is>
      </c>
      <c r="E651" s="52" t="n">
        <v>20.3</v>
      </c>
      <c r="F651" s="52" t="n">
        <v>22.5</v>
      </c>
      <c r="G651" s="51" t="inlineStr">
        <is>
          <t>Sat</t>
        </is>
      </c>
      <c r="H651" s="51" t="inlineStr">
        <is>
          <t>Weekend</t>
        </is>
      </c>
      <c r="I651" s="51" t="inlineStr">
        <is>
          <t>Fall</t>
        </is>
      </c>
      <c r="J651" s="51" t="n">
        <v>25</v>
      </c>
      <c r="K651" s="51" t="inlineStr">
        <is>
          <t>OK</t>
        </is>
      </c>
      <c r="L651" s="46" t="n">
        <v>13.32</v>
      </c>
      <c r="M651" t="inlineStr">
        <is>
          <t>Good</t>
        </is>
      </c>
      <c r="N651" s="87" t="n">
        <v>25</v>
      </c>
      <c r="O651" s="87" t="n">
        <v>0</v>
      </c>
      <c r="P651" s="87" t="n">
        <v>0</v>
      </c>
      <c r="Q651" s="87" t="n">
        <v>0</v>
      </c>
      <c r="R651" s="87" t="n">
        <v>0</v>
      </c>
      <c r="S651" s="47" t="n">
        <v>2.4</v>
      </c>
      <c r="T651" s="47" t="n">
        <v>93.09999999999999</v>
      </c>
      <c r="U651" s="47" t="n"/>
      <c r="V651" s="87" t="n">
        <v>1</v>
      </c>
      <c r="W651" s="87" t="n">
        <v>0</v>
      </c>
      <c r="Y651" t="inlineStr">
        <is>
          <t>Oct</t>
        </is>
      </c>
      <c r="Z651" s="87" t="n">
        <v>2025</v>
      </c>
      <c r="AA651" s="47">
        <f>IF(F651="",0,F651)</f>
        <v/>
      </c>
      <c r="AB651" s="87">
        <f>IF(AA651&gt;=0.1,1,0)</f>
        <v/>
      </c>
      <c r="AC651" s="87" t="n">
        <v>0</v>
      </c>
      <c r="AD651" s="47">
        <f>IF(U651="",0,U651)</f>
        <v/>
      </c>
      <c r="AE651" s="87">
        <f>IF(OR(V651=1,W651=1),1,0)</f>
        <v/>
      </c>
      <c r="AF651" s="87" t="n">
        <v>0</v>
      </c>
      <c r="AG651" t="n">
        <v>4439</v>
      </c>
      <c r="AH651" t="n">
        <v>51337</v>
      </c>
      <c r="AI651" t="n">
        <v>0</v>
      </c>
      <c r="AJ651" s="88">
        <f>IF(OR(AG651&lt;=0,AH651&lt;=0),"",LN(AG651)-LN(AH651))</f>
        <v/>
      </c>
      <c r="AK651" t="n">
        <v>10150</v>
      </c>
      <c r="AL651" t="n">
        <v>45626</v>
      </c>
      <c r="AM651" s="88">
        <f>IF(OR(AK651&lt;=0,AL651&lt;=0),"",LN(AK651)-LN(AL651))</f>
        <v/>
      </c>
      <c r="AN651" t="n">
        <v>3438</v>
      </c>
      <c r="AO651" t="n">
        <v>49190</v>
      </c>
      <c r="AP651" s="88">
        <f>IF(OR(AN651&lt;=0,AO651&lt;=0),"",LN(AN651)-LN(AO651))</f>
        <v/>
      </c>
      <c r="AQ651" t="n">
        <v>4332</v>
      </c>
      <c r="AR651" t="n">
        <v>51337</v>
      </c>
      <c r="AS651" s="88">
        <f>IF(OR(AQ651&lt;=0,AR651&lt;=0),"",LN(AQ651)-LN(AR651))</f>
        <v/>
      </c>
      <c r="AT651" t="n">
        <v>5775</v>
      </c>
      <c r="AU651" t="n">
        <v>49564</v>
      </c>
      <c r="AV651" t="n">
        <v>439</v>
      </c>
      <c r="AW651" t="n">
        <v>733</v>
      </c>
      <c r="AX651" t="n">
        <v>3659</v>
      </c>
      <c r="AY651" s="88">
        <f>IF(OR(AT651&lt;=0,AU651&lt;=0),"",LN(AT651)-LN(AU651))</f>
        <v/>
      </c>
      <c r="AZ651" s="46" t="n">
        <v>0.1</v>
      </c>
      <c r="BA651" s="46" t="n">
        <v>4.31</v>
      </c>
      <c r="BB651" s="47" t="n">
        <v>9.9</v>
      </c>
    </row>
    <row r="652">
      <c r="A652" s="48" t="n">
        <v>45942</v>
      </c>
      <c r="B652" s="49" t="n">
        <v>108469</v>
      </c>
      <c r="C652" s="50" t="n">
        <v>2</v>
      </c>
      <c r="D652" s="51" t="inlineStr">
        <is>
          <t>Good</t>
        </is>
      </c>
      <c r="E652" s="52" t="n">
        <v>19</v>
      </c>
      <c r="F652" s="52" t="n">
        <v>0.1</v>
      </c>
      <c r="G652" s="51" t="inlineStr">
        <is>
          <t>Sun</t>
        </is>
      </c>
      <c r="H652" s="51" t="inlineStr">
        <is>
          <t>Weekend</t>
        </is>
      </c>
      <c r="I652" s="51" t="inlineStr">
        <is>
          <t>Fall</t>
        </is>
      </c>
      <c r="J652" s="51" t="n">
        <v>25</v>
      </c>
      <c r="K652" s="51" t="inlineStr">
        <is>
          <t>OK</t>
        </is>
      </c>
      <c r="L652" s="46" t="n">
        <v>5.56</v>
      </c>
      <c r="M652" t="inlineStr">
        <is>
          <t>Good</t>
        </is>
      </c>
      <c r="N652" s="87" t="n">
        <v>25</v>
      </c>
      <c r="O652" s="87" t="n">
        <v>0</v>
      </c>
      <c r="P652" s="87" t="n">
        <v>0</v>
      </c>
      <c r="Q652" s="87" t="n">
        <v>0</v>
      </c>
      <c r="R652" s="87" t="n">
        <v>0</v>
      </c>
      <c r="S652" s="47" t="n">
        <v>2.3</v>
      </c>
      <c r="T652" s="47" t="n">
        <v>84.59999999999999</v>
      </c>
      <c r="U652" s="47" t="n"/>
      <c r="V652" s="87" t="n">
        <v>1</v>
      </c>
      <c r="W652" s="87" t="n">
        <v>0</v>
      </c>
      <c r="Y652" t="inlineStr">
        <is>
          <t>Oct</t>
        </is>
      </c>
      <c r="Z652" s="87" t="n">
        <v>2025</v>
      </c>
      <c r="AA652" s="47">
        <f>IF(F652="",0,F652)</f>
        <v/>
      </c>
      <c r="AB652" s="87">
        <f>IF(AA652&gt;=0.1,1,0)</f>
        <v/>
      </c>
      <c r="AC652" s="87" t="n">
        <v>0</v>
      </c>
      <c r="AD652" s="47">
        <f>IF(U652="",0,U652)</f>
        <v/>
      </c>
      <c r="AE652" s="87">
        <f>IF(OR(V652=1,W652=1),1,0)</f>
        <v/>
      </c>
      <c r="AF652" s="87" t="n">
        <v>0</v>
      </c>
      <c r="AG652" t="n">
        <v>10182</v>
      </c>
      <c r="AH652" t="n">
        <v>98287</v>
      </c>
      <c r="AI652" t="n">
        <v>0</v>
      </c>
      <c r="AJ652" s="88">
        <f>IF(OR(AG652&lt;=0,AH652&lt;=0),"",LN(AG652)-LN(AH652))</f>
        <v/>
      </c>
      <c r="AK652" t="n">
        <v>20675</v>
      </c>
      <c r="AL652" t="n">
        <v>87794</v>
      </c>
      <c r="AM652" s="88">
        <f>IF(OR(AK652&lt;=0,AL652&lt;=0),"",LN(AK652)-LN(AL652))</f>
        <v/>
      </c>
      <c r="AN652" t="n">
        <v>7570</v>
      </c>
      <c r="AO652" t="n">
        <v>94260</v>
      </c>
      <c r="AP652" s="88">
        <f>IF(OR(AN652&lt;=0,AO652&lt;=0),"",LN(AN652)-LN(AO652))</f>
        <v/>
      </c>
      <c r="AQ652" t="n">
        <v>9854</v>
      </c>
      <c r="AR652" t="n">
        <v>98287</v>
      </c>
      <c r="AS652" s="88">
        <f>IF(OR(AQ652&lt;=0,AR652&lt;=0),"",LN(AQ652)-LN(AR652))</f>
        <v/>
      </c>
      <c r="AT652" t="n">
        <v>11138</v>
      </c>
      <c r="AU652" t="n">
        <v>96585</v>
      </c>
      <c r="AV652" t="n">
        <v>747</v>
      </c>
      <c r="AW652" t="n">
        <v>1630</v>
      </c>
      <c r="AX652" t="n">
        <v>8444</v>
      </c>
      <c r="AY652" s="88">
        <f>IF(OR(AT652&lt;=0,AU652&lt;=0),"",LN(AT652)-LN(AU652))</f>
        <v/>
      </c>
      <c r="AZ652" s="46" t="n">
        <v>0.2</v>
      </c>
      <c r="BA652" s="46" t="n">
        <v>6.03</v>
      </c>
      <c r="BB652" s="47" t="n">
        <v>9.5</v>
      </c>
    </row>
    <row r="653">
      <c r="A653" s="48" t="n">
        <v>45943</v>
      </c>
      <c r="B653" s="49" t="n">
        <v>28941</v>
      </c>
      <c r="C653" s="50" t="n">
        <v>1.64</v>
      </c>
      <c r="D653" s="51" t="inlineStr">
        <is>
          <t>Good</t>
        </is>
      </c>
      <c r="E653" s="52" t="n">
        <v>15.7</v>
      </c>
      <c r="F653" s="52" t="n">
        <v>25.1</v>
      </c>
      <c r="G653" s="51" t="inlineStr">
        <is>
          <t>Mon</t>
        </is>
      </c>
      <c r="H653" s="51" t="inlineStr">
        <is>
          <t>Weekday</t>
        </is>
      </c>
      <c r="I653" s="51" t="inlineStr">
        <is>
          <t>Fall</t>
        </is>
      </c>
      <c r="J653" s="51" t="n">
        <v>25</v>
      </c>
      <c r="K653" s="51" t="inlineStr">
        <is>
          <t>OK</t>
        </is>
      </c>
      <c r="L653" s="46" t="n">
        <v>4.16</v>
      </c>
      <c r="M653" t="inlineStr">
        <is>
          <t>Good</t>
        </is>
      </c>
      <c r="N653" s="87" t="n">
        <v>25</v>
      </c>
      <c r="O653" s="87" t="n">
        <v>0</v>
      </c>
      <c r="P653" s="87" t="n">
        <v>0</v>
      </c>
      <c r="Q653" s="87" t="n">
        <v>0</v>
      </c>
      <c r="R653" s="87" t="n">
        <v>0</v>
      </c>
      <c r="S653" s="47" t="n">
        <v>3.5</v>
      </c>
      <c r="T653" s="47" t="n">
        <v>94.40000000000001</v>
      </c>
      <c r="U653" s="47" t="n"/>
      <c r="V653" s="87" t="n">
        <v>0</v>
      </c>
      <c r="W653" s="87" t="n">
        <v>0</v>
      </c>
      <c r="Y653" t="inlineStr">
        <is>
          <t>Oct</t>
        </is>
      </c>
      <c r="Z653" s="87" t="n">
        <v>2025</v>
      </c>
      <c r="AA653" s="47">
        <f>IF(F653="",0,F653)</f>
        <v/>
      </c>
      <c r="AB653" s="87">
        <f>IF(AA653&gt;=0.1,1,0)</f>
        <v/>
      </c>
      <c r="AC653" s="87" t="n">
        <v>0</v>
      </c>
      <c r="AD653" s="47">
        <f>IF(U653="",0,U653)</f>
        <v/>
      </c>
      <c r="AE653" s="87">
        <f>IF(OR(V653=1,W653=1),1,0)</f>
        <v/>
      </c>
      <c r="AF653" s="87" t="n">
        <v>0</v>
      </c>
      <c r="AG653" t="n">
        <v>1365</v>
      </c>
      <c r="AH653" t="n">
        <v>27576</v>
      </c>
      <c r="AI653" t="n">
        <v>0</v>
      </c>
      <c r="AJ653" s="88">
        <f>IF(OR(AG653&lt;=0,AH653&lt;=0),"",LN(AG653)-LN(AH653))</f>
        <v/>
      </c>
      <c r="AK653" t="n">
        <v>3933</v>
      </c>
      <c r="AL653" t="n">
        <v>25008</v>
      </c>
      <c r="AM653" s="88">
        <f>IF(OR(AK653&lt;=0,AL653&lt;=0),"",LN(AK653)-LN(AL653))</f>
        <v/>
      </c>
      <c r="AN653" t="n">
        <v>1236</v>
      </c>
      <c r="AO653" t="n">
        <v>26310</v>
      </c>
      <c r="AP653" s="88">
        <f>IF(OR(AN653&lt;=0,AO653&lt;=0),"",LN(AN653)-LN(AO653))</f>
        <v/>
      </c>
      <c r="AQ653" t="n">
        <v>1338</v>
      </c>
      <c r="AR653" t="n">
        <v>27576</v>
      </c>
      <c r="AS653" s="88">
        <f>IF(OR(AQ653&lt;=0,AR653&lt;=0),"",LN(AQ653)-LN(AR653))</f>
        <v/>
      </c>
      <c r="AT653" t="n">
        <v>2004</v>
      </c>
      <c r="AU653" t="n">
        <v>26759</v>
      </c>
      <c r="AV653" t="n">
        <v>179</v>
      </c>
      <c r="AW653" t="n">
        <v>120</v>
      </c>
      <c r="AX653" t="n">
        <v>1234</v>
      </c>
      <c r="AY653" s="88">
        <f>IF(OR(AT653&lt;=0,AU653&lt;=0),"",LN(AT653)-LN(AU653))</f>
        <v/>
      </c>
      <c r="AZ653" s="46" t="n">
        <v>0</v>
      </c>
      <c r="BA653" s="46" t="n">
        <v>1.83</v>
      </c>
      <c r="BB653" s="47" t="n">
        <v>10</v>
      </c>
    </row>
    <row r="654">
      <c r="A654" s="48" t="n">
        <v>45944</v>
      </c>
      <c r="B654" s="49" t="n">
        <v>130812</v>
      </c>
      <c r="C654" s="50" t="n">
        <v>1.96</v>
      </c>
      <c r="D654" s="51" t="inlineStr">
        <is>
          <t>Good</t>
        </is>
      </c>
      <c r="E654" s="52" t="n">
        <v>17.9</v>
      </c>
      <c r="F654" s="52" t="n">
        <v>0.6</v>
      </c>
      <c r="G654" s="51" t="inlineStr">
        <is>
          <t>Tue</t>
        </is>
      </c>
      <c r="H654" s="51" t="inlineStr">
        <is>
          <t>Weekday</t>
        </is>
      </c>
      <c r="I654" s="51" t="inlineStr">
        <is>
          <t>Fall</t>
        </is>
      </c>
      <c r="J654" s="51" t="n">
        <v>25</v>
      </c>
      <c r="K654" s="51" t="inlineStr">
        <is>
          <t>OK</t>
        </is>
      </c>
      <c r="L654" s="46" t="n">
        <v>4.68</v>
      </c>
      <c r="M654" t="inlineStr">
        <is>
          <t>Good</t>
        </is>
      </c>
      <c r="N654" s="87" t="n">
        <v>25</v>
      </c>
      <c r="O654" s="87" t="n">
        <v>0</v>
      </c>
      <c r="P654" s="87" t="n">
        <v>0</v>
      </c>
      <c r="Q654" s="87" t="n">
        <v>0</v>
      </c>
      <c r="R654" s="87" t="n">
        <v>0</v>
      </c>
      <c r="S654" s="47" t="n">
        <v>3.1</v>
      </c>
      <c r="T654" s="47" t="n">
        <v>80.3</v>
      </c>
      <c r="U654" s="47" t="n"/>
      <c r="V654" s="87" t="n">
        <v>0</v>
      </c>
      <c r="W654" s="87" t="n">
        <v>0</v>
      </c>
      <c r="Y654" t="inlineStr">
        <is>
          <t>Oct</t>
        </is>
      </c>
      <c r="Z654" s="87" t="n">
        <v>2025</v>
      </c>
      <c r="AA654" s="47">
        <f>IF(F654="",0,F654)</f>
        <v/>
      </c>
      <c r="AB654" s="87">
        <f>IF(AA654&gt;=0.1,1,0)</f>
        <v/>
      </c>
      <c r="AC654" s="87" t="n">
        <v>0</v>
      </c>
      <c r="AD654" s="47">
        <f>IF(U654="",0,U654)</f>
        <v/>
      </c>
      <c r="AE654" s="87">
        <f>IF(OR(V654=1,W654=1),1,0)</f>
        <v/>
      </c>
      <c r="AF654" s="87" t="n">
        <v>0</v>
      </c>
      <c r="AG654" t="n">
        <v>7882</v>
      </c>
      <c r="AH654" t="n">
        <v>122930</v>
      </c>
      <c r="AI654" t="n">
        <v>0</v>
      </c>
      <c r="AJ654" s="88">
        <f>IF(OR(AG654&lt;=0,AH654&lt;=0),"",LN(AG654)-LN(AH654))</f>
        <v/>
      </c>
      <c r="AK654" t="n">
        <v>20566</v>
      </c>
      <c r="AL654" t="n">
        <v>110246</v>
      </c>
      <c r="AM654" s="88">
        <f>IF(OR(AK654&lt;=0,AL654&lt;=0),"",LN(AK654)-LN(AL654))</f>
        <v/>
      </c>
      <c r="AN654" t="n">
        <v>6555</v>
      </c>
      <c r="AO654" t="n">
        <v>117591</v>
      </c>
      <c r="AP654" s="88">
        <f>IF(OR(AN654&lt;=0,AO654&lt;=0),"",LN(AN654)-LN(AO654))</f>
        <v/>
      </c>
      <c r="AQ654" t="n">
        <v>7687</v>
      </c>
      <c r="AR654" t="n">
        <v>122930</v>
      </c>
      <c r="AS654" s="88">
        <f>IF(OR(AQ654&lt;=0,AR654&lt;=0),"",LN(AQ654)-LN(AR654))</f>
        <v/>
      </c>
      <c r="AT654" t="n">
        <v>8236</v>
      </c>
      <c r="AU654" t="n">
        <v>121647</v>
      </c>
      <c r="AV654" t="n">
        <v>932</v>
      </c>
      <c r="AW654" t="n">
        <v>769</v>
      </c>
      <c r="AX654" t="n">
        <v>7051</v>
      </c>
      <c r="AY654" s="88">
        <f>IF(OR(AT654&lt;=0,AU654&lt;=0),"",LN(AT654)-LN(AU654))</f>
        <v/>
      </c>
      <c r="AZ654" s="46" t="n">
        <v>0.6</v>
      </c>
      <c r="BA654" s="46" t="n">
        <v>10.48</v>
      </c>
      <c r="BB654" s="47" t="n">
        <v>8.9</v>
      </c>
    </row>
    <row r="655">
      <c r="A655" s="48" t="n">
        <v>45945</v>
      </c>
      <c r="B655" s="49" t="n">
        <v>119884</v>
      </c>
      <c r="C655" s="50" t="n">
        <v>3.4</v>
      </c>
      <c r="D655" s="51" t="inlineStr">
        <is>
          <t>Good</t>
        </is>
      </c>
      <c r="E655" s="52" t="n">
        <v>20.2</v>
      </c>
      <c r="F655" s="52" t="n">
        <v>1.5</v>
      </c>
      <c r="G655" s="51" t="inlineStr">
        <is>
          <t>Wed</t>
        </is>
      </c>
      <c r="H655" s="51" t="inlineStr">
        <is>
          <t>Weekday</t>
        </is>
      </c>
      <c r="I655" s="51" t="inlineStr">
        <is>
          <t>Fall</t>
        </is>
      </c>
      <c r="J655" s="51" t="n">
        <v>25</v>
      </c>
      <c r="K655" s="51" t="inlineStr">
        <is>
          <t>OK</t>
        </is>
      </c>
      <c r="L655" s="46" t="n">
        <v>8.52</v>
      </c>
      <c r="M655" t="inlineStr">
        <is>
          <t>Good</t>
        </is>
      </c>
      <c r="N655" s="87" t="n">
        <v>25</v>
      </c>
      <c r="O655" s="87" t="n">
        <v>0</v>
      </c>
      <c r="P655" s="87" t="n">
        <v>0</v>
      </c>
      <c r="Q655" s="87" t="n">
        <v>0</v>
      </c>
      <c r="R655" s="87" t="n">
        <v>0</v>
      </c>
      <c r="S655" s="47" t="n">
        <v>2.4</v>
      </c>
      <c r="T655" s="47" t="n">
        <v>74.8</v>
      </c>
      <c r="U655" s="47" t="n"/>
      <c r="V655" s="87" t="n">
        <v>0</v>
      </c>
      <c r="W655" s="87" t="n">
        <v>0</v>
      </c>
      <c r="Y655" t="inlineStr">
        <is>
          <t>Oct</t>
        </is>
      </c>
      <c r="Z655" s="87" t="n">
        <v>2025</v>
      </c>
      <c r="AA655" s="47">
        <f>IF(F655="",0,F655)</f>
        <v/>
      </c>
      <c r="AB655" s="87">
        <f>IF(AA655&gt;=0.1,1,0)</f>
        <v/>
      </c>
      <c r="AC655" s="87" t="n">
        <v>0</v>
      </c>
      <c r="AD655" s="47">
        <f>IF(U655="",0,U655)</f>
        <v/>
      </c>
      <c r="AE655" s="87">
        <f>IF(OR(V655=1,W655=1),1,0)</f>
        <v/>
      </c>
      <c r="AF655" s="87" t="n">
        <v>0</v>
      </c>
      <c r="AG655" t="n">
        <v>7025</v>
      </c>
      <c r="AH655" t="n">
        <v>112859</v>
      </c>
      <c r="AI655" t="n">
        <v>0</v>
      </c>
      <c r="AJ655" s="88">
        <f>IF(OR(AG655&lt;=0,AH655&lt;=0),"",LN(AG655)-LN(AH655))</f>
        <v/>
      </c>
      <c r="AK655" t="n">
        <v>18118</v>
      </c>
      <c r="AL655" t="n">
        <v>101766</v>
      </c>
      <c r="AM655" s="88">
        <f>IF(OR(AK655&lt;=0,AL655&lt;=0),"",LN(AK655)-LN(AL655))</f>
        <v/>
      </c>
      <c r="AN655" t="n">
        <v>6013</v>
      </c>
      <c r="AO655" t="n">
        <v>108088</v>
      </c>
      <c r="AP655" s="88">
        <f>IF(OR(AN655&lt;=0,AO655&lt;=0),"",LN(AN655)-LN(AO655))</f>
        <v/>
      </c>
      <c r="AQ655" t="n">
        <v>6866</v>
      </c>
      <c r="AR655" t="n">
        <v>112859</v>
      </c>
      <c r="AS655" s="88">
        <f>IF(OR(AQ655&lt;=0,AR655&lt;=0),"",LN(AQ655)-LN(AR655))</f>
        <v/>
      </c>
      <c r="AT655" t="n">
        <v>7205</v>
      </c>
      <c r="AU655" t="n">
        <v>111757</v>
      </c>
      <c r="AV655" t="n">
        <v>927</v>
      </c>
      <c r="AW655" t="n">
        <v>612</v>
      </c>
      <c r="AX655" t="n">
        <v>6348</v>
      </c>
      <c r="AY655" s="88">
        <f>IF(OR(AT655&lt;=0,AU655&lt;=0),"",LN(AT655)-LN(AU655))</f>
        <v/>
      </c>
      <c r="AZ655" s="46" t="n">
        <v>6.3</v>
      </c>
      <c r="BA655" s="46" t="n">
        <v>14.07</v>
      </c>
      <c r="BB655" s="47" t="n">
        <v>5.5</v>
      </c>
    </row>
    <row r="656">
      <c r="A656" s="48" t="n">
        <v>45946</v>
      </c>
      <c r="B656" s="49" t="n">
        <v>152149</v>
      </c>
      <c r="C656" s="50" t="n">
        <v>3.04</v>
      </c>
      <c r="D656" s="51" t="inlineStr">
        <is>
          <t>Good</t>
        </is>
      </c>
      <c r="E656" s="52" t="n">
        <v>20.2</v>
      </c>
      <c r="F656" s="52" t="n">
        <v>1.3</v>
      </c>
      <c r="G656" s="51" t="inlineStr">
        <is>
          <t>Thu</t>
        </is>
      </c>
      <c r="H656" s="51" t="inlineStr">
        <is>
          <t>Weekday</t>
        </is>
      </c>
      <c r="I656" s="51" t="inlineStr">
        <is>
          <t>Fall</t>
        </is>
      </c>
      <c r="J656" s="51" t="n">
        <v>25</v>
      </c>
      <c r="K656" s="51" t="inlineStr">
        <is>
          <t>OK</t>
        </is>
      </c>
      <c r="L656" s="46" t="n">
        <v>6.68</v>
      </c>
      <c r="M656" t="inlineStr">
        <is>
          <t>Good</t>
        </is>
      </c>
      <c r="N656" s="87" t="n">
        <v>25</v>
      </c>
      <c r="O656" s="87" t="n">
        <v>0</v>
      </c>
      <c r="P656" s="87" t="n">
        <v>0</v>
      </c>
      <c r="Q656" s="87" t="n">
        <v>0</v>
      </c>
      <c r="R656" s="87" t="n">
        <v>0</v>
      </c>
      <c r="S656" s="47" t="n">
        <v>2.4</v>
      </c>
      <c r="T656" s="47" t="n">
        <v>75.3</v>
      </c>
      <c r="U656" s="47" t="n"/>
      <c r="V656" s="87" t="n">
        <v>0</v>
      </c>
      <c r="W656" s="87" t="n">
        <v>0</v>
      </c>
      <c r="Y656" t="inlineStr">
        <is>
          <t>Oct</t>
        </is>
      </c>
      <c r="Z656" s="87" t="n">
        <v>2025</v>
      </c>
      <c r="AA656" s="47">
        <f>IF(F656="",0,F656)</f>
        <v/>
      </c>
      <c r="AB656" s="87">
        <f>IF(AA656&gt;=0.1,1,0)</f>
        <v/>
      </c>
      <c r="AC656" s="87" t="n">
        <v>0</v>
      </c>
      <c r="AD656" s="47">
        <f>IF(U656="",0,U656)</f>
        <v/>
      </c>
      <c r="AE656" s="87">
        <f>IF(OR(V656=1,W656=1),1,0)</f>
        <v/>
      </c>
      <c r="AF656" s="87" t="n">
        <v>0</v>
      </c>
      <c r="AG656" t="n">
        <v>9581</v>
      </c>
      <c r="AH656" t="n">
        <v>142568</v>
      </c>
      <c r="AI656" t="n">
        <v>0</v>
      </c>
      <c r="AJ656" s="88">
        <f>IF(OR(AG656&lt;=0,AH656&lt;=0),"",LN(AG656)-LN(AH656))</f>
        <v/>
      </c>
      <c r="AK656" t="n">
        <v>24312</v>
      </c>
      <c r="AL656" t="n">
        <v>127837</v>
      </c>
      <c r="AM656" s="88">
        <f>IF(OR(AK656&lt;=0,AL656&lt;=0),"",LN(AK656)-LN(AL656))</f>
        <v/>
      </c>
      <c r="AN656" t="n">
        <v>7858</v>
      </c>
      <c r="AO656" t="n">
        <v>136427</v>
      </c>
      <c r="AP656" s="88">
        <f>IF(OR(AN656&lt;=0,AO656&lt;=0),"",LN(AN656)-LN(AO656))</f>
        <v/>
      </c>
      <c r="AQ656" t="n">
        <v>9343</v>
      </c>
      <c r="AR656" t="n">
        <v>142568</v>
      </c>
      <c r="AS656" s="88">
        <f>IF(OR(AQ656&lt;=0,AR656&lt;=0),"",LN(AQ656)-LN(AR656))</f>
        <v/>
      </c>
      <c r="AT656" t="n">
        <v>9446</v>
      </c>
      <c r="AU656" t="n">
        <v>141490</v>
      </c>
      <c r="AV656" t="n">
        <v>1214</v>
      </c>
      <c r="AW656" t="n">
        <v>927</v>
      </c>
      <c r="AX656" t="n">
        <v>8575</v>
      </c>
      <c r="AY656" s="88">
        <f>IF(OR(AT656&lt;=0,AU656&lt;=0),"",LN(AT656)-LN(AU656))</f>
        <v/>
      </c>
      <c r="AZ656" s="46" t="n">
        <v>6.8</v>
      </c>
      <c r="BA656" s="46" t="n">
        <v>13.85</v>
      </c>
      <c r="BB656" s="47" t="n">
        <v>3.4</v>
      </c>
    </row>
    <row r="657">
      <c r="A657" s="48" t="n">
        <v>45947</v>
      </c>
      <c r="B657" s="49" t="n">
        <v>112544</v>
      </c>
      <c r="C657" s="50" t="n">
        <v>4.96</v>
      </c>
      <c r="D657" s="51" t="inlineStr">
        <is>
          <t>Good</t>
        </is>
      </c>
      <c r="E657" s="52" t="n">
        <v>19.9</v>
      </c>
      <c r="F657" s="52" t="n">
        <v>11.3</v>
      </c>
      <c r="G657" s="51" t="inlineStr">
        <is>
          <t>Fri</t>
        </is>
      </c>
      <c r="H657" s="51" t="inlineStr">
        <is>
          <t>Weekday</t>
        </is>
      </c>
      <c r="I657" s="51" t="inlineStr">
        <is>
          <t>Fall</t>
        </is>
      </c>
      <c r="J657" s="51" t="n">
        <v>25</v>
      </c>
      <c r="K657" s="51" t="inlineStr">
        <is>
          <t>OK</t>
        </is>
      </c>
      <c r="L657" s="46" t="n">
        <v>11.28</v>
      </c>
      <c r="M657" t="inlineStr">
        <is>
          <t>Good</t>
        </is>
      </c>
      <c r="N657" s="87" t="n">
        <v>25</v>
      </c>
      <c r="O657" s="87" t="n">
        <v>0</v>
      </c>
      <c r="P657" s="87" t="n">
        <v>0</v>
      </c>
      <c r="Q657" s="87" t="n">
        <v>0</v>
      </c>
      <c r="R657" s="87" t="n">
        <v>0</v>
      </c>
      <c r="S657" s="47" t="n">
        <v>2.3</v>
      </c>
      <c r="T657" s="47" t="n">
        <v>74.8</v>
      </c>
      <c r="U657" s="47" t="n"/>
      <c r="V657" s="87" t="n">
        <v>0</v>
      </c>
      <c r="W657" s="87" t="n">
        <v>0</v>
      </c>
      <c r="Y657" t="inlineStr">
        <is>
          <t>Oct</t>
        </is>
      </c>
      <c r="Z657" s="87" t="n">
        <v>2025</v>
      </c>
      <c r="AA657" s="47">
        <f>IF(F657="",0,F657)</f>
        <v/>
      </c>
      <c r="AB657" s="87">
        <f>IF(AA657&gt;=0.1,1,0)</f>
        <v/>
      </c>
      <c r="AC657" s="87" t="n">
        <v>0</v>
      </c>
      <c r="AD657" s="47">
        <f>IF(U657="",0,U657)</f>
        <v/>
      </c>
      <c r="AE657" s="87">
        <f>IF(OR(V657=1,W657=1),1,0)</f>
        <v/>
      </c>
      <c r="AF657" s="87" t="n">
        <v>0</v>
      </c>
      <c r="AG657" t="n">
        <v>6628</v>
      </c>
      <c r="AH657" t="n">
        <v>105916</v>
      </c>
      <c r="AI657" t="n">
        <v>0</v>
      </c>
      <c r="AJ657" s="88">
        <f>IF(OR(AG657&lt;=0,AH657&lt;=0),"",LN(AG657)-LN(AH657))</f>
        <v/>
      </c>
      <c r="AK657" t="n">
        <v>17130</v>
      </c>
      <c r="AL657" t="n">
        <v>95414</v>
      </c>
      <c r="AM657" s="88">
        <f>IF(OR(AK657&lt;=0,AL657&lt;=0),"",LN(AK657)-LN(AL657))</f>
        <v/>
      </c>
      <c r="AN657" t="n">
        <v>5751</v>
      </c>
      <c r="AO657" t="n">
        <v>101527</v>
      </c>
      <c r="AP657" s="88">
        <f>IF(OR(AN657&lt;=0,AO657&lt;=0),"",LN(AN657)-LN(AO657))</f>
        <v/>
      </c>
      <c r="AQ657" t="n">
        <v>6475</v>
      </c>
      <c r="AR657" t="n">
        <v>105916</v>
      </c>
      <c r="AS657" s="88">
        <f>IF(OR(AQ657&lt;=0,AR657&lt;=0),"",LN(AQ657)-LN(AR657))</f>
        <v/>
      </c>
      <c r="AT657" t="n">
        <v>7076</v>
      </c>
      <c r="AU657" t="n">
        <v>104611</v>
      </c>
      <c r="AV657" t="n">
        <v>859</v>
      </c>
      <c r="AW657" t="n">
        <v>654</v>
      </c>
      <c r="AX657" t="n">
        <v>5910</v>
      </c>
      <c r="AY657" s="88">
        <f>IF(OR(AT657&lt;=0,AU657&lt;=0),"",LN(AT657)-LN(AU657))</f>
        <v/>
      </c>
      <c r="AZ657" s="46" t="n">
        <v>6.4</v>
      </c>
      <c r="BA657" s="46" t="n">
        <v>13.45</v>
      </c>
      <c r="BB657" s="47" t="n">
        <v>6</v>
      </c>
    </row>
    <row r="658">
      <c r="A658" s="48" t="n">
        <v>45948</v>
      </c>
      <c r="B658" s="49" t="n">
        <v>99434</v>
      </c>
      <c r="C658" s="50" t="n">
        <v>7.56</v>
      </c>
      <c r="D658" s="51" t="inlineStr">
        <is>
          <t>Good</t>
        </is>
      </c>
      <c r="E658" s="52" t="n">
        <v>15.8</v>
      </c>
      <c r="F658" s="52" t="n">
        <v>11.2</v>
      </c>
      <c r="G658" s="51" t="inlineStr">
        <is>
          <t>Sat</t>
        </is>
      </c>
      <c r="H658" s="51" t="inlineStr">
        <is>
          <t>Weekend</t>
        </is>
      </c>
      <c r="I658" s="51" t="inlineStr">
        <is>
          <t>Fall</t>
        </is>
      </c>
      <c r="J658" s="51" t="n">
        <v>25</v>
      </c>
      <c r="K658" s="51" t="inlineStr">
        <is>
          <t>OK</t>
        </is>
      </c>
      <c r="L658" s="46" t="n">
        <v>11.8</v>
      </c>
      <c r="M658" t="inlineStr">
        <is>
          <t>Good</t>
        </is>
      </c>
      <c r="N658" s="87" t="n">
        <v>25</v>
      </c>
      <c r="O658" s="87" t="n">
        <v>0</v>
      </c>
      <c r="P658" s="87" t="n">
        <v>0</v>
      </c>
      <c r="Q658" s="87" t="n">
        <v>0</v>
      </c>
      <c r="R658" s="87" t="n">
        <v>0</v>
      </c>
      <c r="S658" s="47" t="n">
        <v>2.3</v>
      </c>
      <c r="T658" s="47" t="n">
        <v>87.8</v>
      </c>
      <c r="U658" s="47" t="n"/>
      <c r="V658" s="87" t="n">
        <v>1</v>
      </c>
      <c r="W658" s="87" t="n">
        <v>0</v>
      </c>
      <c r="Y658" t="inlineStr">
        <is>
          <t>Oct</t>
        </is>
      </c>
      <c r="Z658" s="87" t="n">
        <v>2025</v>
      </c>
      <c r="AA658" s="47">
        <f>IF(F658="",0,F658)</f>
        <v/>
      </c>
      <c r="AB658" s="87">
        <f>IF(AA658&gt;=0.1,1,0)</f>
        <v/>
      </c>
      <c r="AC658" s="87" t="n">
        <v>0</v>
      </c>
      <c r="AD658" s="47">
        <f>IF(U658="",0,U658)</f>
        <v/>
      </c>
      <c r="AE658" s="87">
        <f>IF(OR(V658=1,W658=1),1,0)</f>
        <v/>
      </c>
      <c r="AF658" s="87" t="n">
        <v>0</v>
      </c>
      <c r="AG658" t="n">
        <v>7746</v>
      </c>
      <c r="AH658" t="n">
        <v>91688</v>
      </c>
      <c r="AI658" t="n">
        <v>0</v>
      </c>
      <c r="AJ658" s="88">
        <f>IF(OR(AG658&lt;=0,AH658&lt;=0),"",LN(AG658)-LN(AH658))</f>
        <v/>
      </c>
      <c r="AK658" t="n">
        <v>17553</v>
      </c>
      <c r="AL658" t="n">
        <v>81881</v>
      </c>
      <c r="AM658" s="88">
        <f>IF(OR(AK658&lt;=0,AL658&lt;=0),"",LN(AK658)-LN(AL658))</f>
        <v/>
      </c>
      <c r="AN658" t="n">
        <v>6178</v>
      </c>
      <c r="AO658" t="n">
        <v>87936</v>
      </c>
      <c r="AP658" s="88">
        <f>IF(OR(AN658&lt;=0,AO658&lt;=0),"",LN(AN658)-LN(AO658))</f>
        <v/>
      </c>
      <c r="AQ658" t="n">
        <v>7539</v>
      </c>
      <c r="AR658" t="n">
        <v>91688</v>
      </c>
      <c r="AS658" s="88">
        <f>IF(OR(AQ658&lt;=0,AR658&lt;=0),"",LN(AQ658)-LN(AR658))</f>
        <v/>
      </c>
      <c r="AT658" t="n">
        <v>8432</v>
      </c>
      <c r="AU658" t="n">
        <v>90142</v>
      </c>
      <c r="AV658" t="n">
        <v>860</v>
      </c>
      <c r="AW658" t="n">
        <v>1117</v>
      </c>
      <c r="AX658" t="n">
        <v>6556</v>
      </c>
      <c r="AY658" s="88">
        <f>IF(OR(AT658&lt;=0,AU658&lt;=0),"",LN(AT658)-LN(AU658))</f>
        <v/>
      </c>
      <c r="AZ658" s="46" t="n">
        <v>0</v>
      </c>
      <c r="BA658" s="46" t="n">
        <v>4.81</v>
      </c>
      <c r="BB658" s="47" t="n">
        <v>9.800000000000001</v>
      </c>
    </row>
    <row r="659">
      <c r="A659" s="48" t="n">
        <v>45949</v>
      </c>
      <c r="B659" s="49" t="n">
        <v>116009</v>
      </c>
      <c r="C659" s="50" t="n">
        <v>9.24</v>
      </c>
      <c r="D659" s="51" t="inlineStr">
        <is>
          <t>Good</t>
        </is>
      </c>
      <c r="E659" s="52" t="n">
        <v>14.5</v>
      </c>
      <c r="F659" s="52" t="n"/>
      <c r="G659" s="51" t="inlineStr">
        <is>
          <t>Sun</t>
        </is>
      </c>
      <c r="H659" s="51" t="inlineStr">
        <is>
          <t>Weekend</t>
        </is>
      </c>
      <c r="I659" s="51" t="inlineStr">
        <is>
          <t>Fall</t>
        </is>
      </c>
      <c r="J659" s="51" t="n">
        <v>25</v>
      </c>
      <c r="K659" s="51" t="inlineStr">
        <is>
          <t>강수량 공란</t>
        </is>
      </c>
      <c r="L659" s="46" t="n">
        <v>16.96</v>
      </c>
      <c r="M659" t="inlineStr">
        <is>
          <t>Good</t>
        </is>
      </c>
      <c r="N659" s="87" t="n">
        <v>25</v>
      </c>
      <c r="O659" s="87" t="n">
        <v>0</v>
      </c>
      <c r="P659" s="87" t="n">
        <v>0</v>
      </c>
      <c r="Q659" s="87" t="n">
        <v>0</v>
      </c>
      <c r="R659" s="87" t="n">
        <v>0</v>
      </c>
      <c r="S659" s="47" t="n">
        <v>2.8</v>
      </c>
      <c r="T659" s="47" t="n">
        <v>71.5</v>
      </c>
      <c r="U659" s="47" t="n"/>
      <c r="V659" s="87" t="n">
        <v>1</v>
      </c>
      <c r="W659" s="87" t="n">
        <v>0</v>
      </c>
      <c r="Y659" t="inlineStr">
        <is>
          <t>Oct</t>
        </is>
      </c>
      <c r="Z659" s="87" t="n">
        <v>2025</v>
      </c>
      <c r="AA659" s="47">
        <f>IF(F659="",0,F659)</f>
        <v/>
      </c>
      <c r="AB659" s="87">
        <f>IF(AA659&gt;=0.1,1,0)</f>
        <v/>
      </c>
      <c r="AC659" s="87" t="n">
        <v>0</v>
      </c>
      <c r="AD659" s="47">
        <f>IF(U659="",0,U659)</f>
        <v/>
      </c>
      <c r="AE659" s="87">
        <f>IF(OR(V659=1,W659=1),1,0)</f>
        <v/>
      </c>
      <c r="AF659" s="87" t="n">
        <v>0</v>
      </c>
      <c r="AG659" t="n">
        <v>10557</v>
      </c>
      <c r="AH659" t="n">
        <v>105452</v>
      </c>
      <c r="AI659" t="n">
        <v>0</v>
      </c>
      <c r="AJ659" s="88">
        <f>IF(OR(AG659&lt;=0,AH659&lt;=0),"",LN(AG659)-LN(AH659))</f>
        <v/>
      </c>
      <c r="AK659" t="n">
        <v>22362</v>
      </c>
      <c r="AL659" t="n">
        <v>93647</v>
      </c>
      <c r="AM659" s="88">
        <f>IF(OR(AK659&lt;=0,AL659&lt;=0),"",LN(AK659)-LN(AL659))</f>
        <v/>
      </c>
      <c r="AN659" t="n">
        <v>7867</v>
      </c>
      <c r="AO659" t="n">
        <v>101178</v>
      </c>
      <c r="AP659" s="88">
        <f>IF(OR(AN659&lt;=0,AO659&lt;=0),"",LN(AN659)-LN(AO659))</f>
        <v/>
      </c>
      <c r="AQ659" t="n">
        <v>10288</v>
      </c>
      <c r="AR659" t="n">
        <v>105452</v>
      </c>
      <c r="AS659" s="88">
        <f>IF(OR(AQ659&lt;=0,AR659&lt;=0),"",LN(AQ659)-LN(AR659))</f>
        <v/>
      </c>
      <c r="AT659" t="n">
        <v>10662</v>
      </c>
      <c r="AU659" t="n">
        <v>104490</v>
      </c>
      <c r="AV659" t="n">
        <v>858</v>
      </c>
      <c r="AW659" t="n">
        <v>1651</v>
      </c>
      <c r="AX659" t="n">
        <v>8798</v>
      </c>
      <c r="AY659" s="88">
        <f>IF(OR(AT659&lt;=0,AU659&lt;=0),"",LN(AT659)-LN(AU659))</f>
        <v/>
      </c>
      <c r="AZ659" s="46" t="n">
        <v>5.1</v>
      </c>
      <c r="BA659" s="46" t="n">
        <v>11.43</v>
      </c>
      <c r="BB659" s="47" t="n">
        <v>4.6</v>
      </c>
    </row>
    <row r="660">
      <c r="A660" s="48" t="n">
        <v>45950</v>
      </c>
      <c r="B660" s="49" t="n">
        <v>131382</v>
      </c>
      <c r="C660" s="50" t="n">
        <v>10.76</v>
      </c>
      <c r="D660" s="51" t="inlineStr">
        <is>
          <t>Good</t>
        </is>
      </c>
      <c r="E660" s="52" t="n">
        <v>10</v>
      </c>
      <c r="F660" s="52" t="n"/>
      <c r="G660" s="51" t="inlineStr">
        <is>
          <t>Mon</t>
        </is>
      </c>
      <c r="H660" s="51" t="inlineStr">
        <is>
          <t>Weekday</t>
        </is>
      </c>
      <c r="I660" s="51" t="inlineStr">
        <is>
          <t>Fall</t>
        </is>
      </c>
      <c r="J660" s="51" t="n">
        <v>25</v>
      </c>
      <c r="K660" s="51" t="inlineStr">
        <is>
          <t>강수량 공란</t>
        </is>
      </c>
      <c r="L660" s="46" t="n">
        <v>23</v>
      </c>
      <c r="M660" t="inlineStr">
        <is>
          <t>Good</t>
        </is>
      </c>
      <c r="N660" s="87" t="n">
        <v>25</v>
      </c>
      <c r="O660" s="87" t="n">
        <v>0</v>
      </c>
      <c r="P660" s="87" t="n">
        <v>0</v>
      </c>
      <c r="Q660" s="87" t="n">
        <v>0</v>
      </c>
      <c r="R660" s="87" t="n">
        <v>0</v>
      </c>
      <c r="S660" s="47" t="n">
        <v>2.7</v>
      </c>
      <c r="T660" s="47" t="n">
        <v>65.90000000000001</v>
      </c>
      <c r="U660" s="47" t="n"/>
      <c r="V660" s="87" t="n">
        <v>0</v>
      </c>
      <c r="W660" s="87" t="n">
        <v>0</v>
      </c>
      <c r="Y660" t="inlineStr">
        <is>
          <t>Oct</t>
        </is>
      </c>
      <c r="Z660" s="87" t="n">
        <v>2025</v>
      </c>
      <c r="AA660" s="47">
        <f>IF(F660="",0,F660)</f>
        <v/>
      </c>
      <c r="AB660" s="87">
        <f>IF(AA660&gt;=0.1,1,0)</f>
        <v/>
      </c>
      <c r="AC660" s="87" t="n">
        <v>0</v>
      </c>
      <c r="AD660" s="47">
        <f>IF(U660="",0,U660)</f>
        <v/>
      </c>
      <c r="AE660" s="87">
        <f>IF(OR(V660=1,W660=1),1,0)</f>
        <v/>
      </c>
      <c r="AF660" s="87" t="n">
        <v>0</v>
      </c>
      <c r="AG660" t="n">
        <v>7481</v>
      </c>
      <c r="AH660" t="n">
        <v>123901</v>
      </c>
      <c r="AI660" t="n">
        <v>0</v>
      </c>
      <c r="AJ660" s="88">
        <f>IF(OR(AG660&lt;=0,AH660&lt;=0),"",LN(AG660)-LN(AH660))</f>
        <v/>
      </c>
      <c r="AK660" t="n">
        <v>20178</v>
      </c>
      <c r="AL660" t="n">
        <v>111204</v>
      </c>
      <c r="AM660" s="88">
        <f>IF(OR(AK660&lt;=0,AL660&lt;=0),"",LN(AK660)-LN(AL660))</f>
        <v/>
      </c>
      <c r="AN660" t="n">
        <v>6360</v>
      </c>
      <c r="AO660" t="n">
        <v>118674</v>
      </c>
      <c r="AP660" s="88">
        <f>IF(OR(AN660&lt;=0,AO660&lt;=0),"",LN(AN660)-LN(AO660))</f>
        <v/>
      </c>
      <c r="AQ660" t="n">
        <v>7315</v>
      </c>
      <c r="AR660" t="n">
        <v>123901</v>
      </c>
      <c r="AS660" s="88">
        <f>IF(OR(AQ660&lt;=0,AR660&lt;=0),"",LN(AQ660)-LN(AR660))</f>
        <v/>
      </c>
      <c r="AT660" t="n">
        <v>7639</v>
      </c>
      <c r="AU660" t="n">
        <v>122803</v>
      </c>
      <c r="AV660" t="n">
        <v>943</v>
      </c>
      <c r="AW660" t="n">
        <v>624</v>
      </c>
      <c r="AX660" t="n">
        <v>6802</v>
      </c>
      <c r="AY660" s="88">
        <f>IF(OR(AT660&lt;=0,AU660&lt;=0),"",LN(AT660)-LN(AU660))</f>
        <v/>
      </c>
      <c r="AZ660" s="46" t="n">
        <v>4.9</v>
      </c>
      <c r="BA660" s="46" t="n">
        <v>13.24</v>
      </c>
      <c r="BB660" s="47" t="n">
        <v>4.8</v>
      </c>
    </row>
    <row r="661">
      <c r="A661" s="48" t="n">
        <v>45951</v>
      </c>
      <c r="B661" s="49" t="n">
        <v>134707</v>
      </c>
      <c r="C661" s="50" t="n">
        <v>12.6</v>
      </c>
      <c r="D661" s="51" t="inlineStr">
        <is>
          <t>Good</t>
        </is>
      </c>
      <c r="E661" s="52" t="n">
        <v>9.199999999999999</v>
      </c>
      <c r="F661" s="52" t="n"/>
      <c r="G661" s="51" t="inlineStr">
        <is>
          <t>Tue</t>
        </is>
      </c>
      <c r="H661" s="51" t="inlineStr">
        <is>
          <t>Weekday</t>
        </is>
      </c>
      <c r="I661" s="51" t="inlineStr">
        <is>
          <t>Fall</t>
        </is>
      </c>
      <c r="J661" s="51" t="n">
        <v>25</v>
      </c>
      <c r="K661" s="51" t="inlineStr">
        <is>
          <t>강수량 공란</t>
        </is>
      </c>
      <c r="L661" s="46" t="n">
        <v>27.44</v>
      </c>
      <c r="M661" t="inlineStr">
        <is>
          <t>Good</t>
        </is>
      </c>
      <c r="N661" s="87" t="n">
        <v>25</v>
      </c>
      <c r="O661" s="87" t="n">
        <v>0</v>
      </c>
      <c r="P661" s="87" t="n">
        <v>0</v>
      </c>
      <c r="Q661" s="87" t="n">
        <v>0</v>
      </c>
      <c r="R661" s="87" t="n">
        <v>0</v>
      </c>
      <c r="S661" s="47" t="n">
        <v>1.6</v>
      </c>
      <c r="T661" s="47" t="n">
        <v>68.3</v>
      </c>
      <c r="U661" s="47" t="n"/>
      <c r="V661" s="87" t="n">
        <v>0</v>
      </c>
      <c r="W661" s="87" t="n">
        <v>0</v>
      </c>
      <c r="Y661" t="inlineStr">
        <is>
          <t>Oct</t>
        </is>
      </c>
      <c r="Z661" s="87" t="n">
        <v>2025</v>
      </c>
      <c r="AA661" s="47">
        <f>IF(F661="",0,F661)</f>
        <v/>
      </c>
      <c r="AB661" s="87">
        <f>IF(AA661&gt;=0.1,1,0)</f>
        <v/>
      </c>
      <c r="AC661" s="87" t="n">
        <v>0</v>
      </c>
      <c r="AD661" s="47">
        <f>IF(U661="",0,U661)</f>
        <v/>
      </c>
      <c r="AE661" s="87">
        <f>IF(OR(V661=1,W661=1),1,0)</f>
        <v/>
      </c>
      <c r="AF661" s="87" t="n">
        <v>0</v>
      </c>
      <c r="AG661" t="n">
        <v>7633</v>
      </c>
      <c r="AH661" t="n">
        <v>127074</v>
      </c>
      <c r="AI661" t="n">
        <v>0</v>
      </c>
      <c r="AJ661" s="88">
        <f>IF(OR(AG661&lt;=0,AH661&lt;=0),"",LN(AG661)-LN(AH661))</f>
        <v/>
      </c>
      <c r="AK661" t="n">
        <v>20342</v>
      </c>
      <c r="AL661" t="n">
        <v>114365</v>
      </c>
      <c r="AM661" s="88">
        <f>IF(OR(AK661&lt;=0,AL661&lt;=0),"",LN(AK661)-LN(AL661))</f>
        <v/>
      </c>
      <c r="AN661" t="n">
        <v>6568</v>
      </c>
      <c r="AO661" t="n">
        <v>121744</v>
      </c>
      <c r="AP661" s="88">
        <f>IF(OR(AN661&lt;=0,AO661&lt;=0),"",LN(AN661)-LN(AO661))</f>
        <v/>
      </c>
      <c r="AQ661" t="n">
        <v>7464</v>
      </c>
      <c r="AR661" t="n">
        <v>127074</v>
      </c>
      <c r="AS661" s="88">
        <f>IF(OR(AQ661&lt;=0,AR661&lt;=0),"",LN(AQ661)-LN(AR661))</f>
        <v/>
      </c>
      <c r="AT661" t="n">
        <v>7454</v>
      </c>
      <c r="AU661" t="n">
        <v>126345</v>
      </c>
      <c r="AV661" t="n">
        <v>912</v>
      </c>
      <c r="AW661" t="n">
        <v>667</v>
      </c>
      <c r="AX661" t="n">
        <v>6901</v>
      </c>
      <c r="AY661" s="88">
        <f>IF(OR(AT661&lt;=0,AU661&lt;=0),"",LN(AT661)-LN(AU661))</f>
        <v/>
      </c>
      <c r="AZ661" s="46" t="n">
        <v>5.8</v>
      </c>
      <c r="BA661" s="46" t="n">
        <v>11.48</v>
      </c>
      <c r="BB661" s="47" t="n">
        <v>5.3</v>
      </c>
    </row>
    <row r="662">
      <c r="A662" s="48" t="n">
        <v>45952</v>
      </c>
      <c r="B662" s="49" t="n">
        <v>145055</v>
      </c>
      <c r="C662" s="50" t="n">
        <v>8.800000000000001</v>
      </c>
      <c r="D662" s="51" t="inlineStr">
        <is>
          <t>Good</t>
        </is>
      </c>
      <c r="E662" s="52" t="n">
        <v>13.1</v>
      </c>
      <c r="F662" s="52" t="n"/>
      <c r="G662" s="51" t="inlineStr">
        <is>
          <t>Wed</t>
        </is>
      </c>
      <c r="H662" s="51" t="inlineStr">
        <is>
          <t>Weekday</t>
        </is>
      </c>
      <c r="I662" s="51" t="inlineStr">
        <is>
          <t>Fall</t>
        </is>
      </c>
      <c r="J662" s="51" t="n">
        <v>25</v>
      </c>
      <c r="K662" s="51" t="inlineStr">
        <is>
          <t>강수량 공란</t>
        </is>
      </c>
      <c r="L662" s="46" t="n">
        <v>17.8</v>
      </c>
      <c r="M662" t="inlineStr">
        <is>
          <t>Good</t>
        </is>
      </c>
      <c r="N662" s="87" t="n">
        <v>25</v>
      </c>
      <c r="O662" s="87" t="n">
        <v>0</v>
      </c>
      <c r="P662" s="87" t="n">
        <v>0</v>
      </c>
      <c r="Q662" s="87" t="n">
        <v>0</v>
      </c>
      <c r="R662" s="87" t="n">
        <v>0</v>
      </c>
      <c r="S662" s="47" t="n">
        <v>1.5</v>
      </c>
      <c r="T662" s="47" t="n">
        <v>72.09999999999999</v>
      </c>
      <c r="U662" s="47" t="n"/>
      <c r="V662" s="87" t="n">
        <v>0</v>
      </c>
      <c r="W662" s="87" t="n">
        <v>0</v>
      </c>
      <c r="Y662" t="inlineStr">
        <is>
          <t>Oct</t>
        </is>
      </c>
      <c r="Z662" s="87" t="n">
        <v>2025</v>
      </c>
      <c r="AA662" s="47">
        <f>IF(F662="",0,F662)</f>
        <v/>
      </c>
      <c r="AB662" s="87">
        <f>IF(AA662&gt;=0.1,1,0)</f>
        <v/>
      </c>
      <c r="AC662" s="87" t="n">
        <v>0</v>
      </c>
      <c r="AD662" s="47">
        <f>IF(U662="",0,U662)</f>
        <v/>
      </c>
      <c r="AE662" s="87">
        <f>IF(OR(V662=1,W662=1),1,0)</f>
        <v/>
      </c>
      <c r="AF662" s="87" t="n">
        <v>0</v>
      </c>
      <c r="AG662" t="n">
        <v>8687</v>
      </c>
      <c r="AH662" t="n">
        <v>136368</v>
      </c>
      <c r="AI662" t="n">
        <v>0</v>
      </c>
      <c r="AJ662" s="88">
        <f>IF(OR(AG662&lt;=0,AH662&lt;=0),"",LN(AG662)-LN(AH662))</f>
        <v/>
      </c>
      <c r="AK662" t="n">
        <v>22424</v>
      </c>
      <c r="AL662" t="n">
        <v>122631</v>
      </c>
      <c r="AM662" s="88">
        <f>IF(OR(AK662&lt;=0,AL662&lt;=0),"",LN(AK662)-LN(AL662))</f>
        <v/>
      </c>
      <c r="AN662" t="n">
        <v>7400</v>
      </c>
      <c r="AO662" t="n">
        <v>130643</v>
      </c>
      <c r="AP662" s="88">
        <f>IF(OR(AN662&lt;=0,AO662&lt;=0),"",LN(AN662)-LN(AO662))</f>
        <v/>
      </c>
      <c r="AQ662" t="n">
        <v>8465</v>
      </c>
      <c r="AR662" t="n">
        <v>136368</v>
      </c>
      <c r="AS662" s="88">
        <f>IF(OR(AQ662&lt;=0,AR662&lt;=0),"",LN(AQ662)-LN(AR662))</f>
        <v/>
      </c>
      <c r="AT662" t="n">
        <v>8358</v>
      </c>
      <c r="AU662" t="n">
        <v>135667</v>
      </c>
      <c r="AV662" t="n">
        <v>1031</v>
      </c>
      <c r="AW662" t="n">
        <v>818</v>
      </c>
      <c r="AX662" t="n">
        <v>7799</v>
      </c>
      <c r="AY662" s="88">
        <f>IF(OR(AT662&lt;=0,AU662&lt;=0),"",LN(AT662)-LN(AU662))</f>
        <v/>
      </c>
      <c r="AZ662" s="46" t="n">
        <v>6.2</v>
      </c>
      <c r="BA662" s="46" t="n">
        <v>12.99</v>
      </c>
      <c r="BB662" s="47" t="n">
        <v>3</v>
      </c>
    </row>
    <row r="663">
      <c r="A663" s="48" t="n">
        <v>45953</v>
      </c>
      <c r="B663" s="49" t="n">
        <v>151467</v>
      </c>
      <c r="C663" s="50" t="n">
        <v>4.68</v>
      </c>
      <c r="D663" s="51" t="inlineStr">
        <is>
          <t>Good</t>
        </is>
      </c>
      <c r="E663" s="52" t="n">
        <v>14.9</v>
      </c>
      <c r="F663" s="52" t="n"/>
      <c r="G663" s="51" t="inlineStr">
        <is>
          <t>Thu</t>
        </is>
      </c>
      <c r="H663" s="51" t="inlineStr">
        <is>
          <t>Weekday</t>
        </is>
      </c>
      <c r="I663" s="51" t="inlineStr">
        <is>
          <t>Fall</t>
        </is>
      </c>
      <c r="J663" s="51" t="n">
        <v>25</v>
      </c>
      <c r="K663" s="51" t="inlineStr">
        <is>
          <t>강수량 공란</t>
        </is>
      </c>
      <c r="L663" s="46" t="n">
        <v>10.48</v>
      </c>
      <c r="M663" t="inlineStr">
        <is>
          <t>Good</t>
        </is>
      </c>
      <c r="N663" s="87" t="n">
        <v>25</v>
      </c>
      <c r="O663" s="87" t="n">
        <v>0</v>
      </c>
      <c r="P663" s="87" t="n">
        <v>0</v>
      </c>
      <c r="Q663" s="87" t="n">
        <v>0</v>
      </c>
      <c r="R663" s="87" t="n">
        <v>0</v>
      </c>
      <c r="S663" s="47" t="n">
        <v>2</v>
      </c>
      <c r="T663" s="47" t="n">
        <v>70.3</v>
      </c>
      <c r="U663" s="47" t="n"/>
      <c r="V663" s="87" t="n">
        <v>0</v>
      </c>
      <c r="W663" s="87" t="n">
        <v>0</v>
      </c>
      <c r="Y663" t="inlineStr">
        <is>
          <t>Oct</t>
        </is>
      </c>
      <c r="Z663" s="87" t="n">
        <v>2025</v>
      </c>
      <c r="AA663" s="47">
        <f>IF(F663="",0,F663)</f>
        <v/>
      </c>
      <c r="AB663" s="87">
        <f>IF(AA663&gt;=0.1,1,0)</f>
        <v/>
      </c>
      <c r="AC663" s="87" t="n">
        <v>0</v>
      </c>
      <c r="AD663" s="47">
        <f>IF(U663="",0,U663)</f>
        <v/>
      </c>
      <c r="AE663" s="87">
        <f>IF(OR(V663=1,W663=1),1,0)</f>
        <v/>
      </c>
      <c r="AF663" s="87" t="n">
        <v>0</v>
      </c>
      <c r="AG663" t="n">
        <v>9148</v>
      </c>
      <c r="AH663" t="n">
        <v>142319</v>
      </c>
      <c r="AI663" t="n">
        <v>0</v>
      </c>
      <c r="AJ663" s="88">
        <f>IF(OR(AG663&lt;=0,AH663&lt;=0),"",LN(AG663)-LN(AH663))</f>
        <v/>
      </c>
      <c r="AK663" t="n">
        <v>23793</v>
      </c>
      <c r="AL663" t="n">
        <v>127674</v>
      </c>
      <c r="AM663" s="88">
        <f>IF(OR(AK663&lt;=0,AL663&lt;=0),"",LN(AK663)-LN(AL663))</f>
        <v/>
      </c>
      <c r="AN663" t="n">
        <v>7769</v>
      </c>
      <c r="AO663" t="n">
        <v>136100</v>
      </c>
      <c r="AP663" s="88">
        <f>IF(OR(AN663&lt;=0,AO663&lt;=0),"",LN(AN663)-LN(AO663))</f>
        <v/>
      </c>
      <c r="AQ663" t="n">
        <v>8937</v>
      </c>
      <c r="AR663" t="n">
        <v>142319</v>
      </c>
      <c r="AS663" s="88">
        <f>IF(OR(AQ663&lt;=0,AR663&lt;=0),"",LN(AQ663)-LN(AR663))</f>
        <v/>
      </c>
      <c r="AT663" t="n">
        <v>8665</v>
      </c>
      <c r="AU663" t="n">
        <v>141734</v>
      </c>
      <c r="AV663" t="n">
        <v>1069</v>
      </c>
      <c r="AW663" t="n">
        <v>743</v>
      </c>
      <c r="AX663" t="n">
        <v>8329</v>
      </c>
      <c r="AY663" s="88">
        <f>IF(OR(AT663&lt;=0,AU663&lt;=0),"",LN(AT663)-LN(AU663))</f>
        <v/>
      </c>
      <c r="AZ663" s="46" t="n">
        <v>4.3</v>
      </c>
      <c r="BA663" s="46" t="n">
        <v>9.49</v>
      </c>
      <c r="BB663" s="47" t="n">
        <v>3.8</v>
      </c>
    </row>
    <row r="664">
      <c r="A664" s="48" t="n">
        <v>45954</v>
      </c>
      <c r="B664" s="49" t="n">
        <v>154754</v>
      </c>
      <c r="C664" s="50" t="n">
        <v>4.48</v>
      </c>
      <c r="D664" s="51" t="inlineStr">
        <is>
          <t>Good</t>
        </is>
      </c>
      <c r="E664" s="52" t="n">
        <v>15.8</v>
      </c>
      <c r="F664" s="52" t="n"/>
      <c r="G664" s="51" t="inlineStr">
        <is>
          <t>Fri</t>
        </is>
      </c>
      <c r="H664" s="51" t="inlineStr">
        <is>
          <t>Weekday</t>
        </is>
      </c>
      <c r="I664" s="51" t="inlineStr">
        <is>
          <t>Fall</t>
        </is>
      </c>
      <c r="J664" s="51" t="n">
        <v>25</v>
      </c>
      <c r="K664" s="51" t="inlineStr">
        <is>
          <t>강수량 공란</t>
        </is>
      </c>
      <c r="L664" s="46" t="n">
        <v>10.08</v>
      </c>
      <c r="M664" t="inlineStr">
        <is>
          <t>Good</t>
        </is>
      </c>
      <c r="N664" s="87" t="n">
        <v>25</v>
      </c>
      <c r="O664" s="87" t="n">
        <v>0</v>
      </c>
      <c r="P664" s="87" t="n">
        <v>0</v>
      </c>
      <c r="Q664" s="87" t="n">
        <v>0</v>
      </c>
      <c r="R664" s="87" t="n">
        <v>0</v>
      </c>
      <c r="S664" s="47" t="n">
        <v>2.1</v>
      </c>
      <c r="T664" s="47" t="n">
        <v>66.5</v>
      </c>
      <c r="U664" s="47" t="n"/>
      <c r="V664" s="87" t="n">
        <v>0</v>
      </c>
      <c r="W664" s="87" t="n">
        <v>0</v>
      </c>
      <c r="Y664" t="inlineStr">
        <is>
          <t>Oct</t>
        </is>
      </c>
      <c r="Z664" s="87" t="n">
        <v>2025</v>
      </c>
      <c r="AA664" s="47">
        <f>IF(F664="",0,F664)</f>
        <v/>
      </c>
      <c r="AB664" s="87">
        <f>IF(AA664&gt;=0.1,1,0)</f>
        <v/>
      </c>
      <c r="AC664" s="87" t="n">
        <v>0</v>
      </c>
      <c r="AD664" s="47">
        <f>IF(U664="",0,U664)</f>
        <v/>
      </c>
      <c r="AE664" s="87">
        <f>IF(OR(V664=1,W664=1),1,0)</f>
        <v/>
      </c>
      <c r="AF664" s="87" t="n">
        <v>0</v>
      </c>
      <c r="AG664" t="n">
        <v>10094</v>
      </c>
      <c r="AH664" t="n">
        <v>144660</v>
      </c>
      <c r="AI664" t="n">
        <v>0</v>
      </c>
      <c r="AJ664" s="88">
        <f>IF(OR(AG664&lt;=0,AH664&lt;=0),"",LN(AG664)-LN(AH664))</f>
        <v/>
      </c>
      <c r="AK664" t="n">
        <v>25286</v>
      </c>
      <c r="AL664" t="n">
        <v>129468</v>
      </c>
      <c r="AM664" s="88">
        <f>IF(OR(AK664&lt;=0,AL664&lt;=0),"",LN(AK664)-LN(AL664))</f>
        <v/>
      </c>
      <c r="AN664" t="n">
        <v>8371</v>
      </c>
      <c r="AO664" t="n">
        <v>138582</v>
      </c>
      <c r="AP664" s="88">
        <f>IF(OR(AN664&lt;=0,AO664&lt;=0),"",LN(AN664)-LN(AO664))</f>
        <v/>
      </c>
      <c r="AQ664" t="n">
        <v>9879</v>
      </c>
      <c r="AR664" t="n">
        <v>144660</v>
      </c>
      <c r="AS664" s="88">
        <f>IF(OR(AQ664&lt;=0,AR664&lt;=0),"",LN(AQ664)-LN(AR664))</f>
        <v/>
      </c>
      <c r="AT664" t="n">
        <v>9324</v>
      </c>
      <c r="AU664" t="n">
        <v>144249</v>
      </c>
      <c r="AV664" t="n">
        <v>1182</v>
      </c>
      <c r="AW664" t="n">
        <v>988</v>
      </c>
      <c r="AX664" t="n">
        <v>9014</v>
      </c>
      <c r="AY664" s="88">
        <f>IF(OR(AT664&lt;=0,AU664&lt;=0),"",LN(AT664)-LN(AU664))</f>
        <v/>
      </c>
      <c r="AZ664" s="46" t="n">
        <v>7.3</v>
      </c>
      <c r="BA664" s="46" t="n">
        <v>14.57</v>
      </c>
      <c r="BB664" s="47" t="n">
        <v>5.4</v>
      </c>
    </row>
    <row r="665">
      <c r="A665" s="48" t="n">
        <v>45955</v>
      </c>
      <c r="B665" s="49" t="n">
        <v>124942</v>
      </c>
      <c r="C665" s="50" t="n">
        <v>10.72</v>
      </c>
      <c r="D665" s="51" t="inlineStr">
        <is>
          <t>Good</t>
        </is>
      </c>
      <c r="E665" s="52" t="n">
        <v>14.4</v>
      </c>
      <c r="F665" s="52" t="n"/>
      <c r="G665" s="51" t="inlineStr">
        <is>
          <t>Sat</t>
        </is>
      </c>
      <c r="H665" s="51" t="inlineStr">
        <is>
          <t>Weekend</t>
        </is>
      </c>
      <c r="I665" s="51" t="inlineStr">
        <is>
          <t>Fall</t>
        </is>
      </c>
      <c r="J665" s="51" t="n">
        <v>25</v>
      </c>
      <c r="K665" s="51" t="inlineStr">
        <is>
          <t>강수량 공란</t>
        </is>
      </c>
      <c r="L665" s="46" t="n">
        <v>21.36</v>
      </c>
      <c r="M665" t="inlineStr">
        <is>
          <t>Good</t>
        </is>
      </c>
      <c r="N665" s="87" t="n">
        <v>25</v>
      </c>
      <c r="O665" s="87" t="n">
        <v>0</v>
      </c>
      <c r="P665" s="87" t="n">
        <v>0</v>
      </c>
      <c r="Q665" s="87" t="n">
        <v>0</v>
      </c>
      <c r="R665" s="87" t="n">
        <v>0</v>
      </c>
      <c r="S665" s="47" t="n">
        <v>2.1</v>
      </c>
      <c r="T665" s="47" t="n">
        <v>66.90000000000001</v>
      </c>
      <c r="U665" s="47" t="n"/>
      <c r="V665" s="87" t="n">
        <v>1</v>
      </c>
      <c r="W665" s="87" t="n">
        <v>0</v>
      </c>
      <c r="Y665" t="inlineStr">
        <is>
          <t>Oct</t>
        </is>
      </c>
      <c r="Z665" s="87" t="n">
        <v>2025</v>
      </c>
      <c r="AA665" s="47">
        <f>IF(F665="",0,F665)</f>
        <v/>
      </c>
      <c r="AB665" s="87">
        <f>IF(AA665&gt;=0.1,1,0)</f>
        <v/>
      </c>
      <c r="AC665" s="87" t="n">
        <v>0</v>
      </c>
      <c r="AD665" s="47">
        <f>IF(U665="",0,U665)</f>
        <v/>
      </c>
      <c r="AE665" s="87">
        <f>IF(OR(V665=1,W665=1),1,0)</f>
        <v/>
      </c>
      <c r="AF665" s="87" t="n">
        <v>0</v>
      </c>
      <c r="AG665" t="n">
        <v>10818</v>
      </c>
      <c r="AH665" t="n">
        <v>114124</v>
      </c>
      <c r="AI665" t="n">
        <v>0</v>
      </c>
      <c r="AJ665" s="88">
        <f>IF(OR(AG665&lt;=0,AH665&lt;=0),"",LN(AG665)-LN(AH665))</f>
        <v/>
      </c>
      <c r="AK665" t="n">
        <v>23562</v>
      </c>
      <c r="AL665" t="n">
        <v>101380</v>
      </c>
      <c r="AM665" s="88">
        <f>IF(OR(AK665&lt;=0,AL665&lt;=0),"",LN(AK665)-LN(AL665))</f>
        <v/>
      </c>
      <c r="AN665" t="n">
        <v>8599</v>
      </c>
      <c r="AO665" t="n">
        <v>109483</v>
      </c>
      <c r="AP665" s="88">
        <f>IF(OR(AN665&lt;=0,AO665&lt;=0),"",LN(AN665)-LN(AO665))</f>
        <v/>
      </c>
      <c r="AQ665" t="n">
        <v>10539</v>
      </c>
      <c r="AR665" t="n">
        <v>114124</v>
      </c>
      <c r="AS665" s="88">
        <f>IF(OR(AQ665&lt;=0,AR665&lt;=0),"",LN(AQ665)-LN(AR665))</f>
        <v/>
      </c>
      <c r="AT665" t="n">
        <v>10238</v>
      </c>
      <c r="AU665" t="n">
        <v>113815</v>
      </c>
      <c r="AV665" t="n">
        <v>889</v>
      </c>
      <c r="AW665" t="n">
        <v>1598</v>
      </c>
      <c r="AX665" t="n">
        <v>9105</v>
      </c>
      <c r="AY665" s="88">
        <f>IF(OR(AT665&lt;=0,AU665&lt;=0),"",LN(AT665)-LN(AU665))</f>
        <v/>
      </c>
      <c r="AZ665" s="46" t="n">
        <v>3.9</v>
      </c>
      <c r="BA665" s="46" t="n">
        <v>8.779999999999999</v>
      </c>
      <c r="BB665" s="47" t="n">
        <v>6.9</v>
      </c>
    </row>
    <row r="666">
      <c r="A666" s="48" t="n">
        <v>45956</v>
      </c>
      <c r="B666" s="49" t="n">
        <v>82071</v>
      </c>
      <c r="C666" s="50" t="n">
        <v>23.6</v>
      </c>
      <c r="D666" s="51" t="inlineStr">
        <is>
          <t>Moderate</t>
        </is>
      </c>
      <c r="E666" s="52" t="n">
        <v>12.2</v>
      </c>
      <c r="F666" s="52" t="n">
        <v>0.5</v>
      </c>
      <c r="G666" s="51" t="inlineStr">
        <is>
          <t>Sun</t>
        </is>
      </c>
      <c r="H666" s="51" t="inlineStr">
        <is>
          <t>Weekend</t>
        </is>
      </c>
      <c r="I666" s="51" t="inlineStr">
        <is>
          <t>Fall</t>
        </is>
      </c>
      <c r="J666" s="51" t="n">
        <v>25</v>
      </c>
      <c r="K666" s="51" t="inlineStr">
        <is>
          <t>OK</t>
        </is>
      </c>
      <c r="L666" s="46" t="n">
        <v>38.12</v>
      </c>
      <c r="M666" t="inlineStr">
        <is>
          <t>Moderate</t>
        </is>
      </c>
      <c r="N666" s="87" t="n">
        <v>25</v>
      </c>
      <c r="O666" s="87" t="n">
        <v>0</v>
      </c>
      <c r="P666" s="87" t="n">
        <v>0</v>
      </c>
      <c r="Q666" s="87" t="n">
        <v>0</v>
      </c>
      <c r="R666" s="87" t="n">
        <v>0</v>
      </c>
      <c r="S666" s="47" t="n">
        <v>1.7</v>
      </c>
      <c r="T666" s="47" t="n">
        <v>70.09999999999999</v>
      </c>
      <c r="U666" s="47" t="n"/>
      <c r="V666" s="87" t="n">
        <v>1</v>
      </c>
      <c r="W666" s="87" t="n">
        <v>0</v>
      </c>
      <c r="Y666" t="inlineStr">
        <is>
          <t>Oct</t>
        </is>
      </c>
      <c r="Z666" s="87" t="n">
        <v>2025</v>
      </c>
      <c r="AA666" s="47">
        <f>IF(F666="",0,F666)</f>
        <v/>
      </c>
      <c r="AB666" s="87">
        <f>IF(AA666&gt;=0.1,1,0)</f>
        <v/>
      </c>
      <c r="AC666" s="87" t="n">
        <v>0</v>
      </c>
      <c r="AD666" s="47">
        <f>IF(U666="",0,U666)</f>
        <v/>
      </c>
      <c r="AE666" s="87">
        <f>IF(OR(V666=1,W666=1),1,0)</f>
        <v/>
      </c>
      <c r="AF666" s="87" t="n">
        <v>0</v>
      </c>
      <c r="AG666" t="n">
        <v>6328</v>
      </c>
      <c r="AH666" t="n">
        <v>75743</v>
      </c>
      <c r="AI666" t="n">
        <v>0</v>
      </c>
      <c r="AJ666" s="88">
        <f>IF(OR(AG666&lt;=0,AH666&lt;=0),"",LN(AG666)-LN(AH666))</f>
        <v/>
      </c>
      <c r="AK666" t="n">
        <v>14053</v>
      </c>
      <c r="AL666" t="n">
        <v>68018</v>
      </c>
      <c r="AM666" s="88">
        <f>IF(OR(AK666&lt;=0,AL666&lt;=0),"",LN(AK666)-LN(AL666))</f>
        <v/>
      </c>
      <c r="AN666" t="n">
        <v>5084</v>
      </c>
      <c r="AO666" t="n">
        <v>72660</v>
      </c>
      <c r="AP666" s="88">
        <f>IF(OR(AN666&lt;=0,AO666&lt;=0),"",LN(AN666)-LN(AO666))</f>
        <v/>
      </c>
      <c r="AQ666" t="n">
        <v>6194</v>
      </c>
      <c r="AR666" t="n">
        <v>75743</v>
      </c>
      <c r="AS666" s="88">
        <f>IF(OR(AQ666&lt;=0,AR666&lt;=0),"",LN(AQ666)-LN(AR666))</f>
        <v/>
      </c>
      <c r="AT666" t="n">
        <v>7154</v>
      </c>
      <c r="AU666" t="n">
        <v>74423</v>
      </c>
      <c r="AV666" t="n">
        <v>496</v>
      </c>
      <c r="AW666" t="n">
        <v>882</v>
      </c>
      <c r="AX666" t="n">
        <v>5400</v>
      </c>
      <c r="AY666" s="88">
        <f>IF(OR(AT666&lt;=0,AU666&lt;=0),"",LN(AT666)-LN(AU666))</f>
        <v/>
      </c>
      <c r="AZ666" s="46" t="n">
        <v>0</v>
      </c>
      <c r="BA666" s="46" t="n">
        <v>4.55</v>
      </c>
      <c r="BB666" s="47" t="n">
        <v>7.4</v>
      </c>
    </row>
    <row r="667">
      <c r="A667" s="48" t="n">
        <v>45957</v>
      </c>
      <c r="B667" s="49" t="n">
        <v>119997</v>
      </c>
      <c r="C667" s="50" t="n">
        <v>11.32</v>
      </c>
      <c r="D667" s="51" t="inlineStr">
        <is>
          <t>Good</t>
        </is>
      </c>
      <c r="E667" s="52" t="n">
        <v>8.1</v>
      </c>
      <c r="F667" s="52" t="n"/>
      <c r="G667" s="51" t="inlineStr">
        <is>
          <t>Mon</t>
        </is>
      </c>
      <c r="H667" s="51" t="inlineStr">
        <is>
          <t>Weekday</t>
        </is>
      </c>
      <c r="I667" s="51" t="inlineStr">
        <is>
          <t>Fall</t>
        </is>
      </c>
      <c r="J667" s="51" t="n">
        <v>25</v>
      </c>
      <c r="K667" s="51" t="inlineStr">
        <is>
          <t>강수량 공란</t>
        </is>
      </c>
      <c r="L667" s="46" t="n">
        <v>28.84</v>
      </c>
      <c r="M667" t="inlineStr">
        <is>
          <t>Good</t>
        </is>
      </c>
      <c r="N667" s="87" t="n">
        <v>25</v>
      </c>
      <c r="O667" s="87" t="n">
        <v>0</v>
      </c>
      <c r="P667" s="87" t="n">
        <v>0</v>
      </c>
      <c r="Q667" s="87" t="n">
        <v>0</v>
      </c>
      <c r="R667" s="87" t="n">
        <v>0</v>
      </c>
      <c r="S667" s="47" t="n">
        <v>2.8</v>
      </c>
      <c r="T667" s="47" t="n">
        <v>45</v>
      </c>
      <c r="U667" s="47" t="n"/>
      <c r="V667" s="87" t="n">
        <v>0</v>
      </c>
      <c r="W667" s="87" t="n">
        <v>0</v>
      </c>
      <c r="Y667" t="inlineStr">
        <is>
          <t>Oct</t>
        </is>
      </c>
      <c r="Z667" s="87" t="n">
        <v>2025</v>
      </c>
      <c r="AA667" s="47">
        <f>IF(F667="",0,F667)</f>
        <v/>
      </c>
      <c r="AB667" s="87">
        <f>IF(AA667&gt;=0.1,1,0)</f>
        <v/>
      </c>
      <c r="AC667" s="87" t="n">
        <v>0</v>
      </c>
      <c r="AD667" s="47">
        <f>IF(U667="",0,U667)</f>
        <v/>
      </c>
      <c r="AE667" s="87">
        <f>IF(OR(V667=1,W667=1),1,0)</f>
        <v/>
      </c>
      <c r="AF667" s="87" t="n">
        <v>0</v>
      </c>
      <c r="AG667" t="n">
        <v>6266</v>
      </c>
      <c r="AH667" t="n">
        <v>113731</v>
      </c>
      <c r="AI667" t="n">
        <v>0</v>
      </c>
      <c r="AJ667" s="88">
        <f>IF(OR(AG667&lt;=0,AH667&lt;=0),"",LN(AG667)-LN(AH667))</f>
        <v/>
      </c>
      <c r="AK667" t="n">
        <v>17464</v>
      </c>
      <c r="AL667" t="n">
        <v>102533</v>
      </c>
      <c r="AM667" s="88">
        <f>IF(OR(AK667&lt;=0,AL667&lt;=0),"",LN(AK667)-LN(AL667))</f>
        <v/>
      </c>
      <c r="AN667" t="n">
        <v>5508</v>
      </c>
      <c r="AO667" t="n">
        <v>108869</v>
      </c>
      <c r="AP667" s="88">
        <f>IF(OR(AN667&lt;=0,AO667&lt;=0),"",LN(AN667)-LN(AO667))</f>
        <v/>
      </c>
      <c r="AQ667" t="n">
        <v>6130</v>
      </c>
      <c r="AR667" t="n">
        <v>113731</v>
      </c>
      <c r="AS667" s="88">
        <f>IF(OR(AQ667&lt;=0,AR667&lt;=0),"",LN(AQ667)-LN(AR667))</f>
        <v/>
      </c>
      <c r="AT667" t="n">
        <v>6709</v>
      </c>
      <c r="AU667" t="n">
        <v>112502</v>
      </c>
      <c r="AV667" t="n">
        <v>789</v>
      </c>
      <c r="AW667" t="n">
        <v>517</v>
      </c>
      <c r="AX667" t="n">
        <v>5703</v>
      </c>
      <c r="AY667" s="88">
        <f>IF(OR(AT667&lt;=0,AU667&lt;=0),"",LN(AT667)-LN(AU667))</f>
        <v/>
      </c>
      <c r="AZ667" s="46" t="n">
        <v>9.199999999999999</v>
      </c>
      <c r="BA667" s="46" t="n">
        <v>16.01</v>
      </c>
      <c r="BB667" s="47" t="n">
        <v>0</v>
      </c>
    </row>
    <row r="668">
      <c r="A668" s="48" t="n">
        <v>45958</v>
      </c>
      <c r="B668" s="49" t="n">
        <v>127462</v>
      </c>
      <c r="C668" s="50" t="n">
        <v>9</v>
      </c>
      <c r="D668" s="51" t="inlineStr">
        <is>
          <t>Good</t>
        </is>
      </c>
      <c r="E668" s="52" t="n">
        <v>8.5</v>
      </c>
      <c r="F668" s="52" t="n"/>
      <c r="G668" s="51" t="inlineStr">
        <is>
          <t>Tue</t>
        </is>
      </c>
      <c r="H668" s="51" t="inlineStr">
        <is>
          <t>Weekday</t>
        </is>
      </c>
      <c r="I668" s="51" t="inlineStr">
        <is>
          <t>Fall</t>
        </is>
      </c>
      <c r="J668" s="51" t="n">
        <v>25</v>
      </c>
      <c r="K668" s="51" t="inlineStr">
        <is>
          <t>강수량 공란</t>
        </is>
      </c>
      <c r="L668" s="46" t="n">
        <v>21.76</v>
      </c>
      <c r="M668" t="inlineStr">
        <is>
          <t>Good</t>
        </is>
      </c>
      <c r="N668" s="87" t="n">
        <v>25</v>
      </c>
      <c r="O668" s="87" t="n">
        <v>0</v>
      </c>
      <c r="P668" s="87" t="n">
        <v>0</v>
      </c>
      <c r="Q668" s="87" t="n">
        <v>0</v>
      </c>
      <c r="R668" s="87" t="n">
        <v>0</v>
      </c>
      <c r="S668" s="47" t="n">
        <v>1.4</v>
      </c>
      <c r="T668" s="47" t="n">
        <v>52.4</v>
      </c>
      <c r="U668" s="47" t="n"/>
      <c r="V668" s="87" t="n">
        <v>0</v>
      </c>
      <c r="W668" s="87" t="n">
        <v>0</v>
      </c>
      <c r="Y668" t="inlineStr">
        <is>
          <t>Oct</t>
        </is>
      </c>
      <c r="Z668" s="87" t="n">
        <v>2025</v>
      </c>
      <c r="AA668" s="47">
        <f>IF(F668="",0,F668)</f>
        <v/>
      </c>
      <c r="AB668" s="87">
        <f>IF(AA668&gt;=0.1,1,0)</f>
        <v/>
      </c>
      <c r="AC668" s="87" t="n">
        <v>0</v>
      </c>
      <c r="AD668" s="47">
        <f>IF(U668="",0,U668)</f>
        <v/>
      </c>
      <c r="AE668" s="87">
        <f>IF(OR(V668=1,W668=1),1,0)</f>
        <v/>
      </c>
      <c r="AF668" s="87" t="n">
        <v>0</v>
      </c>
      <c r="AG668" t="n">
        <v>6839</v>
      </c>
      <c r="AH668" t="n">
        <v>120623</v>
      </c>
      <c r="AI668" t="n">
        <v>0</v>
      </c>
      <c r="AJ668" s="88">
        <f>IF(OR(AG668&lt;=0,AH668&lt;=0),"",LN(AG668)-LN(AH668))</f>
        <v/>
      </c>
      <c r="AK668" t="n">
        <v>18797</v>
      </c>
      <c r="AL668" t="n">
        <v>108665</v>
      </c>
      <c r="AM668" s="88">
        <f>IF(OR(AK668&lt;=0,AL668&lt;=0),"",LN(AK668)-LN(AL668))</f>
        <v/>
      </c>
      <c r="AN668" t="n">
        <v>5870</v>
      </c>
      <c r="AO668" t="n">
        <v>115521</v>
      </c>
      <c r="AP668" s="88">
        <f>IF(OR(AN668&lt;=0,AO668&lt;=0),"",LN(AN668)-LN(AO668))</f>
        <v/>
      </c>
      <c r="AQ668" t="n">
        <v>6697</v>
      </c>
      <c r="AR668" t="n">
        <v>120623</v>
      </c>
      <c r="AS668" s="88">
        <f>IF(OR(AQ668&lt;=0,AR668&lt;=0),"",LN(AQ668)-LN(AR668))</f>
        <v/>
      </c>
      <c r="AT668" t="n">
        <v>7060</v>
      </c>
      <c r="AU668" t="n">
        <v>119572</v>
      </c>
      <c r="AV668" t="n">
        <v>831</v>
      </c>
      <c r="AW668" t="n">
        <v>618</v>
      </c>
      <c r="AX668" t="n">
        <v>6177</v>
      </c>
      <c r="AY668" s="88">
        <f>IF(OR(AT668&lt;=0,AU668&lt;=0),"",LN(AT668)-LN(AU668))</f>
        <v/>
      </c>
      <c r="AZ668" s="46" t="n">
        <v>9</v>
      </c>
      <c r="BA668" s="46" t="n">
        <v>15.43</v>
      </c>
      <c r="BB668" s="47" t="n">
        <v>0.5</v>
      </c>
    </row>
    <row r="669">
      <c r="A669" s="48" t="n">
        <v>45959</v>
      </c>
      <c r="B669" s="49" t="n">
        <v>137699</v>
      </c>
      <c r="C669" s="50" t="n">
        <v>14.72</v>
      </c>
      <c r="D669" s="51" t="inlineStr">
        <is>
          <t>Good</t>
        </is>
      </c>
      <c r="E669" s="52" t="n">
        <v>11.4</v>
      </c>
      <c r="F669" s="52" t="n"/>
      <c r="G669" s="51" t="inlineStr">
        <is>
          <t>Wed</t>
        </is>
      </c>
      <c r="H669" s="51" t="inlineStr">
        <is>
          <t>Weekday</t>
        </is>
      </c>
      <c r="I669" s="51" t="inlineStr">
        <is>
          <t>Fall</t>
        </is>
      </c>
      <c r="J669" s="51" t="n">
        <v>25</v>
      </c>
      <c r="K669" s="51" t="inlineStr">
        <is>
          <t>강수량 공란</t>
        </is>
      </c>
      <c r="L669" s="46" t="n">
        <v>27.08</v>
      </c>
      <c r="M669" t="inlineStr">
        <is>
          <t>Good</t>
        </is>
      </c>
      <c r="N669" s="87" t="n">
        <v>25</v>
      </c>
      <c r="O669" s="87" t="n">
        <v>0</v>
      </c>
      <c r="P669" s="87" t="n">
        <v>0</v>
      </c>
      <c r="Q669" s="87" t="n">
        <v>0</v>
      </c>
      <c r="R669" s="87" t="n">
        <v>0</v>
      </c>
      <c r="S669" s="47" t="n">
        <v>1.7</v>
      </c>
      <c r="T669" s="47" t="n">
        <v>65</v>
      </c>
      <c r="U669" s="47" t="n"/>
      <c r="V669" s="87" t="n">
        <v>0</v>
      </c>
      <c r="W669" s="87" t="n">
        <v>0</v>
      </c>
      <c r="Y669" t="inlineStr">
        <is>
          <t>Oct</t>
        </is>
      </c>
      <c r="Z669" s="87" t="n">
        <v>2025</v>
      </c>
      <c r="AA669" s="47">
        <f>IF(F669="",0,F669)</f>
        <v/>
      </c>
      <c r="AB669" s="87">
        <f>IF(AA669&gt;=0.1,1,0)</f>
        <v/>
      </c>
      <c r="AC669" s="87" t="n">
        <v>0</v>
      </c>
      <c r="AD669" s="47">
        <f>IF(U669="",0,U669)</f>
        <v/>
      </c>
      <c r="AE669" s="87">
        <f>IF(OR(V669=1,W669=1),1,0)</f>
        <v/>
      </c>
      <c r="AF669" s="87" t="n">
        <v>0</v>
      </c>
      <c r="AG669" t="n">
        <v>7990</v>
      </c>
      <c r="AH669" t="n">
        <v>129709</v>
      </c>
      <c r="AI669" t="n">
        <v>0</v>
      </c>
      <c r="AJ669" s="88">
        <f>IF(OR(AG669&lt;=0,AH669&lt;=0),"",LN(AG669)-LN(AH669))</f>
        <v/>
      </c>
      <c r="AK669" t="n">
        <v>20969</v>
      </c>
      <c r="AL669" t="n">
        <v>116730</v>
      </c>
      <c r="AM669" s="88">
        <f>IF(OR(AK669&lt;=0,AL669&lt;=0),"",LN(AK669)-LN(AL669))</f>
        <v/>
      </c>
      <c r="AN669" t="n">
        <v>6832</v>
      </c>
      <c r="AO669" t="n">
        <v>124326</v>
      </c>
      <c r="AP669" s="88">
        <f>IF(OR(AN669&lt;=0,AO669&lt;=0),"",LN(AN669)-LN(AO669))</f>
        <v/>
      </c>
      <c r="AQ669" t="n">
        <v>7802</v>
      </c>
      <c r="AR669" t="n">
        <v>129709</v>
      </c>
      <c r="AS669" s="88">
        <f>IF(OR(AQ669&lt;=0,AR669&lt;=0),"",LN(AQ669)-LN(AR669))</f>
        <v/>
      </c>
      <c r="AT669" t="n">
        <v>7768</v>
      </c>
      <c r="AU669" t="n">
        <v>129015</v>
      </c>
      <c r="AV669" t="n">
        <v>916</v>
      </c>
      <c r="AW669" t="n">
        <v>728</v>
      </c>
      <c r="AX669" t="n">
        <v>7206</v>
      </c>
      <c r="AY669" s="88">
        <f>IF(OR(AT669&lt;=0,AU669&lt;=0),"",LN(AT669)-LN(AU669))</f>
        <v/>
      </c>
      <c r="AZ669" s="46" t="n">
        <v>7.6</v>
      </c>
      <c r="BA669" s="46" t="n">
        <v>13.27</v>
      </c>
      <c r="BB669" s="47" t="n">
        <v>1.1</v>
      </c>
    </row>
    <row r="670">
      <c r="A670" s="48" t="n">
        <v>45960</v>
      </c>
      <c r="B670" s="49" t="n">
        <v>140129</v>
      </c>
      <c r="C670" s="50" t="n">
        <v>22.2</v>
      </c>
      <c r="D670" s="51" t="inlineStr">
        <is>
          <t>Moderate</t>
        </is>
      </c>
      <c r="E670" s="52" t="n">
        <v>12.8</v>
      </c>
      <c r="F670" s="52" t="n"/>
      <c r="G670" s="51" t="inlineStr">
        <is>
          <t>Thu</t>
        </is>
      </c>
      <c r="H670" s="51" t="inlineStr">
        <is>
          <t>Weekday</t>
        </is>
      </c>
      <c r="I670" s="51" t="inlineStr">
        <is>
          <t>Fall</t>
        </is>
      </c>
      <c r="J670" s="51" t="n">
        <v>25</v>
      </c>
      <c r="K670" s="51" t="inlineStr">
        <is>
          <t>강수량 공란</t>
        </is>
      </c>
      <c r="L670" s="46" t="n">
        <v>34.84</v>
      </c>
      <c r="M670" t="inlineStr">
        <is>
          <t>Moderate</t>
        </is>
      </c>
      <c r="N670" s="87" t="n">
        <v>25</v>
      </c>
      <c r="O670" s="87" t="n">
        <v>0</v>
      </c>
      <c r="P670" s="87" t="n">
        <v>0</v>
      </c>
      <c r="Q670" s="87" t="n">
        <v>0</v>
      </c>
      <c r="R670" s="87" t="n">
        <v>0</v>
      </c>
      <c r="S670" s="47" t="n">
        <v>1.5</v>
      </c>
      <c r="T670" s="47" t="n">
        <v>70.3</v>
      </c>
      <c r="U670" s="47" t="n"/>
      <c r="V670" s="87" t="n">
        <v>0</v>
      </c>
      <c r="W670" s="87" t="n">
        <v>0</v>
      </c>
      <c r="Y670" t="inlineStr">
        <is>
          <t>Oct</t>
        </is>
      </c>
      <c r="Z670" s="87" t="n">
        <v>2025</v>
      </c>
      <c r="AA670" s="47">
        <f>IF(F670="",0,F670)</f>
        <v/>
      </c>
      <c r="AB670" s="87">
        <f>IF(AA670&gt;=0.1,1,0)</f>
        <v/>
      </c>
      <c r="AC670" s="87" t="n">
        <v>0</v>
      </c>
      <c r="AD670" s="47">
        <f>IF(U670="",0,U670)</f>
        <v/>
      </c>
      <c r="AE670" s="87">
        <f>IF(OR(V670=1,W670=1),1,0)</f>
        <v/>
      </c>
      <c r="AF670" s="87" t="n">
        <v>0</v>
      </c>
      <c r="AG670" t="n">
        <v>7726</v>
      </c>
      <c r="AH670" t="n">
        <v>132403</v>
      </c>
      <c r="AI670" t="n">
        <v>0</v>
      </c>
      <c r="AJ670" s="88">
        <f>IF(OR(AG670&lt;=0,AH670&lt;=0),"",LN(AG670)-LN(AH670))</f>
        <v/>
      </c>
      <c r="AK670" t="n">
        <v>21211</v>
      </c>
      <c r="AL670" t="n">
        <v>118918</v>
      </c>
      <c r="AM670" s="88">
        <f>IF(OR(AK670&lt;=0,AL670&lt;=0),"",LN(AK670)-LN(AL670))</f>
        <v/>
      </c>
      <c r="AN670" t="n">
        <v>6578</v>
      </c>
      <c r="AO670" t="n">
        <v>126903</v>
      </c>
      <c r="AP670" s="88">
        <f>IF(OR(AN670&lt;=0,AO670&lt;=0),"",LN(AN670)-LN(AO670))</f>
        <v/>
      </c>
      <c r="AQ670" t="n">
        <v>7552</v>
      </c>
      <c r="AR670" t="n">
        <v>132403</v>
      </c>
      <c r="AS670" s="88">
        <f>IF(OR(AQ670&lt;=0,AR670&lt;=0),"",LN(AQ670)-LN(AR670))</f>
        <v/>
      </c>
      <c r="AT670" t="n">
        <v>8005</v>
      </c>
      <c r="AU670" t="n">
        <v>131163</v>
      </c>
      <c r="AV670" t="n">
        <v>961</v>
      </c>
      <c r="AW670" t="n">
        <v>708</v>
      </c>
      <c r="AX670" t="n">
        <v>6961</v>
      </c>
      <c r="AY670" s="88">
        <f>IF(OR(AT670&lt;=0,AU670&lt;=0),"",LN(AT670)-LN(AU670))</f>
        <v/>
      </c>
      <c r="AZ670" s="46" t="n">
        <v>6.7</v>
      </c>
      <c r="BA670" s="46" t="n">
        <v>11.38</v>
      </c>
      <c r="BB670" s="47" t="n">
        <v>5.5</v>
      </c>
    </row>
    <row r="671">
      <c r="A671" s="48" t="n">
        <v>45961</v>
      </c>
      <c r="B671" s="49" t="n">
        <v>141807</v>
      </c>
      <c r="C671" s="50" t="n">
        <v>23.44</v>
      </c>
      <c r="D671" s="51" t="inlineStr">
        <is>
          <t>Moderate</t>
        </is>
      </c>
      <c r="E671" s="52" t="n">
        <v>15.1</v>
      </c>
      <c r="F671" s="52" t="n">
        <v>0.1</v>
      </c>
      <c r="G671" s="51" t="inlineStr">
        <is>
          <t>Fri</t>
        </is>
      </c>
      <c r="H671" s="51" t="inlineStr">
        <is>
          <t>Weekday</t>
        </is>
      </c>
      <c r="I671" s="51" t="inlineStr">
        <is>
          <t>Fall</t>
        </is>
      </c>
      <c r="J671" s="51" t="n">
        <v>25</v>
      </c>
      <c r="K671" s="51" t="inlineStr">
        <is>
          <t>OK</t>
        </is>
      </c>
      <c r="L671" s="46" t="n">
        <v>36.32</v>
      </c>
      <c r="M671" t="inlineStr">
        <is>
          <t>Moderate</t>
        </is>
      </c>
      <c r="N671" s="87" t="n">
        <v>25</v>
      </c>
      <c r="O671" s="87" t="n">
        <v>0</v>
      </c>
      <c r="P671" s="87" t="n">
        <v>0</v>
      </c>
      <c r="Q671" s="87" t="n">
        <v>0</v>
      </c>
      <c r="R671" s="87" t="n">
        <v>0</v>
      </c>
      <c r="S671" s="47" t="n">
        <v>2</v>
      </c>
      <c r="T671" s="47" t="n">
        <v>69.90000000000001</v>
      </c>
      <c r="U671" s="47" t="n"/>
      <c r="V671" s="87" t="n">
        <v>0</v>
      </c>
      <c r="W671" s="87" t="n">
        <v>0</v>
      </c>
      <c r="Y671" t="inlineStr">
        <is>
          <t>Oct</t>
        </is>
      </c>
      <c r="Z671" s="87" t="n">
        <v>2025</v>
      </c>
      <c r="AA671" s="47">
        <f>IF(F671="",0,F671)</f>
        <v/>
      </c>
      <c r="AB671" s="87">
        <f>IF(AA671&gt;=0.1,1,0)</f>
        <v/>
      </c>
      <c r="AC671" s="87" t="n">
        <v>0</v>
      </c>
      <c r="AD671" s="47">
        <f>IF(U671="",0,U671)</f>
        <v/>
      </c>
      <c r="AE671" s="87">
        <f>IF(OR(V671=1,W671=1),1,0)</f>
        <v/>
      </c>
      <c r="AF671" s="87" t="n">
        <v>0</v>
      </c>
      <c r="AG671" t="n">
        <v>8182</v>
      </c>
      <c r="AH671" t="n">
        <v>133625</v>
      </c>
      <c r="AI671" t="n">
        <v>0</v>
      </c>
      <c r="AJ671" s="88">
        <f>IF(OR(AG671&lt;=0,AH671&lt;=0),"",LN(AG671)-LN(AH671))</f>
        <v/>
      </c>
      <c r="AK671" t="n">
        <v>21874</v>
      </c>
      <c r="AL671" t="n">
        <v>119933</v>
      </c>
      <c r="AM671" s="88">
        <f>IF(OR(AK671&lt;=0,AL671&lt;=0),"",LN(AK671)-LN(AL671))</f>
        <v/>
      </c>
      <c r="AN671" t="n">
        <v>6847</v>
      </c>
      <c r="AO671" t="n">
        <v>127857</v>
      </c>
      <c r="AP671" s="88">
        <f>IF(OR(AN671&lt;=0,AO671&lt;=0),"",LN(AN671)-LN(AO671))</f>
        <v/>
      </c>
      <c r="AQ671" t="n">
        <v>8014</v>
      </c>
      <c r="AR671" t="n">
        <v>133625</v>
      </c>
      <c r="AS671" s="88">
        <f>IF(OR(AQ671&lt;=0,AR671&lt;=0),"",LN(AQ671)-LN(AR671))</f>
        <v/>
      </c>
      <c r="AT671" t="n">
        <v>8673</v>
      </c>
      <c r="AU671" t="n">
        <v>132154</v>
      </c>
      <c r="AV671" t="n">
        <v>982</v>
      </c>
      <c r="AW671" t="n">
        <v>767</v>
      </c>
      <c r="AX671" t="n">
        <v>7347</v>
      </c>
      <c r="AY671" s="88">
        <f>IF(OR(AT671&lt;=0,AU671&lt;=0),"",LN(AT671)-LN(AU671))</f>
        <v/>
      </c>
      <c r="AZ671" s="46" t="n">
        <v>2.5</v>
      </c>
      <c r="BA671" s="46" t="n">
        <v>10.42</v>
      </c>
      <c r="BB671" s="47" t="n">
        <v>8.1</v>
      </c>
    </row>
    <row r="672">
      <c r="A672" s="48" t="n">
        <v>45962</v>
      </c>
      <c r="B672" s="49" t="n">
        <v>94090</v>
      </c>
      <c r="C672" s="50" t="n">
        <v>13.68</v>
      </c>
      <c r="D672" s="51" t="inlineStr">
        <is>
          <t>Good</t>
        </is>
      </c>
      <c r="E672" s="52" t="n">
        <v>12.9</v>
      </c>
      <c r="F672" s="52" t="n">
        <v>2.4</v>
      </c>
      <c r="G672" s="51" t="inlineStr">
        <is>
          <t>Sat</t>
        </is>
      </c>
      <c r="H672" s="51" t="inlineStr">
        <is>
          <t>Weekend</t>
        </is>
      </c>
      <c r="I672" s="51" t="inlineStr">
        <is>
          <t>Fall</t>
        </is>
      </c>
      <c r="J672" s="51" t="n">
        <v>25</v>
      </c>
      <c r="K672" s="51" t="inlineStr">
        <is>
          <t>OK</t>
        </is>
      </c>
      <c r="L672" s="46" t="n">
        <v>22</v>
      </c>
      <c r="M672" t="inlineStr">
        <is>
          <t>Good</t>
        </is>
      </c>
      <c r="N672" s="87" t="n">
        <v>25</v>
      </c>
      <c r="O672" s="87" t="n">
        <v>0</v>
      </c>
      <c r="P672" s="87" t="n">
        <v>0</v>
      </c>
      <c r="Q672" s="87" t="n">
        <v>0</v>
      </c>
      <c r="R672" s="87" t="n">
        <v>0</v>
      </c>
      <c r="S672" s="47" t="n">
        <v>2.3</v>
      </c>
      <c r="T672" s="47" t="n">
        <v>73</v>
      </c>
      <c r="U672" s="47" t="n"/>
      <c r="V672" s="87" t="n">
        <v>1</v>
      </c>
      <c r="W672" s="87" t="n">
        <v>0</v>
      </c>
      <c r="Y672" t="inlineStr">
        <is>
          <t>Nov</t>
        </is>
      </c>
      <c r="Z672" s="87" t="n">
        <v>2025</v>
      </c>
      <c r="AA672" s="47">
        <f>IF(F672="",0,F672)</f>
        <v/>
      </c>
      <c r="AB672" s="87">
        <f>IF(AA672&gt;=0.1,1,0)</f>
        <v/>
      </c>
      <c r="AC672" s="87" t="n">
        <v>0</v>
      </c>
      <c r="AD672" s="47">
        <f>IF(U672="",0,U672)</f>
        <v/>
      </c>
      <c r="AE672" s="87">
        <f>IF(OR(V672=1,W672=1),1,0)</f>
        <v/>
      </c>
      <c r="AF672" s="87" t="n">
        <v>0</v>
      </c>
      <c r="AG672" t="n">
        <v>7534</v>
      </c>
      <c r="AH672" t="n">
        <v>86556</v>
      </c>
      <c r="AI672" t="n">
        <v>0</v>
      </c>
      <c r="AJ672" s="88">
        <f>IF(OR(AG672&lt;=0,AH672&lt;=0),"",LN(AG672)-LN(AH672))</f>
        <v/>
      </c>
      <c r="AK672" t="n">
        <v>16859</v>
      </c>
      <c r="AL672" t="n">
        <v>77231</v>
      </c>
      <c r="AM672" s="88">
        <f>IF(OR(AK672&lt;=0,AL672&lt;=0),"",LN(AK672)-LN(AL672))</f>
        <v/>
      </c>
      <c r="AN672" t="n">
        <v>5768</v>
      </c>
      <c r="AO672" t="n">
        <v>83006</v>
      </c>
      <c r="AP672" s="88">
        <f>IF(OR(AN672&lt;=0,AO672&lt;=0),"",LN(AN672)-LN(AO672))</f>
        <v/>
      </c>
      <c r="AQ672" t="n">
        <v>7346</v>
      </c>
      <c r="AR672" t="n">
        <v>86556</v>
      </c>
      <c r="AS672" s="88">
        <f>IF(OR(AQ672&lt;=0,AR672&lt;=0),"",LN(AQ672)-LN(AR672))</f>
        <v/>
      </c>
      <c r="AT672" t="n">
        <v>7753</v>
      </c>
      <c r="AU672" t="n">
        <v>85679</v>
      </c>
      <c r="AV672" t="n">
        <v>659</v>
      </c>
      <c r="AW672" t="n">
        <v>1126</v>
      </c>
      <c r="AX672" t="n">
        <v>6350</v>
      </c>
      <c r="AY672" s="88">
        <f>IF(OR(AT672&lt;=0,AU672&lt;=0),"",LN(AT672)-LN(AU672))</f>
        <v/>
      </c>
      <c r="AZ672" s="46" t="n">
        <v>8.1</v>
      </c>
      <c r="BA672" s="46" t="n">
        <v>14.23</v>
      </c>
      <c r="BB672" s="47" t="n">
        <v>3.8</v>
      </c>
    </row>
    <row r="673">
      <c r="A673" s="48" t="n">
        <v>45963</v>
      </c>
      <c r="B673" s="49" t="n">
        <v>78413</v>
      </c>
      <c r="C673" s="50" t="n">
        <v>8.960000000000001</v>
      </c>
      <c r="D673" s="51" t="inlineStr">
        <is>
          <t>Good</t>
        </is>
      </c>
      <c r="E673" s="52" t="n">
        <v>8</v>
      </c>
      <c r="F673" s="52" t="n">
        <v>0.2</v>
      </c>
      <c r="G673" s="51" t="inlineStr">
        <is>
          <t>Sun</t>
        </is>
      </c>
      <c r="H673" s="51" t="inlineStr">
        <is>
          <t>Weekend</t>
        </is>
      </c>
      <c r="I673" s="51" t="inlineStr">
        <is>
          <t>Fall</t>
        </is>
      </c>
      <c r="J673" s="51" t="n">
        <v>25</v>
      </c>
      <c r="K673" s="51" t="inlineStr">
        <is>
          <t>OK</t>
        </is>
      </c>
      <c r="L673" s="46" t="n">
        <v>28.68</v>
      </c>
      <c r="M673" t="inlineStr">
        <is>
          <t>Good</t>
        </is>
      </c>
      <c r="N673" s="87" t="n">
        <v>25</v>
      </c>
      <c r="O673" s="87" t="n">
        <v>0</v>
      </c>
      <c r="P673" s="87" t="n">
        <v>0</v>
      </c>
      <c r="Q673" s="87" t="n">
        <v>0</v>
      </c>
      <c r="R673" s="87" t="n">
        <v>0</v>
      </c>
      <c r="S673" s="47" t="n">
        <v>3.1</v>
      </c>
      <c r="T673" s="47" t="n">
        <v>57</v>
      </c>
      <c r="U673" s="47" t="n"/>
      <c r="V673" s="87" t="n">
        <v>1</v>
      </c>
      <c r="W673" s="87" t="n">
        <v>0</v>
      </c>
      <c r="Y673" t="inlineStr">
        <is>
          <t>Nov</t>
        </is>
      </c>
      <c r="Z673" s="87" t="n">
        <v>2025</v>
      </c>
      <c r="AA673" s="47">
        <f>IF(F673="",0,F673)</f>
        <v/>
      </c>
      <c r="AB673" s="87">
        <f>IF(AA673&gt;=0.1,1,0)</f>
        <v/>
      </c>
      <c r="AC673" s="87" t="n">
        <v>0</v>
      </c>
      <c r="AD673" s="47">
        <f>IF(U673="",0,U673)</f>
        <v/>
      </c>
      <c r="AE673" s="87">
        <f>IF(OR(V673=1,W673=1),1,0)</f>
        <v/>
      </c>
      <c r="AF673" s="87" t="n">
        <v>0</v>
      </c>
      <c r="AG673" t="n">
        <v>5683</v>
      </c>
      <c r="AH673" t="n">
        <v>72730</v>
      </c>
      <c r="AI673" t="n">
        <v>0</v>
      </c>
      <c r="AJ673" s="88">
        <f>IF(OR(AG673&lt;=0,AH673&lt;=0),"",LN(AG673)-LN(AH673))</f>
        <v/>
      </c>
      <c r="AK673" t="n">
        <v>12877</v>
      </c>
      <c r="AL673" t="n">
        <v>65536</v>
      </c>
      <c r="AM673" s="88">
        <f>IF(OR(AK673&lt;=0,AL673&lt;=0),"",LN(AK673)-LN(AL673))</f>
        <v/>
      </c>
      <c r="AN673" t="n">
        <v>4502</v>
      </c>
      <c r="AO673" t="n">
        <v>69824</v>
      </c>
      <c r="AP673" s="88">
        <f>IF(OR(AN673&lt;=0,AO673&lt;=0),"",LN(AN673)-LN(AO673))</f>
        <v/>
      </c>
      <c r="AQ673" t="n">
        <v>5527</v>
      </c>
      <c r="AR673" t="n">
        <v>72730</v>
      </c>
      <c r="AS673" s="88">
        <f>IF(OR(AQ673&lt;=0,AR673&lt;=0),"",LN(AQ673)-LN(AR673))</f>
        <v/>
      </c>
      <c r="AT673" t="n">
        <v>6737</v>
      </c>
      <c r="AU673" t="n">
        <v>71059</v>
      </c>
      <c r="AV673" t="n">
        <v>618</v>
      </c>
      <c r="AW673" t="n">
        <v>779</v>
      </c>
      <c r="AX673" t="n">
        <v>4839</v>
      </c>
      <c r="AY673" s="88">
        <f>IF(OR(AT673&lt;=0,AU673&lt;=0),"",LN(AT673)-LN(AU673))</f>
        <v/>
      </c>
      <c r="AZ673" s="46" t="n">
        <v>8.1</v>
      </c>
      <c r="BA673" s="46" t="n">
        <v>14.4</v>
      </c>
      <c r="BB673" s="47" t="n">
        <v>1.9</v>
      </c>
    </row>
    <row r="674">
      <c r="A674" s="48" t="n">
        <v>45964</v>
      </c>
      <c r="B674" s="49" t="n">
        <v>117514</v>
      </c>
      <c r="C674" s="50" t="n">
        <v>11.76</v>
      </c>
      <c r="D674" s="51" t="inlineStr">
        <is>
          <t>Good</t>
        </is>
      </c>
      <c r="E674" s="52" t="n">
        <v>7.2</v>
      </c>
      <c r="F674" s="52" t="n"/>
      <c r="G674" s="51" t="inlineStr">
        <is>
          <t>Mon</t>
        </is>
      </c>
      <c r="H674" s="51" t="inlineStr">
        <is>
          <t>Weekday</t>
        </is>
      </c>
      <c r="I674" s="51" t="inlineStr">
        <is>
          <t>Fall</t>
        </is>
      </c>
      <c r="J674" s="51" t="n">
        <v>25</v>
      </c>
      <c r="K674" s="51" t="inlineStr">
        <is>
          <t>강수량 공란</t>
        </is>
      </c>
      <c r="L674" s="46" t="n">
        <v>21.12</v>
      </c>
      <c r="M674" t="inlineStr">
        <is>
          <t>Good</t>
        </is>
      </c>
      <c r="N674" s="87" t="n">
        <v>25</v>
      </c>
      <c r="O674" s="87" t="n">
        <v>0</v>
      </c>
      <c r="P674" s="87" t="n">
        <v>0</v>
      </c>
      <c r="Q674" s="87" t="n">
        <v>0</v>
      </c>
      <c r="R674" s="87" t="n">
        <v>0</v>
      </c>
      <c r="S674" s="47" t="n">
        <v>1.5</v>
      </c>
      <c r="T674" s="47" t="n">
        <v>54.1</v>
      </c>
      <c r="U674" s="47" t="n"/>
      <c r="V674" s="87" t="n">
        <v>0</v>
      </c>
      <c r="W674" s="87" t="n">
        <v>0</v>
      </c>
      <c r="Y674" t="inlineStr">
        <is>
          <t>Nov</t>
        </is>
      </c>
      <c r="Z674" s="87" t="n">
        <v>2025</v>
      </c>
      <c r="AA674" s="47">
        <f>IF(F674="",0,F674)</f>
        <v/>
      </c>
      <c r="AB674" s="87">
        <f>IF(AA674&gt;=0.1,1,0)</f>
        <v/>
      </c>
      <c r="AC674" s="87" t="n">
        <v>0</v>
      </c>
      <c r="AD674" s="47">
        <f>IF(U674="",0,U674)</f>
        <v/>
      </c>
      <c r="AE674" s="87">
        <f>IF(OR(V674=1,W674=1),1,0)</f>
        <v/>
      </c>
      <c r="AF674" s="87" t="n">
        <v>0</v>
      </c>
      <c r="AG674" t="n">
        <v>5949</v>
      </c>
      <c r="AH674" t="n">
        <v>111565</v>
      </c>
      <c r="AI674" t="n">
        <v>0</v>
      </c>
      <c r="AJ674" s="88">
        <f>IF(OR(AG674&lt;=0,AH674&lt;=0),"",LN(AG674)-LN(AH674))</f>
        <v/>
      </c>
      <c r="AK674" t="n">
        <v>17055</v>
      </c>
      <c r="AL674" t="n">
        <v>100459</v>
      </c>
      <c r="AM674" s="88">
        <f>IF(OR(AK674&lt;=0,AL674&lt;=0),"",LN(AK674)-LN(AL674))</f>
        <v/>
      </c>
      <c r="AN674" t="n">
        <v>5014</v>
      </c>
      <c r="AO674" t="n">
        <v>106718</v>
      </c>
      <c r="AP674" s="88">
        <f>IF(OR(AN674&lt;=0,AO674&lt;=0),"",LN(AN674)-LN(AO674))</f>
        <v/>
      </c>
      <c r="AQ674" t="n">
        <v>5817</v>
      </c>
      <c r="AR674" t="n">
        <v>111565</v>
      </c>
      <c r="AS674" s="88">
        <f>IF(OR(AQ674&lt;=0,AR674&lt;=0),"",LN(AQ674)-LN(AR674))</f>
        <v/>
      </c>
      <c r="AT674" t="n">
        <v>6751</v>
      </c>
      <c r="AU674" t="n">
        <v>109993</v>
      </c>
      <c r="AV674" t="n">
        <v>771</v>
      </c>
      <c r="AW674" t="n">
        <v>563</v>
      </c>
      <c r="AX674" t="n">
        <v>5353</v>
      </c>
      <c r="AY674" s="88">
        <f>IF(OR(AT674&lt;=0,AU674&lt;=0),"",LN(AT674)-LN(AU674))</f>
        <v/>
      </c>
      <c r="AZ674" s="46" t="n">
        <v>9.6</v>
      </c>
      <c r="BA674" s="46" t="n">
        <v>15.16</v>
      </c>
      <c r="BB674" s="47" t="n">
        <v>0.4</v>
      </c>
    </row>
    <row r="675">
      <c r="A675" s="48" t="n">
        <v>45965</v>
      </c>
      <c r="B675" s="49" t="n">
        <v>131250</v>
      </c>
      <c r="C675" s="50" t="n">
        <v>17.64</v>
      </c>
      <c r="D675" s="51" t="inlineStr">
        <is>
          <t>Moderate</t>
        </is>
      </c>
      <c r="E675" s="52" t="n">
        <v>10.2</v>
      </c>
      <c r="F675" s="52" t="n"/>
      <c r="G675" s="51" t="inlineStr">
        <is>
          <t>Tue</t>
        </is>
      </c>
      <c r="H675" s="51" t="inlineStr">
        <is>
          <t>Weekday</t>
        </is>
      </c>
      <c r="I675" s="51" t="inlineStr">
        <is>
          <t>Fall</t>
        </is>
      </c>
      <c r="J675" s="51" t="n">
        <v>25</v>
      </c>
      <c r="K675" s="51" t="inlineStr">
        <is>
          <t>강수량 공란</t>
        </is>
      </c>
      <c r="L675" s="46" t="n">
        <v>29.16</v>
      </c>
      <c r="M675" t="inlineStr">
        <is>
          <t>Good</t>
        </is>
      </c>
      <c r="N675" s="87" t="n">
        <v>25</v>
      </c>
      <c r="O675" s="87" t="n">
        <v>0</v>
      </c>
      <c r="P675" s="87" t="n">
        <v>0</v>
      </c>
      <c r="Q675" s="87" t="n">
        <v>0</v>
      </c>
      <c r="R675" s="87" t="n">
        <v>0</v>
      </c>
      <c r="S675" s="47" t="n">
        <v>1.5</v>
      </c>
      <c r="T675" s="47" t="n">
        <v>60.6</v>
      </c>
      <c r="U675" s="47" t="n"/>
      <c r="V675" s="87" t="n">
        <v>0</v>
      </c>
      <c r="W675" s="87" t="n">
        <v>0</v>
      </c>
      <c r="Y675" t="inlineStr">
        <is>
          <t>Nov</t>
        </is>
      </c>
      <c r="Z675" s="87" t="n">
        <v>2025</v>
      </c>
      <c r="AA675" s="47">
        <f>IF(F675="",0,F675)</f>
        <v/>
      </c>
      <c r="AB675" s="87">
        <f>IF(AA675&gt;=0.1,1,0)</f>
        <v/>
      </c>
      <c r="AC675" s="87" t="n">
        <v>0</v>
      </c>
      <c r="AD675" s="47">
        <f>IF(U675="",0,U675)</f>
        <v/>
      </c>
      <c r="AE675" s="87">
        <f>IF(OR(V675=1,W675=1),1,0)</f>
        <v/>
      </c>
      <c r="AF675" s="87" t="n">
        <v>0</v>
      </c>
      <c r="AG675" t="n">
        <v>6932</v>
      </c>
      <c r="AH675" t="n">
        <v>124318</v>
      </c>
      <c r="AI675" t="n">
        <v>0</v>
      </c>
      <c r="AJ675" s="88">
        <f>IF(OR(AG675&lt;=0,AH675&lt;=0),"",LN(AG675)-LN(AH675))</f>
        <v/>
      </c>
      <c r="AK675" t="n">
        <v>19122</v>
      </c>
      <c r="AL675" t="n">
        <v>112128</v>
      </c>
      <c r="AM675" s="88">
        <f>IF(OR(AK675&lt;=0,AL675&lt;=0),"",LN(AK675)-LN(AL675))</f>
        <v/>
      </c>
      <c r="AN675" t="n">
        <v>5922</v>
      </c>
      <c r="AO675" t="n">
        <v>118945</v>
      </c>
      <c r="AP675" s="88">
        <f>IF(OR(AN675&lt;=0,AO675&lt;=0),"",LN(AN675)-LN(AO675))</f>
        <v/>
      </c>
      <c r="AQ675" t="n">
        <v>6753</v>
      </c>
      <c r="AR675" t="n">
        <v>124318</v>
      </c>
      <c r="AS675" s="88">
        <f>IF(OR(AQ675&lt;=0,AR675&lt;=0),"",LN(AQ675)-LN(AR675))</f>
        <v/>
      </c>
      <c r="AT675" t="n">
        <v>7326</v>
      </c>
      <c r="AU675" t="n">
        <v>123104</v>
      </c>
      <c r="AV675" t="n">
        <v>825</v>
      </c>
      <c r="AW675" t="n">
        <v>580</v>
      </c>
      <c r="AX675" t="n">
        <v>6310</v>
      </c>
      <c r="AY675" s="88">
        <f>IF(OR(AT675&lt;=0,AU675&lt;=0),"",LN(AT675)-LN(AU675))</f>
        <v/>
      </c>
      <c r="AZ675" s="46" t="n">
        <v>9</v>
      </c>
      <c r="BA675" s="46" t="n">
        <v>13.64</v>
      </c>
      <c r="BB675" s="47" t="n">
        <v>0.9</v>
      </c>
    </row>
    <row r="676">
      <c r="A676" s="48" t="n">
        <v>45966</v>
      </c>
      <c r="B676" s="49" t="n">
        <v>137250</v>
      </c>
      <c r="C676" s="50" t="n">
        <v>21.6</v>
      </c>
      <c r="D676" s="51" t="inlineStr">
        <is>
          <t>Moderate</t>
        </is>
      </c>
      <c r="E676" s="52" t="n">
        <v>11.6</v>
      </c>
      <c r="F676" s="52" t="n"/>
      <c r="G676" s="51" t="inlineStr">
        <is>
          <t>Wed</t>
        </is>
      </c>
      <c r="H676" s="51" t="inlineStr">
        <is>
          <t>Weekday</t>
        </is>
      </c>
      <c r="I676" s="51" t="inlineStr">
        <is>
          <t>Fall</t>
        </is>
      </c>
      <c r="J676" s="51" t="n">
        <v>25</v>
      </c>
      <c r="K676" s="51" t="inlineStr">
        <is>
          <t>강수량 공란</t>
        </is>
      </c>
      <c r="L676" s="46" t="n">
        <v>35.72</v>
      </c>
      <c r="M676" t="inlineStr">
        <is>
          <t>Moderate</t>
        </is>
      </c>
      <c r="N676" s="87" t="n">
        <v>25</v>
      </c>
      <c r="O676" s="87" t="n">
        <v>0</v>
      </c>
      <c r="P676" s="87" t="n">
        <v>0</v>
      </c>
      <c r="Q676" s="87" t="n">
        <v>0</v>
      </c>
      <c r="R676" s="87" t="n">
        <v>0</v>
      </c>
      <c r="S676" s="47" t="n">
        <v>1.4</v>
      </c>
      <c r="T676" s="47" t="n">
        <v>60</v>
      </c>
      <c r="U676" s="47" t="n"/>
      <c r="V676" s="87" t="n">
        <v>0</v>
      </c>
      <c r="W676" s="87" t="n">
        <v>0</v>
      </c>
      <c r="Y676" t="inlineStr">
        <is>
          <t>Nov</t>
        </is>
      </c>
      <c r="Z676" s="87" t="n">
        <v>2025</v>
      </c>
      <c r="AA676" s="47">
        <f>IF(F676="",0,F676)</f>
        <v/>
      </c>
      <c r="AB676" s="87">
        <f>IF(AA676&gt;=0.1,1,0)</f>
        <v/>
      </c>
      <c r="AC676" s="87" t="n">
        <v>0</v>
      </c>
      <c r="AD676" s="47">
        <f>IF(U676="",0,U676)</f>
        <v/>
      </c>
      <c r="AE676" s="87">
        <f>IF(OR(V676=1,W676=1),1,0)</f>
        <v/>
      </c>
      <c r="AF676" s="87" t="n">
        <v>0</v>
      </c>
      <c r="AG676" t="n">
        <v>7641</v>
      </c>
      <c r="AH676" t="n">
        <v>129609</v>
      </c>
      <c r="AI676" t="n">
        <v>0</v>
      </c>
      <c r="AJ676" s="88">
        <f>IF(OR(AG676&lt;=0,AH676&lt;=0),"",LN(AG676)-LN(AH676))</f>
        <v/>
      </c>
      <c r="AK676" t="n">
        <v>20534</v>
      </c>
      <c r="AL676" t="n">
        <v>116716</v>
      </c>
      <c r="AM676" s="88">
        <f>IF(OR(AK676&lt;=0,AL676&lt;=0),"",LN(AK676)-LN(AL676))</f>
        <v/>
      </c>
      <c r="AN676" t="n">
        <v>6380</v>
      </c>
      <c r="AO676" t="n">
        <v>123834</v>
      </c>
      <c r="AP676" s="88">
        <f>IF(OR(AN676&lt;=0,AO676&lt;=0),"",LN(AN676)-LN(AO676))</f>
        <v/>
      </c>
      <c r="AQ676" t="n">
        <v>7443</v>
      </c>
      <c r="AR676" t="n">
        <v>129609</v>
      </c>
      <c r="AS676" s="88">
        <f>IF(OR(AQ676&lt;=0,AR676&lt;=0),"",LN(AQ676)-LN(AR676))</f>
        <v/>
      </c>
      <c r="AT676" t="n">
        <v>7788</v>
      </c>
      <c r="AU676" t="n">
        <v>128560</v>
      </c>
      <c r="AV676" t="n">
        <v>903</v>
      </c>
      <c r="AW676" t="n">
        <v>717</v>
      </c>
      <c r="AX676" t="n">
        <v>6880</v>
      </c>
      <c r="AY676" s="88">
        <f>IF(OR(AT676&lt;=0,AU676&lt;=0),"",LN(AT676)-LN(AU676))</f>
        <v/>
      </c>
      <c r="AZ676" s="46" t="n">
        <v>9.6</v>
      </c>
      <c r="BA676" s="46" t="n">
        <v>13.73</v>
      </c>
      <c r="BB676" s="47" t="n">
        <v>1.1</v>
      </c>
    </row>
    <row r="677">
      <c r="A677" s="48" t="n">
        <v>45967</v>
      </c>
      <c r="B677" s="49" t="n">
        <v>138404</v>
      </c>
      <c r="C677" s="50" t="n">
        <v>32.88</v>
      </c>
      <c r="D677" s="51" t="inlineStr">
        <is>
          <t>Moderate</t>
        </is>
      </c>
      <c r="E677" s="52" t="n">
        <v>12.5</v>
      </c>
      <c r="F677" s="52" t="n"/>
      <c r="G677" s="51" t="inlineStr">
        <is>
          <t>Thu</t>
        </is>
      </c>
      <c r="H677" s="51" t="inlineStr">
        <is>
          <t>Weekday</t>
        </is>
      </c>
      <c r="I677" s="51" t="inlineStr">
        <is>
          <t>Fall</t>
        </is>
      </c>
      <c r="J677" s="51" t="n">
        <v>25</v>
      </c>
      <c r="K677" s="51" t="inlineStr">
        <is>
          <t>강수량 공란</t>
        </is>
      </c>
      <c r="L677" s="46" t="n">
        <v>53</v>
      </c>
      <c r="M677" t="inlineStr">
        <is>
          <t>Moderate</t>
        </is>
      </c>
      <c r="N677" s="87" t="n">
        <v>25</v>
      </c>
      <c r="O677" s="87" t="n">
        <v>0</v>
      </c>
      <c r="P677" s="87" t="n">
        <v>0</v>
      </c>
      <c r="Q677" s="87" t="n">
        <v>0</v>
      </c>
      <c r="R677" s="87" t="n">
        <v>0</v>
      </c>
      <c r="S677" s="47" t="n">
        <v>1.6</v>
      </c>
      <c r="T677" s="47" t="n">
        <v>69.90000000000001</v>
      </c>
      <c r="U677" s="47" t="n"/>
      <c r="V677" s="87" t="n">
        <v>0</v>
      </c>
      <c r="W677" s="87" t="n">
        <v>0</v>
      </c>
      <c r="Y677" t="inlineStr">
        <is>
          <t>Nov</t>
        </is>
      </c>
      <c r="Z677" s="87" t="n">
        <v>2025</v>
      </c>
      <c r="AA677" s="47">
        <f>IF(F677="",0,F677)</f>
        <v/>
      </c>
      <c r="AB677" s="87">
        <f>IF(AA677&gt;=0.1,1,0)</f>
        <v/>
      </c>
      <c r="AC677" s="87" t="n">
        <v>0</v>
      </c>
      <c r="AD677" s="47">
        <f>IF(U677="",0,U677)</f>
        <v/>
      </c>
      <c r="AE677" s="87">
        <f>IF(OR(V677=1,W677=1),1,0)</f>
        <v/>
      </c>
      <c r="AF677" s="87" t="n">
        <v>0</v>
      </c>
      <c r="AG677" t="n">
        <v>7579</v>
      </c>
      <c r="AH677" t="n">
        <v>130825</v>
      </c>
      <c r="AI677" t="n">
        <v>0</v>
      </c>
      <c r="AJ677" s="88">
        <f>IF(OR(AG677&lt;=0,AH677&lt;=0),"",LN(AG677)-LN(AH677))</f>
        <v/>
      </c>
      <c r="AK677" t="n">
        <v>20449</v>
      </c>
      <c r="AL677" t="n">
        <v>117955</v>
      </c>
      <c r="AM677" s="88">
        <f>IF(OR(AK677&lt;=0,AL677&lt;=0),"",LN(AK677)-LN(AL677))</f>
        <v/>
      </c>
      <c r="AN677" t="n">
        <v>6372</v>
      </c>
      <c r="AO677" t="n">
        <v>124992</v>
      </c>
      <c r="AP677" s="88">
        <f>IF(OR(AN677&lt;=0,AO677&lt;=0),"",LN(AN677)-LN(AO677))</f>
        <v/>
      </c>
      <c r="AQ677" t="n">
        <v>7398</v>
      </c>
      <c r="AR677" t="n">
        <v>130825</v>
      </c>
      <c r="AS677" s="88">
        <f>IF(OR(AQ677&lt;=0,AR677&lt;=0),"",LN(AQ677)-LN(AR677))</f>
        <v/>
      </c>
      <c r="AT677" t="n">
        <v>7650</v>
      </c>
      <c r="AU677" t="n">
        <v>129831</v>
      </c>
      <c r="AV677" t="n">
        <v>926</v>
      </c>
      <c r="AW677" t="n">
        <v>696</v>
      </c>
      <c r="AX677" t="n">
        <v>6813</v>
      </c>
      <c r="AY677" s="88">
        <f>IF(OR(AT677&lt;=0,AU677&lt;=0),"",LN(AT677)-LN(AU677))</f>
        <v/>
      </c>
      <c r="AZ677" s="46" t="n">
        <v>8.1</v>
      </c>
      <c r="BA677" s="46" t="n">
        <v>11.64</v>
      </c>
      <c r="BB677" s="47" t="n">
        <v>3.8</v>
      </c>
    </row>
    <row r="678">
      <c r="A678" s="48" t="n">
        <v>45968</v>
      </c>
      <c r="B678" s="49" t="n">
        <v>141345</v>
      </c>
      <c r="C678" s="50" t="n">
        <v>32.76</v>
      </c>
      <c r="D678" s="51" t="inlineStr">
        <is>
          <t>Moderate</t>
        </is>
      </c>
      <c r="E678" s="52" t="n">
        <v>13.9</v>
      </c>
      <c r="F678" s="52" t="n"/>
      <c r="G678" s="51" t="inlineStr">
        <is>
          <t>Fri</t>
        </is>
      </c>
      <c r="H678" s="51" t="inlineStr">
        <is>
          <t>Weekday</t>
        </is>
      </c>
      <c r="I678" s="51" t="inlineStr">
        <is>
          <t>Fall</t>
        </is>
      </c>
      <c r="J678" s="51" t="n">
        <v>25</v>
      </c>
      <c r="K678" s="51" t="inlineStr">
        <is>
          <t>강수량 공란</t>
        </is>
      </c>
      <c r="L678" s="46" t="n">
        <v>49.04</v>
      </c>
      <c r="M678" t="inlineStr">
        <is>
          <t>Moderate</t>
        </is>
      </c>
      <c r="N678" s="87" t="n">
        <v>25</v>
      </c>
      <c r="O678" s="87" t="n">
        <v>0</v>
      </c>
      <c r="P678" s="87" t="n">
        <v>0</v>
      </c>
      <c r="Q678" s="87" t="n">
        <v>0</v>
      </c>
      <c r="R678" s="87" t="n">
        <v>0</v>
      </c>
      <c r="S678" s="47" t="n">
        <v>1.9</v>
      </c>
      <c r="T678" s="47" t="n">
        <v>66.3</v>
      </c>
      <c r="U678" s="47" t="n"/>
      <c r="V678" s="87" t="n">
        <v>0</v>
      </c>
      <c r="W678" s="87" t="n">
        <v>0</v>
      </c>
      <c r="Y678" t="inlineStr">
        <is>
          <t>Nov</t>
        </is>
      </c>
      <c r="Z678" s="87" t="n">
        <v>2025</v>
      </c>
      <c r="AA678" s="47">
        <f>IF(F678="",0,F678)</f>
        <v/>
      </c>
      <c r="AB678" s="87">
        <f>IF(AA678&gt;=0.1,1,0)</f>
        <v/>
      </c>
      <c r="AC678" s="87" t="n">
        <v>0</v>
      </c>
      <c r="AD678" s="47">
        <f>IF(U678="",0,U678)</f>
        <v/>
      </c>
      <c r="AE678" s="87">
        <f>IF(OR(V678=1,W678=1),1,0)</f>
        <v/>
      </c>
      <c r="AF678" s="87" t="n">
        <v>0</v>
      </c>
      <c r="AG678" t="n">
        <v>8099</v>
      </c>
      <c r="AH678" t="n">
        <v>133246</v>
      </c>
      <c r="AI678" t="n">
        <v>0</v>
      </c>
      <c r="AJ678" s="88">
        <f>IF(OR(AG678&lt;=0,AH678&lt;=0),"",LN(AG678)-LN(AH678))</f>
        <v/>
      </c>
      <c r="AK678" t="n">
        <v>21517</v>
      </c>
      <c r="AL678" t="n">
        <v>119828</v>
      </c>
      <c r="AM678" s="88">
        <f>IF(OR(AK678&lt;=0,AL678&lt;=0),"",LN(AK678)-LN(AL678))</f>
        <v/>
      </c>
      <c r="AN678" t="n">
        <v>6562</v>
      </c>
      <c r="AO678" t="n">
        <v>127496</v>
      </c>
      <c r="AP678" s="88">
        <f>IF(OR(AN678&lt;=0,AO678&lt;=0),"",LN(AN678)-LN(AO678))</f>
        <v/>
      </c>
      <c r="AQ678" t="n">
        <v>7911</v>
      </c>
      <c r="AR678" t="n">
        <v>133246</v>
      </c>
      <c r="AS678" s="88">
        <f>IF(OR(AQ678&lt;=0,AR678&lt;=0),"",LN(AQ678)-LN(AR678))</f>
        <v/>
      </c>
      <c r="AT678" t="n">
        <v>8412</v>
      </c>
      <c r="AU678" t="n">
        <v>131948</v>
      </c>
      <c r="AV678" t="n">
        <v>985</v>
      </c>
      <c r="AW678" t="n">
        <v>843</v>
      </c>
      <c r="AX678" t="n">
        <v>7200</v>
      </c>
      <c r="AY678" s="88">
        <f>IF(OR(AT678&lt;=0,AU678&lt;=0),"",LN(AT678)-LN(AU678))</f>
        <v/>
      </c>
      <c r="AZ678" s="46" t="n">
        <v>8.9</v>
      </c>
      <c r="BA678" s="46" t="n">
        <v>12.72</v>
      </c>
      <c r="BB678" s="47" t="n">
        <v>1.8</v>
      </c>
    </row>
    <row r="679">
      <c r="A679" s="48" t="n">
        <v>45969</v>
      </c>
      <c r="B679" s="49" t="n">
        <v>109656</v>
      </c>
      <c r="C679" s="50" t="n">
        <v>16.52</v>
      </c>
      <c r="D679" s="51" t="inlineStr">
        <is>
          <t>Moderate</t>
        </is>
      </c>
      <c r="E679" s="52" t="n">
        <v>14.5</v>
      </c>
      <c r="F679" s="52" t="n">
        <v>0</v>
      </c>
      <c r="G679" s="51" t="inlineStr">
        <is>
          <t>Sat</t>
        </is>
      </c>
      <c r="H679" s="51" t="inlineStr">
        <is>
          <t>Weekend</t>
        </is>
      </c>
      <c r="I679" s="51" t="inlineStr">
        <is>
          <t>Fall</t>
        </is>
      </c>
      <c r="J679" s="51" t="n">
        <v>25</v>
      </c>
      <c r="K679" s="51" t="inlineStr">
        <is>
          <t>OK</t>
        </is>
      </c>
      <c r="L679" s="46" t="n">
        <v>25.68</v>
      </c>
      <c r="M679" t="inlineStr">
        <is>
          <t>Good</t>
        </is>
      </c>
      <c r="N679" s="87" t="n">
        <v>25</v>
      </c>
      <c r="O679" s="87" t="n">
        <v>0</v>
      </c>
      <c r="P679" s="87" t="n">
        <v>0</v>
      </c>
      <c r="Q679" s="87" t="n">
        <v>0</v>
      </c>
      <c r="R679" s="87" t="n">
        <v>0</v>
      </c>
      <c r="S679" s="47" t="n">
        <v>2.2</v>
      </c>
      <c r="T679" s="47" t="n">
        <v>69.40000000000001</v>
      </c>
      <c r="U679" s="47" t="n"/>
      <c r="V679" s="87" t="n">
        <v>1</v>
      </c>
      <c r="W679" s="87" t="n">
        <v>0</v>
      </c>
      <c r="Y679" t="inlineStr">
        <is>
          <t>Nov</t>
        </is>
      </c>
      <c r="Z679" s="87" t="n">
        <v>2025</v>
      </c>
      <c r="AA679" s="47">
        <f>IF(F679="",0,F679)</f>
        <v/>
      </c>
      <c r="AB679" s="87">
        <f>IF(AA679&gt;=0.1,1,0)</f>
        <v/>
      </c>
      <c r="AC679" s="87" t="n">
        <v>1</v>
      </c>
      <c r="AD679" s="47">
        <f>IF(U679="",0,U679)</f>
        <v/>
      </c>
      <c r="AE679" s="87">
        <f>IF(OR(V679=1,W679=1),1,0)</f>
        <v/>
      </c>
      <c r="AF679" s="87" t="n">
        <v>0</v>
      </c>
      <c r="AG679" t="n">
        <v>7950</v>
      </c>
      <c r="AH679" t="n">
        <v>101706</v>
      </c>
      <c r="AI679" t="n">
        <v>0</v>
      </c>
      <c r="AJ679" s="88">
        <f>IF(OR(AG679&lt;=0,AH679&lt;=0),"",LN(AG679)-LN(AH679))</f>
        <v/>
      </c>
      <c r="AK679" t="n">
        <v>18552</v>
      </c>
      <c r="AL679" t="n">
        <v>91104</v>
      </c>
      <c r="AM679" s="88">
        <f>IF(OR(AK679&lt;=0,AL679&lt;=0),"",LN(AK679)-LN(AL679))</f>
        <v/>
      </c>
      <c r="AN679" t="n">
        <v>6037</v>
      </c>
      <c r="AO679" t="n">
        <v>97532</v>
      </c>
      <c r="AP679" s="88">
        <f>IF(OR(AN679&lt;=0,AO679&lt;=0),"",LN(AN679)-LN(AO679))</f>
        <v/>
      </c>
      <c r="AQ679" t="n">
        <v>7712</v>
      </c>
      <c r="AR679" t="n">
        <v>101706</v>
      </c>
      <c r="AS679" s="88">
        <f>IF(OR(AQ679&lt;=0,AR679&lt;=0),"",LN(AQ679)-LN(AR679))</f>
        <v/>
      </c>
      <c r="AT679" t="n">
        <v>8709</v>
      </c>
      <c r="AU679" t="n">
        <v>100158</v>
      </c>
      <c r="AV679" t="n">
        <v>790</v>
      </c>
      <c r="AW679" t="n">
        <v>1095</v>
      </c>
      <c r="AX679" t="n">
        <v>6774</v>
      </c>
      <c r="AY679" s="88">
        <f>IF(OR(AT679&lt;=0,AU679&lt;=0),"",LN(AT679)-LN(AU679))</f>
        <v/>
      </c>
      <c r="AZ679" s="46" t="n">
        <v>0</v>
      </c>
      <c r="BA679" s="46" t="n">
        <v>4.54</v>
      </c>
      <c r="BB679" s="47" t="n">
        <v>8.800000000000001</v>
      </c>
    </row>
    <row r="680">
      <c r="A680" s="48" t="n">
        <v>45970</v>
      </c>
      <c r="B680" s="49" t="n">
        <v>96346</v>
      </c>
      <c r="C680" s="50" t="n">
        <v>19.8</v>
      </c>
      <c r="D680" s="51" t="inlineStr">
        <is>
          <t>Moderate</t>
        </is>
      </c>
      <c r="E680" s="52" t="n">
        <v>13.5</v>
      </c>
      <c r="F680" s="52" t="n"/>
      <c r="G680" s="51" t="inlineStr">
        <is>
          <t>Sun</t>
        </is>
      </c>
      <c r="H680" s="51" t="inlineStr">
        <is>
          <t>Weekend</t>
        </is>
      </c>
      <c r="I680" s="51" t="inlineStr">
        <is>
          <t>Fall</t>
        </is>
      </c>
      <c r="J680" s="51" t="n">
        <v>25</v>
      </c>
      <c r="K680" s="51" t="inlineStr">
        <is>
          <t>강수량 공란</t>
        </is>
      </c>
      <c r="L680" s="46" t="n">
        <v>42.48</v>
      </c>
      <c r="M680" t="inlineStr">
        <is>
          <t>Moderate</t>
        </is>
      </c>
      <c r="N680" s="87" t="n">
        <v>25</v>
      </c>
      <c r="O680" s="87" t="n">
        <v>0</v>
      </c>
      <c r="P680" s="87" t="n">
        <v>0</v>
      </c>
      <c r="Q680" s="87" t="n">
        <v>0</v>
      </c>
      <c r="R680" s="87" t="n">
        <v>0</v>
      </c>
      <c r="S680" s="47" t="n">
        <v>2.6</v>
      </c>
      <c r="T680" s="47" t="n">
        <v>64.09999999999999</v>
      </c>
      <c r="U680" s="47" t="n"/>
      <c r="V680" s="87" t="n">
        <v>1</v>
      </c>
      <c r="W680" s="87" t="n">
        <v>0</v>
      </c>
      <c r="Y680" t="inlineStr">
        <is>
          <t>Nov</t>
        </is>
      </c>
      <c r="Z680" s="87" t="n">
        <v>2025</v>
      </c>
      <c r="AA680" s="47">
        <f>IF(F680="",0,F680)</f>
        <v/>
      </c>
      <c r="AB680" s="87">
        <f>IF(AA680&gt;=0.1,1,0)</f>
        <v/>
      </c>
      <c r="AC680" s="87" t="n">
        <v>0</v>
      </c>
      <c r="AD680" s="47">
        <f>IF(U680="",0,U680)</f>
        <v/>
      </c>
      <c r="AE680" s="87">
        <f>IF(OR(V680=1,W680=1),1,0)</f>
        <v/>
      </c>
      <c r="AF680" s="87" t="n">
        <v>0</v>
      </c>
      <c r="AG680" t="n">
        <v>7691</v>
      </c>
      <c r="AH680" t="n">
        <v>88655</v>
      </c>
      <c r="AI680" t="n">
        <v>0</v>
      </c>
      <c r="AJ680" s="88">
        <f>IF(OR(AG680&lt;=0,AH680&lt;=0),"",LN(AG680)-LN(AH680))</f>
        <v/>
      </c>
      <c r="AK680" t="n">
        <v>17151</v>
      </c>
      <c r="AL680" t="n">
        <v>79195</v>
      </c>
      <c r="AM680" s="88">
        <f>IF(OR(AK680&lt;=0,AL680&lt;=0),"",LN(AK680)-LN(AL680))</f>
        <v/>
      </c>
      <c r="AN680" t="n">
        <v>5736</v>
      </c>
      <c r="AO680" t="n">
        <v>85020</v>
      </c>
      <c r="AP680" s="88">
        <f>IF(OR(AN680&lt;=0,AO680&lt;=0),"",LN(AN680)-LN(AO680))</f>
        <v/>
      </c>
      <c r="AQ680" t="n">
        <v>7480</v>
      </c>
      <c r="AR680" t="n">
        <v>88655</v>
      </c>
      <c r="AS680" s="88">
        <f>IF(OR(AQ680&lt;=0,AR680&lt;=0),"",LN(AQ680)-LN(AR680))</f>
        <v/>
      </c>
      <c r="AT680" t="n">
        <v>8880</v>
      </c>
      <c r="AU680" t="n">
        <v>86889</v>
      </c>
      <c r="AV680" t="n">
        <v>578</v>
      </c>
      <c r="AW680" t="n">
        <v>1233</v>
      </c>
      <c r="AX680" t="n">
        <v>6398</v>
      </c>
      <c r="AY680" s="88">
        <f>IF(OR(AT680&lt;=0,AU680&lt;=0),"",LN(AT680)-LN(AU680))</f>
        <v/>
      </c>
      <c r="AZ680" s="46" t="n">
        <v>7.6</v>
      </c>
      <c r="BA680" s="46" t="n">
        <v>12.2</v>
      </c>
      <c r="BB680" s="47" t="n">
        <v>1.8</v>
      </c>
    </row>
    <row r="681">
      <c r="A681" s="48" t="n">
        <v>45971</v>
      </c>
      <c r="B681" s="49" t="n">
        <v>119499</v>
      </c>
      <c r="C681" s="50" t="n">
        <v>6.72</v>
      </c>
      <c r="D681" s="51" t="inlineStr">
        <is>
          <t>Good</t>
        </is>
      </c>
      <c r="E681" s="52" t="n">
        <v>8.300000000000001</v>
      </c>
      <c r="F681" s="52" t="n"/>
      <c r="G681" s="51" t="inlineStr">
        <is>
          <t>Mon</t>
        </is>
      </c>
      <c r="H681" s="51" t="inlineStr">
        <is>
          <t>Weekday</t>
        </is>
      </c>
      <c r="I681" s="51" t="inlineStr">
        <is>
          <t>Fall</t>
        </is>
      </c>
      <c r="J681" s="51" t="n">
        <v>25</v>
      </c>
      <c r="K681" s="51" t="inlineStr">
        <is>
          <t>강수량 공란</t>
        </is>
      </c>
      <c r="L681" s="46" t="n">
        <v>21.08</v>
      </c>
      <c r="M681" t="inlineStr">
        <is>
          <t>Good</t>
        </is>
      </c>
      <c r="N681" s="87" t="n">
        <v>25</v>
      </c>
      <c r="O681" s="87" t="n">
        <v>0</v>
      </c>
      <c r="P681" s="87" t="n">
        <v>0</v>
      </c>
      <c r="Q681" s="87" t="n">
        <v>0</v>
      </c>
      <c r="R681" s="87" t="n">
        <v>0</v>
      </c>
      <c r="S681" s="47" t="n">
        <v>2.5</v>
      </c>
      <c r="T681" s="47" t="n">
        <v>37.6</v>
      </c>
      <c r="U681" s="47" t="n"/>
      <c r="V681" s="87" t="n">
        <v>0</v>
      </c>
      <c r="W681" s="87" t="n">
        <v>0</v>
      </c>
      <c r="Y681" t="inlineStr">
        <is>
          <t>Nov</t>
        </is>
      </c>
      <c r="Z681" s="87" t="n">
        <v>2025</v>
      </c>
      <c r="AA681" s="47">
        <f>IF(F681="",0,F681)</f>
        <v/>
      </c>
      <c r="AB681" s="87">
        <f>IF(AA681&gt;=0.1,1,0)</f>
        <v/>
      </c>
      <c r="AC681" s="87" t="n">
        <v>0</v>
      </c>
      <c r="AD681" s="47">
        <f>IF(U681="",0,U681)</f>
        <v/>
      </c>
      <c r="AE681" s="87">
        <f>IF(OR(V681=1,W681=1),1,0)</f>
        <v/>
      </c>
      <c r="AF681" s="87" t="n">
        <v>0</v>
      </c>
      <c r="AG681" t="n">
        <v>5915</v>
      </c>
      <c r="AH681" t="n">
        <v>113584</v>
      </c>
      <c r="AI681" t="n">
        <v>0</v>
      </c>
      <c r="AJ681" s="88">
        <f>IF(OR(AG681&lt;=0,AH681&lt;=0),"",LN(AG681)-LN(AH681))</f>
        <v/>
      </c>
      <c r="AK681" t="n">
        <v>17362</v>
      </c>
      <c r="AL681" t="n">
        <v>102137</v>
      </c>
      <c r="AM681" s="88">
        <f>IF(OR(AK681&lt;=0,AL681&lt;=0),"",LN(AK681)-LN(AL681))</f>
        <v/>
      </c>
      <c r="AN681" t="n">
        <v>5070</v>
      </c>
      <c r="AO681" t="n">
        <v>108670</v>
      </c>
      <c r="AP681" s="88">
        <f>IF(OR(AN681&lt;=0,AO681&lt;=0),"",LN(AN681)-LN(AO681))</f>
        <v/>
      </c>
      <c r="AQ681" t="n">
        <v>5778</v>
      </c>
      <c r="AR681" t="n">
        <v>113584</v>
      </c>
      <c r="AS681" s="88">
        <f>IF(OR(AQ681&lt;=0,AR681&lt;=0),"",LN(AQ681)-LN(AR681))</f>
        <v/>
      </c>
      <c r="AT681" t="n">
        <v>6930</v>
      </c>
      <c r="AU681" t="n">
        <v>111834</v>
      </c>
      <c r="AV681" t="n">
        <v>737</v>
      </c>
      <c r="AW681" t="n">
        <v>534</v>
      </c>
      <c r="AX681" t="n">
        <v>5338</v>
      </c>
      <c r="AY681" s="88">
        <f>IF(OR(AT681&lt;=0,AU681&lt;=0),"",LN(AT681)-LN(AU681))</f>
        <v/>
      </c>
      <c r="AZ681" s="46" t="n">
        <v>9.699999999999999</v>
      </c>
      <c r="BA681" s="46" t="n">
        <v>14.73</v>
      </c>
      <c r="BB681" s="47" t="n">
        <v>0.4</v>
      </c>
    </row>
    <row r="682">
      <c r="A682" s="48" t="n">
        <v>45972</v>
      </c>
      <c r="B682" s="49" t="n">
        <v>128960</v>
      </c>
      <c r="C682" s="50" t="n">
        <v>10.2</v>
      </c>
      <c r="D682" s="51" t="inlineStr">
        <is>
          <t>Good</t>
        </is>
      </c>
      <c r="E682" s="52" t="n">
        <v>8.9</v>
      </c>
      <c r="F682" s="52" t="n"/>
      <c r="G682" s="51" t="inlineStr">
        <is>
          <t>Tue</t>
        </is>
      </c>
      <c r="H682" s="51" t="inlineStr">
        <is>
          <t>Weekday</t>
        </is>
      </c>
      <c r="I682" s="51" t="inlineStr">
        <is>
          <t>Fall</t>
        </is>
      </c>
      <c r="J682" s="51" t="n">
        <v>25</v>
      </c>
      <c r="K682" s="51" t="inlineStr">
        <is>
          <t>강수량 공란</t>
        </is>
      </c>
      <c r="L682" s="46" t="n">
        <v>25.84</v>
      </c>
      <c r="M682" t="inlineStr">
        <is>
          <t>Good</t>
        </is>
      </c>
      <c r="N682" s="87" t="n">
        <v>25</v>
      </c>
      <c r="O682" s="87" t="n">
        <v>0</v>
      </c>
      <c r="P682" s="87" t="n">
        <v>0</v>
      </c>
      <c r="Q682" s="87" t="n">
        <v>0</v>
      </c>
      <c r="R682" s="87" t="n">
        <v>0</v>
      </c>
      <c r="S682" s="47" t="n">
        <v>1.6</v>
      </c>
      <c r="T682" s="47" t="n">
        <v>57.6</v>
      </c>
      <c r="U682" s="47" t="n"/>
      <c r="V682" s="87" t="n">
        <v>0</v>
      </c>
      <c r="W682" s="87" t="n">
        <v>0</v>
      </c>
      <c r="Y682" t="inlineStr">
        <is>
          <t>Nov</t>
        </is>
      </c>
      <c r="Z682" s="87" t="n">
        <v>2025</v>
      </c>
      <c r="AA682" s="47">
        <f>IF(F682="",0,F682)</f>
        <v/>
      </c>
      <c r="AB682" s="87">
        <f>IF(AA682&gt;=0.1,1,0)</f>
        <v/>
      </c>
      <c r="AC682" s="87" t="n">
        <v>0</v>
      </c>
      <c r="AD682" s="47">
        <f>IF(U682="",0,U682)</f>
        <v/>
      </c>
      <c r="AE682" s="87">
        <f>IF(OR(V682=1,W682=1),1,0)</f>
        <v/>
      </c>
      <c r="AF682" s="87" t="n">
        <v>0</v>
      </c>
      <c r="AG682" t="n">
        <v>6592</v>
      </c>
      <c r="AH682" t="n">
        <v>122368</v>
      </c>
      <c r="AI682" t="n">
        <v>0</v>
      </c>
      <c r="AJ682" s="88">
        <f>IF(OR(AG682&lt;=0,AH682&lt;=0),"",LN(AG682)-LN(AH682))</f>
        <v/>
      </c>
      <c r="AK682" t="n">
        <v>18881</v>
      </c>
      <c r="AL682" t="n">
        <v>110079</v>
      </c>
      <c r="AM682" s="88">
        <f>IF(OR(AK682&lt;=0,AL682&lt;=0),"",LN(AK682)-LN(AL682))</f>
        <v/>
      </c>
      <c r="AN682" t="n">
        <v>5626</v>
      </c>
      <c r="AO682" t="n">
        <v>117024</v>
      </c>
      <c r="AP682" s="88">
        <f>IF(OR(AN682&lt;=0,AO682&lt;=0),"",LN(AN682)-LN(AO682))</f>
        <v/>
      </c>
      <c r="AQ682" t="n">
        <v>6407</v>
      </c>
      <c r="AR682" t="n">
        <v>122368</v>
      </c>
      <c r="AS682" s="88">
        <f>IF(OR(AQ682&lt;=0,AR682&lt;=0),"",LN(AQ682)-LN(AR682))</f>
        <v/>
      </c>
      <c r="AT682" t="n">
        <v>7338</v>
      </c>
      <c r="AU682" t="n">
        <v>120786</v>
      </c>
      <c r="AV682" t="n">
        <v>842</v>
      </c>
      <c r="AW682" t="n">
        <v>566</v>
      </c>
      <c r="AX682" t="n">
        <v>5969</v>
      </c>
      <c r="AY682" s="88">
        <f>IF(OR(AT682&lt;=0,AU682&lt;=0),"",LN(AT682)-LN(AU682))</f>
        <v/>
      </c>
      <c r="AZ682" s="46" t="n">
        <v>8.300000000000001</v>
      </c>
      <c r="BA682" s="46" t="n">
        <v>12.67</v>
      </c>
      <c r="BB682" s="47" t="n">
        <v>2.8</v>
      </c>
    </row>
    <row r="683">
      <c r="A683" s="48" t="n">
        <v>45973</v>
      </c>
      <c r="B683" s="49" t="n">
        <v>134781</v>
      </c>
      <c r="C683" s="50" t="n">
        <v>18.36</v>
      </c>
      <c r="D683" s="51" t="inlineStr">
        <is>
          <t>Moderate</t>
        </is>
      </c>
      <c r="E683" s="52" t="n">
        <v>10.8</v>
      </c>
      <c r="F683" s="52" t="n"/>
      <c r="G683" s="51" t="inlineStr">
        <is>
          <t>Wed</t>
        </is>
      </c>
      <c r="H683" s="51" t="inlineStr">
        <is>
          <t>Weekday</t>
        </is>
      </c>
      <c r="I683" s="51" t="inlineStr">
        <is>
          <t>Fall</t>
        </is>
      </c>
      <c r="J683" s="51" t="n">
        <v>25</v>
      </c>
      <c r="K683" s="51" t="inlineStr">
        <is>
          <t>강수량 공란</t>
        </is>
      </c>
      <c r="L683" s="46" t="n">
        <v>36.16</v>
      </c>
      <c r="M683" t="inlineStr">
        <is>
          <t>Moderate</t>
        </is>
      </c>
      <c r="N683" s="87" t="n">
        <v>25</v>
      </c>
      <c r="O683" s="87" t="n">
        <v>0</v>
      </c>
      <c r="P683" s="87" t="n">
        <v>0</v>
      </c>
      <c r="Q683" s="87" t="n">
        <v>0</v>
      </c>
      <c r="R683" s="87" t="n">
        <v>0</v>
      </c>
      <c r="S683" s="47" t="n">
        <v>1.8</v>
      </c>
      <c r="T683" s="47" t="n">
        <v>65.5</v>
      </c>
      <c r="U683" s="47" t="n"/>
      <c r="V683" s="87" t="n">
        <v>0</v>
      </c>
      <c r="W683" s="87" t="n">
        <v>0</v>
      </c>
      <c r="Y683" t="inlineStr">
        <is>
          <t>Nov</t>
        </is>
      </c>
      <c r="Z683" s="87" t="n">
        <v>2025</v>
      </c>
      <c r="AA683" s="47">
        <f>IF(F683="",0,F683)</f>
        <v/>
      </c>
      <c r="AB683" s="87">
        <f>IF(AA683&gt;=0.1,1,0)</f>
        <v/>
      </c>
      <c r="AC683" s="87" t="n">
        <v>0</v>
      </c>
      <c r="AD683" s="47">
        <f>IF(U683="",0,U683)</f>
        <v/>
      </c>
      <c r="AE683" s="87">
        <f>IF(OR(V683=1,W683=1),1,0)</f>
        <v/>
      </c>
      <c r="AF683" s="87" t="n">
        <v>0</v>
      </c>
      <c r="AG683" t="n">
        <v>7432</v>
      </c>
      <c r="AH683" t="n">
        <v>127349</v>
      </c>
      <c r="AI683" t="n">
        <v>0</v>
      </c>
      <c r="AJ683" s="88">
        <f>IF(OR(AG683&lt;=0,AH683&lt;=0),"",LN(AG683)-LN(AH683))</f>
        <v/>
      </c>
      <c r="AK683" t="n">
        <v>20159</v>
      </c>
      <c r="AL683" t="n">
        <v>114622</v>
      </c>
      <c r="AM683" s="88">
        <f>IF(OR(AK683&lt;=0,AL683&lt;=0),"",LN(AK683)-LN(AL683))</f>
        <v/>
      </c>
      <c r="AN683" t="n">
        <v>6193</v>
      </c>
      <c r="AO683" t="n">
        <v>121723</v>
      </c>
      <c r="AP683" s="88">
        <f>IF(OR(AN683&lt;=0,AO683&lt;=0),"",LN(AN683)-LN(AO683))</f>
        <v/>
      </c>
      <c r="AQ683" t="n">
        <v>7230</v>
      </c>
      <c r="AR683" t="n">
        <v>127349</v>
      </c>
      <c r="AS683" s="88">
        <f>IF(OR(AQ683&lt;=0,AR683&lt;=0),"",LN(AQ683)-LN(AR683))</f>
        <v/>
      </c>
      <c r="AT683" t="n">
        <v>7647</v>
      </c>
      <c r="AU683" t="n">
        <v>126217</v>
      </c>
      <c r="AV683" t="n">
        <v>918</v>
      </c>
      <c r="AW683" t="n">
        <v>682</v>
      </c>
      <c r="AX683" t="n">
        <v>6661</v>
      </c>
      <c r="AY683" s="88">
        <f>IF(OR(AT683&lt;=0,AU683&lt;=0),"",LN(AT683)-LN(AU683))</f>
        <v/>
      </c>
      <c r="AZ683" s="46" t="n">
        <v>9.4</v>
      </c>
      <c r="BA683" s="46" t="n">
        <v>13.15</v>
      </c>
      <c r="BB683" s="47" t="n">
        <v>1.1</v>
      </c>
    </row>
    <row r="684">
      <c r="A684" s="48" t="n">
        <v>45974</v>
      </c>
      <c r="B684" s="49" t="n">
        <v>130926</v>
      </c>
      <c r="C684" s="50" t="n">
        <v>25.84</v>
      </c>
      <c r="D684" s="51" t="inlineStr">
        <is>
          <t>Moderate</t>
        </is>
      </c>
      <c r="E684" s="52" t="n">
        <v>11.1</v>
      </c>
      <c r="F684" s="52" t="n"/>
      <c r="G684" s="51" t="inlineStr">
        <is>
          <t>Thu</t>
        </is>
      </c>
      <c r="H684" s="51" t="inlineStr">
        <is>
          <t>Weekday</t>
        </is>
      </c>
      <c r="I684" s="51" t="inlineStr">
        <is>
          <t>Fall</t>
        </is>
      </c>
      <c r="J684" s="51" t="n">
        <v>25</v>
      </c>
      <c r="K684" s="51" t="inlineStr">
        <is>
          <t>강수량 공란</t>
        </is>
      </c>
      <c r="L684" s="46" t="n">
        <v>48.56</v>
      </c>
      <c r="M684" t="inlineStr">
        <is>
          <t>Moderate</t>
        </is>
      </c>
      <c r="N684" s="87" t="n">
        <v>25</v>
      </c>
      <c r="O684" s="87" t="n">
        <v>0</v>
      </c>
      <c r="P684" s="87" t="n">
        <v>0</v>
      </c>
      <c r="Q684" s="87" t="n">
        <v>0</v>
      </c>
      <c r="R684" s="87" t="n">
        <v>0</v>
      </c>
      <c r="S684" s="47" t="n">
        <v>1.7</v>
      </c>
      <c r="T684" s="47" t="n">
        <v>65.40000000000001</v>
      </c>
      <c r="U684" s="47" t="n"/>
      <c r="V684" s="87" t="n">
        <v>0</v>
      </c>
      <c r="W684" s="87" t="n">
        <v>0</v>
      </c>
      <c r="Y684" t="inlineStr">
        <is>
          <t>Nov</t>
        </is>
      </c>
      <c r="Z684" s="87" t="n">
        <v>2025</v>
      </c>
      <c r="AA684" s="47">
        <f>IF(F684="",0,F684)</f>
        <v/>
      </c>
      <c r="AB684" s="87">
        <f>IF(AA684&gt;=0.1,1,0)</f>
        <v/>
      </c>
      <c r="AC684" s="87" t="n">
        <v>0</v>
      </c>
      <c r="AD684" s="47">
        <f>IF(U684="",0,U684)</f>
        <v/>
      </c>
      <c r="AE684" s="87">
        <f>IF(OR(V684=1,W684=1),1,0)</f>
        <v/>
      </c>
      <c r="AF684" s="87" t="n">
        <v>0</v>
      </c>
      <c r="AG684" t="n">
        <v>7082</v>
      </c>
      <c r="AH684" t="n">
        <v>123844</v>
      </c>
      <c r="AI684" t="n">
        <v>0</v>
      </c>
      <c r="AJ684" s="88">
        <f>IF(OR(AG684&lt;=0,AH684&lt;=0),"",LN(AG684)-LN(AH684))</f>
        <v/>
      </c>
      <c r="AK684" t="n">
        <v>19490</v>
      </c>
      <c r="AL684" t="n">
        <v>111436</v>
      </c>
      <c r="AM684" s="88">
        <f>IF(OR(AK684&lt;=0,AL684&lt;=0),"",LN(AK684)-LN(AL684))</f>
        <v/>
      </c>
      <c r="AN684" t="n">
        <v>5910</v>
      </c>
      <c r="AO684" t="n">
        <v>118382</v>
      </c>
      <c r="AP684" s="88">
        <f>IF(OR(AN684&lt;=0,AO684&lt;=0),"",LN(AN684)-LN(AO684))</f>
        <v/>
      </c>
      <c r="AQ684" t="n">
        <v>6913</v>
      </c>
      <c r="AR684" t="n">
        <v>123844</v>
      </c>
      <c r="AS684" s="88">
        <f>IF(OR(AQ684&lt;=0,AR684&lt;=0),"",LN(AQ684)-LN(AR684))</f>
        <v/>
      </c>
      <c r="AT684" t="n">
        <v>7411</v>
      </c>
      <c r="AU684" t="n">
        <v>122671</v>
      </c>
      <c r="AV684" t="n">
        <v>846</v>
      </c>
      <c r="AW684" t="n">
        <v>681</v>
      </c>
      <c r="AX684" t="n">
        <v>6348</v>
      </c>
      <c r="AY684" s="88">
        <f>IF(OR(AT684&lt;=0,AU684&lt;=0),"",LN(AT684)-LN(AU684))</f>
        <v/>
      </c>
      <c r="AZ684" s="46" t="n">
        <v>5.8</v>
      </c>
      <c r="BA684" s="46" t="n">
        <v>10.16</v>
      </c>
      <c r="BB684" s="47" t="n">
        <v>3.6</v>
      </c>
    </row>
    <row r="685">
      <c r="A685" s="48" t="n">
        <v>45975</v>
      </c>
      <c r="B685" s="49" t="n">
        <v>126744</v>
      </c>
      <c r="C685" s="50" t="n">
        <v>14.8</v>
      </c>
      <c r="D685" s="51" t="inlineStr">
        <is>
          <t>Good</t>
        </is>
      </c>
      <c r="E685" s="52" t="n">
        <v>9.1</v>
      </c>
      <c r="F685" s="52" t="n"/>
      <c r="G685" s="51" t="inlineStr">
        <is>
          <t>Fri</t>
        </is>
      </c>
      <c r="H685" s="51" t="inlineStr">
        <is>
          <t>Weekday</t>
        </is>
      </c>
      <c r="I685" s="51" t="inlineStr">
        <is>
          <t>Fall</t>
        </is>
      </c>
      <c r="J685" s="51" t="n">
        <v>25</v>
      </c>
      <c r="K685" s="51" t="inlineStr">
        <is>
          <t>강수량 공란</t>
        </is>
      </c>
      <c r="L685" s="46" t="n">
        <v>31.76</v>
      </c>
      <c r="M685" t="inlineStr">
        <is>
          <t>Moderate</t>
        </is>
      </c>
      <c r="N685" s="87" t="n">
        <v>25</v>
      </c>
      <c r="O685" s="87" t="n">
        <v>0</v>
      </c>
      <c r="P685" s="87" t="n">
        <v>0</v>
      </c>
      <c r="Q685" s="87" t="n">
        <v>0</v>
      </c>
      <c r="R685" s="87" t="n">
        <v>0</v>
      </c>
      <c r="S685" s="47" t="n">
        <v>1.9</v>
      </c>
      <c r="T685" s="47" t="n">
        <v>53.8</v>
      </c>
      <c r="U685" s="47" t="n"/>
      <c r="V685" s="87" t="n">
        <v>0</v>
      </c>
      <c r="W685" s="87" t="n">
        <v>0</v>
      </c>
      <c r="Y685" t="inlineStr">
        <is>
          <t>Nov</t>
        </is>
      </c>
      <c r="Z685" s="87" t="n">
        <v>2025</v>
      </c>
      <c r="AA685" s="47">
        <f>IF(F685="",0,F685)</f>
        <v/>
      </c>
      <c r="AB685" s="87">
        <f>IF(AA685&gt;=0.1,1,0)</f>
        <v/>
      </c>
      <c r="AC685" s="87" t="n">
        <v>0</v>
      </c>
      <c r="AD685" s="47">
        <f>IF(U685="",0,U685)</f>
        <v/>
      </c>
      <c r="AE685" s="87">
        <f>IF(OR(V685=1,W685=1),1,0)</f>
        <v/>
      </c>
      <c r="AF685" s="87" t="n">
        <v>0</v>
      </c>
      <c r="AG685" t="n">
        <v>6957</v>
      </c>
      <c r="AH685" t="n">
        <v>119787</v>
      </c>
      <c r="AI685" t="n">
        <v>0</v>
      </c>
      <c r="AJ685" s="88">
        <f>IF(OR(AG685&lt;=0,AH685&lt;=0),"",LN(AG685)-LN(AH685))</f>
        <v/>
      </c>
      <c r="AK685" t="n">
        <v>18951</v>
      </c>
      <c r="AL685" t="n">
        <v>107793</v>
      </c>
      <c r="AM685" s="88">
        <f>IF(OR(AK685&lt;=0,AL685&lt;=0),"",LN(AK685)-LN(AL685))</f>
        <v/>
      </c>
      <c r="AN685" t="n">
        <v>5890</v>
      </c>
      <c r="AO685" t="n">
        <v>114365</v>
      </c>
      <c r="AP685" s="88">
        <f>IF(OR(AN685&lt;=0,AO685&lt;=0),"",LN(AN685)-LN(AO685))</f>
        <v/>
      </c>
      <c r="AQ685" t="n">
        <v>6753</v>
      </c>
      <c r="AR685" t="n">
        <v>119787</v>
      </c>
      <c r="AS685" s="88">
        <f>IF(OR(AQ685&lt;=0,AR685&lt;=0),"",LN(AQ685)-LN(AR685))</f>
        <v/>
      </c>
      <c r="AT685" t="n">
        <v>7557</v>
      </c>
      <c r="AU685" t="n">
        <v>118380</v>
      </c>
      <c r="AV685" t="n">
        <v>809</v>
      </c>
      <c r="AW685" t="n">
        <v>624</v>
      </c>
      <c r="AX685" t="n">
        <v>6276</v>
      </c>
      <c r="AY685" s="88">
        <f>IF(OR(AT685&lt;=0,AU685&lt;=0),"",LN(AT685)-LN(AU685))</f>
        <v/>
      </c>
      <c r="AZ685" s="46" t="n">
        <v>9.5</v>
      </c>
      <c r="BA685" s="46" t="n">
        <v>13.71</v>
      </c>
      <c r="BB685" s="47" t="n">
        <v>0</v>
      </c>
    </row>
    <row r="686">
      <c r="A686" s="48" t="n">
        <v>45976</v>
      </c>
      <c r="B686" s="49" t="n">
        <v>100268</v>
      </c>
      <c r="C686" s="50" t="n">
        <v>20.32</v>
      </c>
      <c r="D686" s="51" t="inlineStr">
        <is>
          <t>Moderate</t>
        </is>
      </c>
      <c r="E686" s="52" t="n">
        <v>9.800000000000001</v>
      </c>
      <c r="F686" s="52" t="n"/>
      <c r="G686" s="51" t="inlineStr">
        <is>
          <t>Sat</t>
        </is>
      </c>
      <c r="H686" s="51" t="inlineStr">
        <is>
          <t>Weekend</t>
        </is>
      </c>
      <c r="I686" s="51" t="inlineStr">
        <is>
          <t>Fall</t>
        </is>
      </c>
      <c r="J686" s="51" t="n">
        <v>25</v>
      </c>
      <c r="K686" s="51" t="inlineStr">
        <is>
          <t>강수량 공란</t>
        </is>
      </c>
      <c r="L686" s="46" t="n">
        <v>36.44</v>
      </c>
      <c r="M686" t="inlineStr">
        <is>
          <t>Moderate</t>
        </is>
      </c>
      <c r="N686" s="87" t="n">
        <v>25</v>
      </c>
      <c r="O686" s="87" t="n">
        <v>0</v>
      </c>
      <c r="P686" s="87" t="n">
        <v>0</v>
      </c>
      <c r="Q686" s="87" t="n">
        <v>0</v>
      </c>
      <c r="R686" s="87" t="n">
        <v>0</v>
      </c>
      <c r="S686" s="47" t="n">
        <v>1.3</v>
      </c>
      <c r="T686" s="47" t="n">
        <v>49.1</v>
      </c>
      <c r="U686" s="47" t="n"/>
      <c r="V686" s="87" t="n">
        <v>1</v>
      </c>
      <c r="W686" s="87" t="n">
        <v>0</v>
      </c>
      <c r="Y686" t="inlineStr">
        <is>
          <t>Nov</t>
        </is>
      </c>
      <c r="Z686" s="87" t="n">
        <v>2025</v>
      </c>
      <c r="AA686" s="47">
        <f>IF(F686="",0,F686)</f>
        <v/>
      </c>
      <c r="AB686" s="87">
        <f>IF(AA686&gt;=0.1,1,0)</f>
        <v/>
      </c>
      <c r="AC686" s="87" t="n">
        <v>0</v>
      </c>
      <c r="AD686" s="47">
        <f>IF(U686="",0,U686)</f>
        <v/>
      </c>
      <c r="AE686" s="87">
        <f>IF(OR(V686=1,W686=1),1,0)</f>
        <v/>
      </c>
      <c r="AF686" s="87" t="n">
        <v>0</v>
      </c>
      <c r="AG686" t="n">
        <v>7057</v>
      </c>
      <c r="AH686" t="n">
        <v>93211</v>
      </c>
      <c r="AI686" t="n">
        <v>0</v>
      </c>
      <c r="AJ686" s="88">
        <f>IF(OR(AG686&lt;=0,AH686&lt;=0),"",LN(AG686)-LN(AH686))</f>
        <v/>
      </c>
      <c r="AK686" t="n">
        <v>16757</v>
      </c>
      <c r="AL686" t="n">
        <v>83511</v>
      </c>
      <c r="AM686" s="88">
        <f>IF(OR(AK686&lt;=0,AL686&lt;=0),"",LN(AK686)-LN(AL686))</f>
        <v/>
      </c>
      <c r="AN686" t="n">
        <v>5735</v>
      </c>
      <c r="AO686" t="n">
        <v>89103</v>
      </c>
      <c r="AP686" s="88">
        <f>IF(OR(AN686&lt;=0,AO686&lt;=0),"",LN(AN686)-LN(AO686))</f>
        <v/>
      </c>
      <c r="AQ686" t="n">
        <v>6845</v>
      </c>
      <c r="AR686" t="n">
        <v>93211</v>
      </c>
      <c r="AS686" s="88">
        <f>IF(OR(AQ686&lt;=0,AR686&lt;=0),"",LN(AQ686)-LN(AR686))</f>
        <v/>
      </c>
      <c r="AT686" t="n">
        <v>7879</v>
      </c>
      <c r="AU686" t="n">
        <v>91700</v>
      </c>
      <c r="AV686" t="n">
        <v>690</v>
      </c>
      <c r="AW686" t="n">
        <v>955</v>
      </c>
      <c r="AX686" t="n">
        <v>6041</v>
      </c>
      <c r="AY686" s="88">
        <f>IF(OR(AT686&lt;=0,AU686&lt;=0),"",LN(AT686)-LN(AU686))</f>
        <v/>
      </c>
      <c r="AZ686" s="46" t="n">
        <v>8.9</v>
      </c>
      <c r="BA686" s="46" t="n">
        <v>12.76</v>
      </c>
      <c r="BB686" s="47" t="n">
        <v>1.3</v>
      </c>
    </row>
    <row r="687">
      <c r="A687" s="48" t="n">
        <v>45977</v>
      </c>
      <c r="B687" s="49" t="n">
        <v>86122</v>
      </c>
      <c r="C687" s="50" t="n">
        <v>23.96</v>
      </c>
      <c r="D687" s="51" t="inlineStr">
        <is>
          <t>Moderate</t>
        </is>
      </c>
      <c r="E687" s="52" t="n">
        <v>11.6</v>
      </c>
      <c r="F687" s="52" t="n">
        <v>0.3</v>
      </c>
      <c r="G687" s="51" t="inlineStr">
        <is>
          <t>Sun</t>
        </is>
      </c>
      <c r="H687" s="51" t="inlineStr">
        <is>
          <t>Weekend</t>
        </is>
      </c>
      <c r="I687" s="51" t="inlineStr">
        <is>
          <t>Fall</t>
        </is>
      </c>
      <c r="J687" s="51" t="n">
        <v>25</v>
      </c>
      <c r="K687" s="51" t="inlineStr">
        <is>
          <t>OK</t>
        </is>
      </c>
      <c r="L687" s="46" t="n">
        <v>38.72</v>
      </c>
      <c r="M687" t="inlineStr">
        <is>
          <t>Moderate</t>
        </is>
      </c>
      <c r="N687" s="87" t="n">
        <v>25</v>
      </c>
      <c r="O687" s="87" t="n">
        <v>0</v>
      </c>
      <c r="P687" s="87" t="n">
        <v>0</v>
      </c>
      <c r="Q687" s="87" t="n">
        <v>0</v>
      </c>
      <c r="R687" s="87" t="n">
        <v>0</v>
      </c>
      <c r="S687" s="47" t="n">
        <v>2.4</v>
      </c>
      <c r="T687" s="47" t="n">
        <v>58.4</v>
      </c>
      <c r="U687" s="47" t="n"/>
      <c r="V687" s="87" t="n">
        <v>1</v>
      </c>
      <c r="W687" s="87" t="n">
        <v>0</v>
      </c>
      <c r="Y687" t="inlineStr">
        <is>
          <t>Nov</t>
        </is>
      </c>
      <c r="Z687" s="87" t="n">
        <v>2025</v>
      </c>
      <c r="AA687" s="47">
        <f>IF(F687="",0,F687)</f>
        <v/>
      </c>
      <c r="AB687" s="87">
        <f>IF(AA687&gt;=0.1,1,0)</f>
        <v/>
      </c>
      <c r="AC687" s="87" t="n">
        <v>0</v>
      </c>
      <c r="AD687" s="47">
        <f>IF(U687="",0,U687)</f>
        <v/>
      </c>
      <c r="AE687" s="87">
        <f>IF(OR(V687=1,W687=1),1,0)</f>
        <v/>
      </c>
      <c r="AF687" s="87" t="n">
        <v>0</v>
      </c>
      <c r="AG687" t="n">
        <v>7007</v>
      </c>
      <c r="AH687" t="n">
        <v>79115</v>
      </c>
      <c r="AI687" t="n">
        <v>0</v>
      </c>
      <c r="AJ687" s="88">
        <f>IF(OR(AG687&lt;=0,AH687&lt;=0),"",LN(AG687)-LN(AH687))</f>
        <v/>
      </c>
      <c r="AK687" t="n">
        <v>15635</v>
      </c>
      <c r="AL687" t="n">
        <v>70487</v>
      </c>
      <c r="AM687" s="88">
        <f>IF(OR(AK687&lt;=0,AL687&lt;=0),"",LN(AK687)-LN(AL687))</f>
        <v/>
      </c>
      <c r="AN687" t="n">
        <v>5351</v>
      </c>
      <c r="AO687" t="n">
        <v>75763</v>
      </c>
      <c r="AP687" s="88">
        <f>IF(OR(AN687&lt;=0,AO687&lt;=0),"",LN(AN687)-LN(AO687))</f>
        <v/>
      </c>
      <c r="AQ687" t="n">
        <v>6824</v>
      </c>
      <c r="AR687" t="n">
        <v>79115</v>
      </c>
      <c r="AS687" s="88">
        <f>IF(OR(AQ687&lt;=0,AR687&lt;=0),"",LN(AQ687)-LN(AR687))</f>
        <v/>
      </c>
      <c r="AT687" t="n">
        <v>7570</v>
      </c>
      <c r="AU687" t="n">
        <v>77962</v>
      </c>
      <c r="AV687" t="n">
        <v>590</v>
      </c>
      <c r="AW687" t="n">
        <v>1065</v>
      </c>
      <c r="AX687" t="n">
        <v>5872</v>
      </c>
      <c r="AY687" s="88">
        <f>IF(OR(AT687&lt;=0,AU687&lt;=0),"",LN(AT687)-LN(AU687))</f>
        <v/>
      </c>
      <c r="AZ687" s="46" t="n">
        <v>7.9</v>
      </c>
      <c r="BA687" s="46" t="n">
        <v>12.32</v>
      </c>
      <c r="BB687" s="47" t="n">
        <v>3.6</v>
      </c>
    </row>
    <row r="688">
      <c r="A688" s="48" t="n">
        <v>45978</v>
      </c>
      <c r="B688" s="49" t="n">
        <v>94202</v>
      </c>
      <c r="C688" s="50" t="n">
        <v>10.68</v>
      </c>
      <c r="D688" s="51" t="inlineStr">
        <is>
          <t>Good</t>
        </is>
      </c>
      <c r="E688" s="52" t="n">
        <v>3.2</v>
      </c>
      <c r="F688" s="52" t="n"/>
      <c r="G688" s="51" t="inlineStr">
        <is>
          <t>Mon</t>
        </is>
      </c>
      <c r="H688" s="51" t="inlineStr">
        <is>
          <t>Weekday</t>
        </is>
      </c>
      <c r="I688" s="51" t="inlineStr">
        <is>
          <t>Fall</t>
        </is>
      </c>
      <c r="J688" s="51" t="n">
        <v>25</v>
      </c>
      <c r="K688" s="51" t="inlineStr">
        <is>
          <t>강수량 공란</t>
        </is>
      </c>
      <c r="L688" s="46" t="n">
        <v>40.84</v>
      </c>
      <c r="M688" t="inlineStr">
        <is>
          <t>Moderate</t>
        </is>
      </c>
      <c r="N688" s="87" t="n">
        <v>25</v>
      </c>
      <c r="O688" s="87" t="n">
        <v>0</v>
      </c>
      <c r="P688" s="87" t="n">
        <v>0</v>
      </c>
      <c r="Q688" s="87" t="n">
        <v>0</v>
      </c>
      <c r="R688" s="87" t="n">
        <v>0</v>
      </c>
      <c r="S688" s="47" t="n">
        <v>3.7</v>
      </c>
      <c r="T688" s="47" t="n">
        <v>37.4</v>
      </c>
      <c r="U688" s="47" t="n"/>
      <c r="V688" s="87" t="n">
        <v>0</v>
      </c>
      <c r="W688" s="87" t="n">
        <v>0</v>
      </c>
      <c r="Y688" t="inlineStr">
        <is>
          <t>Nov</t>
        </is>
      </c>
      <c r="Z688" s="87" t="n">
        <v>2025</v>
      </c>
      <c r="AA688" s="47">
        <f>IF(F688="",0,F688)</f>
        <v/>
      </c>
      <c r="AB688" s="87">
        <f>IF(AA688&gt;=0.1,1,0)</f>
        <v/>
      </c>
      <c r="AC688" s="87" t="n">
        <v>0</v>
      </c>
      <c r="AD688" s="47">
        <f>IF(U688="",0,U688)</f>
        <v/>
      </c>
      <c r="AE688" s="87">
        <f>IF(OR(V688=1,W688=1),1,0)</f>
        <v/>
      </c>
      <c r="AF688" s="87" t="n">
        <v>0</v>
      </c>
      <c r="AG688" t="n">
        <v>4194</v>
      </c>
      <c r="AH688" t="n">
        <v>90008</v>
      </c>
      <c r="AI688" t="n">
        <v>0</v>
      </c>
      <c r="AJ688" s="88">
        <f>IF(OR(AG688&lt;=0,AH688&lt;=0),"",LN(AG688)-LN(AH688))</f>
        <v/>
      </c>
      <c r="AK688" t="n">
        <v>12736</v>
      </c>
      <c r="AL688" t="n">
        <v>81466</v>
      </c>
      <c r="AM688" s="88">
        <f>IF(OR(AK688&lt;=0,AL688&lt;=0),"",LN(AK688)-LN(AL688))</f>
        <v/>
      </c>
      <c r="AN688" t="n">
        <v>3826</v>
      </c>
      <c r="AO688" t="n">
        <v>86015</v>
      </c>
      <c r="AP688" s="88">
        <f>IF(OR(AN688&lt;=0,AO688&lt;=0),"",LN(AN688)-LN(AO688))</f>
        <v/>
      </c>
      <c r="AQ688" t="n">
        <v>4104</v>
      </c>
      <c r="AR688" t="n">
        <v>90008</v>
      </c>
      <c r="AS688" s="88">
        <f>IF(OR(AQ688&lt;=0,AR688&lt;=0),"",LN(AQ688)-LN(AR688))</f>
        <v/>
      </c>
      <c r="AT688" t="n">
        <v>4990</v>
      </c>
      <c r="AU688" t="n">
        <v>88651</v>
      </c>
      <c r="AV688" t="n">
        <v>561</v>
      </c>
      <c r="AW688" t="n">
        <v>291</v>
      </c>
      <c r="AX688" t="n">
        <v>3874</v>
      </c>
      <c r="AY688" s="88">
        <f>IF(OR(AT688&lt;=0,AU688&lt;=0),"",LN(AT688)-LN(AU688))</f>
        <v/>
      </c>
      <c r="AZ688" s="46" t="n">
        <v>6.7</v>
      </c>
      <c r="BA688" s="46" t="n">
        <v>10.53</v>
      </c>
      <c r="BB688" s="47" t="n">
        <v>4.8</v>
      </c>
    </row>
    <row r="689">
      <c r="A689" s="48" t="n">
        <v>45979</v>
      </c>
      <c r="B689" s="49" t="n">
        <v>96573</v>
      </c>
      <c r="C689" s="50" t="n">
        <v>11.36</v>
      </c>
      <c r="D689" s="51" t="inlineStr">
        <is>
          <t>Good</t>
        </is>
      </c>
      <c r="E689" s="52" t="n">
        <v>1.6</v>
      </c>
      <c r="F689" s="52" t="n"/>
      <c r="G689" s="51" t="inlineStr">
        <is>
          <t>Tue</t>
        </is>
      </c>
      <c r="H689" s="51" t="inlineStr">
        <is>
          <t>Weekday</t>
        </is>
      </c>
      <c r="I689" s="51" t="inlineStr">
        <is>
          <t>Fall</t>
        </is>
      </c>
      <c r="J689" s="51" t="n">
        <v>25</v>
      </c>
      <c r="K689" s="51" t="inlineStr">
        <is>
          <t>강수량 공란</t>
        </is>
      </c>
      <c r="L689" s="46" t="n">
        <v>29.28</v>
      </c>
      <c r="M689" t="inlineStr">
        <is>
          <t>Good</t>
        </is>
      </c>
      <c r="N689" s="87" t="n">
        <v>25</v>
      </c>
      <c r="O689" s="87" t="n">
        <v>0</v>
      </c>
      <c r="P689" s="87" t="n">
        <v>0</v>
      </c>
      <c r="Q689" s="87" t="n">
        <v>0</v>
      </c>
      <c r="R689" s="87" t="n">
        <v>0</v>
      </c>
      <c r="S689" s="47" t="n">
        <v>2.3</v>
      </c>
      <c r="T689" s="47" t="n">
        <v>47.1</v>
      </c>
      <c r="U689" s="47" t="n"/>
      <c r="V689" s="87" t="n">
        <v>0</v>
      </c>
      <c r="W689" s="87" t="n">
        <v>0</v>
      </c>
      <c r="Y689" t="inlineStr">
        <is>
          <t>Nov</t>
        </is>
      </c>
      <c r="Z689" s="87" t="n">
        <v>2025</v>
      </c>
      <c r="AA689" s="47">
        <f>IF(F689="",0,F689)</f>
        <v/>
      </c>
      <c r="AB689" s="87">
        <f>IF(AA689&gt;=0.1,1,0)</f>
        <v/>
      </c>
      <c r="AC689" s="87" t="n">
        <v>0</v>
      </c>
      <c r="AD689" s="47">
        <f>IF(U689="",0,U689)</f>
        <v/>
      </c>
      <c r="AE689" s="87">
        <f>IF(OR(V689=1,W689=1),1,0)</f>
        <v/>
      </c>
      <c r="AF689" s="87" t="n">
        <v>0</v>
      </c>
      <c r="AG689" t="n">
        <v>4494</v>
      </c>
      <c r="AH689" t="n">
        <v>92079</v>
      </c>
      <c r="AI689" t="n">
        <v>0</v>
      </c>
      <c r="AJ689" s="88">
        <f>IF(OR(AG689&lt;=0,AH689&lt;=0),"",LN(AG689)-LN(AH689))</f>
        <v/>
      </c>
      <c r="AK689" t="n">
        <v>13229</v>
      </c>
      <c r="AL689" t="n">
        <v>83344</v>
      </c>
      <c r="AM689" s="88">
        <f>IF(OR(AK689&lt;=0,AL689&lt;=0),"",LN(AK689)-LN(AL689))</f>
        <v/>
      </c>
      <c r="AN689" t="n">
        <v>4027</v>
      </c>
      <c r="AO689" t="n">
        <v>87875</v>
      </c>
      <c r="AP689" s="88">
        <f>IF(OR(AN689&lt;=0,AO689&lt;=0),"",LN(AN689)-LN(AO689))</f>
        <v/>
      </c>
      <c r="AQ689" t="n">
        <v>4378</v>
      </c>
      <c r="AR689" t="n">
        <v>92079</v>
      </c>
      <c r="AS689" s="88">
        <f>IF(OR(AQ689&lt;=0,AR689&lt;=0),"",LN(AQ689)-LN(AR689))</f>
        <v/>
      </c>
      <c r="AT689" t="n">
        <v>4947</v>
      </c>
      <c r="AU689" t="n">
        <v>91001</v>
      </c>
      <c r="AV689" t="n">
        <v>624</v>
      </c>
      <c r="AW689" t="n">
        <v>305</v>
      </c>
      <c r="AX689" t="n">
        <v>4163</v>
      </c>
      <c r="AY689" s="88">
        <f>IF(OR(AT689&lt;=0,AU689&lt;=0),"",LN(AT689)-LN(AU689))</f>
        <v/>
      </c>
      <c r="AZ689" s="46" t="n">
        <v>9.1</v>
      </c>
      <c r="BA689" s="46" t="n">
        <v>13.11</v>
      </c>
      <c r="BB689" s="47" t="n">
        <v>0.8</v>
      </c>
    </row>
    <row r="690">
      <c r="A690" s="48" t="n">
        <v>45980</v>
      </c>
      <c r="B690" s="49" t="n">
        <v>103020</v>
      </c>
      <c r="C690" s="50" t="n">
        <v>15</v>
      </c>
      <c r="D690" s="51" t="inlineStr">
        <is>
          <t>Good</t>
        </is>
      </c>
      <c r="E690" s="52" t="n">
        <v>3</v>
      </c>
      <c r="F690" s="52" t="n"/>
      <c r="G690" s="51" t="inlineStr">
        <is>
          <t>Wed</t>
        </is>
      </c>
      <c r="H690" s="51" t="inlineStr">
        <is>
          <t>Weekday</t>
        </is>
      </c>
      <c r="I690" s="51" t="inlineStr">
        <is>
          <t>Fall</t>
        </is>
      </c>
      <c r="J690" s="51" t="n">
        <v>25</v>
      </c>
      <c r="K690" s="51" t="inlineStr">
        <is>
          <t>강수량 공란</t>
        </is>
      </c>
      <c r="L690" s="46" t="n">
        <v>32.88</v>
      </c>
      <c r="M690" t="inlineStr">
        <is>
          <t>Moderate</t>
        </is>
      </c>
      <c r="N690" s="87" t="n">
        <v>25</v>
      </c>
      <c r="O690" s="87" t="n">
        <v>0</v>
      </c>
      <c r="P690" s="87" t="n">
        <v>0</v>
      </c>
      <c r="Q690" s="87" t="n">
        <v>0</v>
      </c>
      <c r="R690" s="87" t="n">
        <v>0</v>
      </c>
      <c r="S690" s="47" t="n">
        <v>1.6</v>
      </c>
      <c r="T690" s="47" t="n">
        <v>50.1</v>
      </c>
      <c r="U690" s="47" t="n"/>
      <c r="V690" s="87" t="n">
        <v>0</v>
      </c>
      <c r="W690" s="87" t="n">
        <v>0</v>
      </c>
      <c r="Y690" t="inlineStr">
        <is>
          <t>Nov</t>
        </is>
      </c>
      <c r="Z690" s="87" t="n">
        <v>2025</v>
      </c>
      <c r="AA690" s="47">
        <f>IF(F690="",0,F690)</f>
        <v/>
      </c>
      <c r="AB690" s="87">
        <f>IF(AA690&gt;=0.1,1,0)</f>
        <v/>
      </c>
      <c r="AC690" s="87" t="n">
        <v>0</v>
      </c>
      <c r="AD690" s="47">
        <f>IF(U690="",0,U690)</f>
        <v/>
      </c>
      <c r="AE690" s="87">
        <f>IF(OR(V690=1,W690=1),1,0)</f>
        <v/>
      </c>
      <c r="AF690" s="87" t="n">
        <v>0</v>
      </c>
      <c r="AG690" t="n">
        <v>4937</v>
      </c>
      <c r="AH690" t="n">
        <v>98083</v>
      </c>
      <c r="AI690" t="n">
        <v>0</v>
      </c>
      <c r="AJ690" s="88">
        <f>IF(OR(AG690&lt;=0,AH690&lt;=0),"",LN(AG690)-LN(AH690))</f>
        <v/>
      </c>
      <c r="AK690" t="n">
        <v>14396</v>
      </c>
      <c r="AL690" t="n">
        <v>88624</v>
      </c>
      <c r="AM690" s="88">
        <f>IF(OR(AK690&lt;=0,AL690&lt;=0),"",LN(AK690)-LN(AL690))</f>
        <v/>
      </c>
      <c r="AN690" t="n">
        <v>4370</v>
      </c>
      <c r="AO690" t="n">
        <v>93640</v>
      </c>
      <c r="AP690" s="88">
        <f>IF(OR(AN690&lt;=0,AO690&lt;=0),"",LN(AN690)-LN(AO690))</f>
        <v/>
      </c>
      <c r="AQ690" t="n">
        <v>4822</v>
      </c>
      <c r="AR690" t="n">
        <v>98083</v>
      </c>
      <c r="AS690" s="88">
        <f>IF(OR(AQ690&lt;=0,AR690&lt;=0),"",LN(AQ690)-LN(AR690))</f>
        <v/>
      </c>
      <c r="AT690" t="n">
        <v>5436</v>
      </c>
      <c r="AU690" t="n">
        <v>96922</v>
      </c>
      <c r="AV690" t="n">
        <v>669</v>
      </c>
      <c r="AW690" t="n">
        <v>374</v>
      </c>
      <c r="AX690" t="n">
        <v>4537</v>
      </c>
      <c r="AY690" s="88">
        <f>IF(OR(AT690&lt;=0,AU690&lt;=0),"",LN(AT690)-LN(AU690))</f>
        <v/>
      </c>
      <c r="AZ690" s="46" t="n">
        <v>9.300000000000001</v>
      </c>
      <c r="BA690" s="46" t="n">
        <v>12.53</v>
      </c>
      <c r="BB690" s="47" t="n">
        <v>0</v>
      </c>
    </row>
    <row r="691">
      <c r="A691" s="48" t="n">
        <v>45981</v>
      </c>
      <c r="B691" s="49" t="n">
        <v>111930</v>
      </c>
      <c r="C691" s="50" t="n">
        <v>21</v>
      </c>
      <c r="D691" s="51" t="inlineStr">
        <is>
          <t>Moderate</t>
        </is>
      </c>
      <c r="E691" s="52" t="n">
        <v>7.4</v>
      </c>
      <c r="F691" s="52" t="n"/>
      <c r="G691" s="51" t="inlineStr">
        <is>
          <t>Thu</t>
        </is>
      </c>
      <c r="H691" s="51" t="inlineStr">
        <is>
          <t>Weekday</t>
        </is>
      </c>
      <c r="I691" s="51" t="inlineStr">
        <is>
          <t>Fall</t>
        </is>
      </c>
      <c r="J691" s="51" t="n">
        <v>25</v>
      </c>
      <c r="K691" s="51" t="inlineStr">
        <is>
          <t>강수량 공란</t>
        </is>
      </c>
      <c r="L691" s="46" t="n">
        <v>42.04</v>
      </c>
      <c r="M691" t="inlineStr">
        <is>
          <t>Moderate</t>
        </is>
      </c>
      <c r="N691" s="87" t="n">
        <v>25</v>
      </c>
      <c r="O691" s="87" t="n">
        <v>0</v>
      </c>
      <c r="P691" s="87" t="n">
        <v>0</v>
      </c>
      <c r="Q691" s="87" t="n">
        <v>0</v>
      </c>
      <c r="R691" s="87" t="n">
        <v>0</v>
      </c>
      <c r="S691" s="47" t="n">
        <v>2.5</v>
      </c>
      <c r="T691" s="47" t="n">
        <v>58.8</v>
      </c>
      <c r="U691" s="47" t="n"/>
      <c r="V691" s="87" t="n">
        <v>0</v>
      </c>
      <c r="W691" s="87" t="n">
        <v>0</v>
      </c>
      <c r="Y691" t="inlineStr">
        <is>
          <t>Nov</t>
        </is>
      </c>
      <c r="Z691" s="87" t="n">
        <v>2025</v>
      </c>
      <c r="AA691" s="47">
        <f>IF(F691="",0,F691)</f>
        <v/>
      </c>
      <c r="AB691" s="87">
        <f>IF(AA691&gt;=0.1,1,0)</f>
        <v/>
      </c>
      <c r="AC691" s="87" t="n">
        <v>0</v>
      </c>
      <c r="AD691" s="47">
        <f>IF(U691="",0,U691)</f>
        <v/>
      </c>
      <c r="AE691" s="87">
        <f>IF(OR(V691=1,W691=1),1,0)</f>
        <v/>
      </c>
      <c r="AF691" s="87" t="n">
        <v>0</v>
      </c>
      <c r="AG691" t="n">
        <v>5541</v>
      </c>
      <c r="AH691" t="n">
        <v>106389</v>
      </c>
      <c r="AI691" t="n">
        <v>0</v>
      </c>
      <c r="AJ691" s="88">
        <f>IF(OR(AG691&lt;=0,AH691&lt;=0),"",LN(AG691)-LN(AH691))</f>
        <v/>
      </c>
      <c r="AK691" t="n">
        <v>15777</v>
      </c>
      <c r="AL691" t="n">
        <v>96153</v>
      </c>
      <c r="AM691" s="88">
        <f>IF(OR(AK691&lt;=0,AL691&lt;=0),"",LN(AK691)-LN(AL691))</f>
        <v/>
      </c>
      <c r="AN691" t="n">
        <v>4809</v>
      </c>
      <c r="AO691" t="n">
        <v>101622</v>
      </c>
      <c r="AP691" s="88">
        <f>IF(OR(AN691&lt;=0,AO691&lt;=0),"",LN(AN691)-LN(AO691))</f>
        <v/>
      </c>
      <c r="AQ691" t="n">
        <v>5401</v>
      </c>
      <c r="AR691" t="n">
        <v>106389</v>
      </c>
      <c r="AS691" s="88">
        <f>IF(OR(AQ691&lt;=0,AR691&lt;=0),"",LN(AQ691)-LN(AR691))</f>
        <v/>
      </c>
      <c r="AT691" t="n">
        <v>6163</v>
      </c>
      <c r="AU691" t="n">
        <v>105058</v>
      </c>
      <c r="AV691" t="n">
        <v>711</v>
      </c>
      <c r="AW691" t="n">
        <v>484</v>
      </c>
      <c r="AX691" t="n">
        <v>5022</v>
      </c>
      <c r="AY691" s="88">
        <f>IF(OR(AT691&lt;=0,AU691&lt;=0),"",LN(AT691)-LN(AU691))</f>
        <v/>
      </c>
      <c r="AZ691" s="46" t="n">
        <v>5.9</v>
      </c>
      <c r="BA691" s="46" t="n">
        <v>9.130000000000001</v>
      </c>
      <c r="BB691" s="47" t="n">
        <v>4.5</v>
      </c>
    </row>
    <row r="692">
      <c r="A692" s="48" t="n">
        <v>45982</v>
      </c>
      <c r="B692" s="49" t="n">
        <v>112820</v>
      </c>
      <c r="C692" s="50" t="n">
        <v>9.68</v>
      </c>
      <c r="D692" s="51" t="inlineStr">
        <is>
          <t>Good</t>
        </is>
      </c>
      <c r="E692" s="52" t="n">
        <v>7.4</v>
      </c>
      <c r="F692" s="52" t="n"/>
      <c r="G692" s="51" t="inlineStr">
        <is>
          <t>Fri</t>
        </is>
      </c>
      <c r="H692" s="51" t="inlineStr">
        <is>
          <t>Weekday</t>
        </is>
      </c>
      <c r="I692" s="51" t="inlineStr">
        <is>
          <t>Fall</t>
        </is>
      </c>
      <c r="J692" s="51" t="n">
        <v>25</v>
      </c>
      <c r="K692" s="51" t="inlineStr">
        <is>
          <t>강수량 공란</t>
        </is>
      </c>
      <c r="L692" s="46" t="n">
        <v>24.68</v>
      </c>
      <c r="M692" t="inlineStr">
        <is>
          <t>Good</t>
        </is>
      </c>
      <c r="N692" s="87" t="n">
        <v>25</v>
      </c>
      <c r="O692" s="87" t="n">
        <v>0</v>
      </c>
      <c r="P692" s="87" t="n">
        <v>0</v>
      </c>
      <c r="Q692" s="87" t="n">
        <v>0</v>
      </c>
      <c r="R692" s="87" t="n">
        <v>0</v>
      </c>
      <c r="S692" s="47" t="n">
        <v>1.9</v>
      </c>
      <c r="T692" s="47" t="n">
        <v>58.5</v>
      </c>
      <c r="U692" s="47" t="n"/>
      <c r="V692" s="87" t="n">
        <v>0</v>
      </c>
      <c r="W692" s="87" t="n">
        <v>0</v>
      </c>
      <c r="Y692" t="inlineStr">
        <is>
          <t>Nov</t>
        </is>
      </c>
      <c r="Z692" s="87" t="n">
        <v>2025</v>
      </c>
      <c r="AA692" s="47">
        <f>IF(F692="",0,F692)</f>
        <v/>
      </c>
      <c r="AB692" s="87">
        <f>IF(AA692&gt;=0.1,1,0)</f>
        <v/>
      </c>
      <c r="AC692" s="87" t="n">
        <v>0</v>
      </c>
      <c r="AD692" s="47">
        <f>IF(U692="",0,U692)</f>
        <v/>
      </c>
      <c r="AE692" s="87">
        <f>IF(OR(V692=1,W692=1),1,0)</f>
        <v/>
      </c>
      <c r="AF692" s="87" t="n">
        <v>0</v>
      </c>
      <c r="AG692" t="n">
        <v>5991</v>
      </c>
      <c r="AH692" t="n">
        <v>106829</v>
      </c>
      <c r="AI692" t="n">
        <v>0</v>
      </c>
      <c r="AJ692" s="88">
        <f>IF(OR(AG692&lt;=0,AH692&lt;=0),"",LN(AG692)-LN(AH692))</f>
        <v/>
      </c>
      <c r="AK692" t="n">
        <v>16495</v>
      </c>
      <c r="AL692" t="n">
        <v>96325</v>
      </c>
      <c r="AM692" s="88">
        <f>IF(OR(AK692&lt;=0,AL692&lt;=0),"",LN(AK692)-LN(AL692))</f>
        <v/>
      </c>
      <c r="AN692" t="n">
        <v>5218</v>
      </c>
      <c r="AO692" t="n">
        <v>102019</v>
      </c>
      <c r="AP692" s="88">
        <f>IF(OR(AN692&lt;=0,AO692&lt;=0),"",LN(AN692)-LN(AO692))</f>
        <v/>
      </c>
      <c r="AQ692" t="n">
        <v>5824</v>
      </c>
      <c r="AR692" t="n">
        <v>106829</v>
      </c>
      <c r="AS692" s="88">
        <f>IF(OR(AQ692&lt;=0,AR692&lt;=0),"",LN(AQ692)-LN(AR692))</f>
        <v/>
      </c>
      <c r="AT692" t="n">
        <v>6206</v>
      </c>
      <c r="AU692" t="n">
        <v>105822</v>
      </c>
      <c r="AV692" t="n">
        <v>797</v>
      </c>
      <c r="AW692" t="n">
        <v>421</v>
      </c>
      <c r="AX692" t="n">
        <v>5504</v>
      </c>
      <c r="AY692" s="88">
        <f>IF(OR(AT692&lt;=0,AU692&lt;=0),"",LN(AT692)-LN(AU692))</f>
        <v/>
      </c>
      <c r="AZ692" s="46" t="n">
        <v>7.5</v>
      </c>
      <c r="BA692" s="46" t="n">
        <v>11.77</v>
      </c>
      <c r="BB692" s="47" t="n">
        <v>3.1</v>
      </c>
    </row>
    <row r="693">
      <c r="A693" s="48" t="n">
        <v>45983</v>
      </c>
      <c r="B693" s="49" t="n">
        <v>90719</v>
      </c>
      <c r="C693" s="50" t="n">
        <v>23.2</v>
      </c>
      <c r="D693" s="51" t="inlineStr">
        <is>
          <t>Moderate</t>
        </is>
      </c>
      <c r="E693" s="52" t="n">
        <v>9.6</v>
      </c>
      <c r="F693" s="52" t="n"/>
      <c r="G693" s="51" t="inlineStr">
        <is>
          <t>Sat</t>
        </is>
      </c>
      <c r="H693" s="51" t="inlineStr">
        <is>
          <t>Weekend</t>
        </is>
      </c>
      <c r="I693" s="51" t="inlineStr">
        <is>
          <t>Fall</t>
        </is>
      </c>
      <c r="J693" s="51" t="n">
        <v>25</v>
      </c>
      <c r="K693" s="51" t="inlineStr">
        <is>
          <t>강수량 공란</t>
        </is>
      </c>
      <c r="L693" s="46" t="n">
        <v>40.76</v>
      </c>
      <c r="M693" t="inlineStr">
        <is>
          <t>Moderate</t>
        </is>
      </c>
      <c r="N693" s="87" t="n">
        <v>25</v>
      </c>
      <c r="O693" s="87" t="n">
        <v>0</v>
      </c>
      <c r="P693" s="87" t="n">
        <v>0</v>
      </c>
      <c r="Q693" s="87" t="n">
        <v>0</v>
      </c>
      <c r="R693" s="87" t="n">
        <v>0</v>
      </c>
      <c r="S693" s="47" t="n">
        <v>1.7</v>
      </c>
      <c r="T693" s="47" t="n">
        <v>65.3</v>
      </c>
      <c r="U693" s="47" t="n"/>
      <c r="V693" s="87" t="n">
        <v>1</v>
      </c>
      <c r="W693" s="87" t="n">
        <v>0</v>
      </c>
      <c r="Y693" t="inlineStr">
        <is>
          <t>Nov</t>
        </is>
      </c>
      <c r="Z693" s="87" t="n">
        <v>2025</v>
      </c>
      <c r="AA693" s="47">
        <f>IF(F693="",0,F693)</f>
        <v/>
      </c>
      <c r="AB693" s="87">
        <f>IF(AA693&gt;=0.1,1,0)</f>
        <v/>
      </c>
      <c r="AC693" s="87" t="n">
        <v>0</v>
      </c>
      <c r="AD693" s="47">
        <f>IF(U693="",0,U693)</f>
        <v/>
      </c>
      <c r="AE693" s="87">
        <f>IF(OR(V693=1,W693=1),1,0)</f>
        <v/>
      </c>
      <c r="AF693" s="87" t="n">
        <v>0</v>
      </c>
      <c r="AG693" t="n">
        <v>6353</v>
      </c>
      <c r="AH693" t="n">
        <v>84366</v>
      </c>
      <c r="AI693" t="n">
        <v>0</v>
      </c>
      <c r="AJ693" s="88">
        <f>IF(OR(AG693&lt;=0,AH693&lt;=0),"",LN(AG693)-LN(AH693))</f>
        <v/>
      </c>
      <c r="AK693" t="n">
        <v>14712</v>
      </c>
      <c r="AL693" t="n">
        <v>76007</v>
      </c>
      <c r="AM693" s="88">
        <f>IF(OR(AK693&lt;=0,AL693&lt;=0),"",LN(AK693)-LN(AL693))</f>
        <v/>
      </c>
      <c r="AN693" t="n">
        <v>4839</v>
      </c>
      <c r="AO693" t="n">
        <v>80682</v>
      </c>
      <c r="AP693" s="88">
        <f>IF(OR(AN693&lt;=0,AO693&lt;=0),"",LN(AN693)-LN(AO693))</f>
        <v/>
      </c>
      <c r="AQ693" t="n">
        <v>6168</v>
      </c>
      <c r="AR693" t="n">
        <v>84366</v>
      </c>
      <c r="AS693" s="88">
        <f>IF(OR(AQ693&lt;=0,AR693&lt;=0),"",LN(AQ693)-LN(AR693))</f>
        <v/>
      </c>
      <c r="AT693" t="n">
        <v>7097</v>
      </c>
      <c r="AU693" t="n">
        <v>83042</v>
      </c>
      <c r="AV693" t="n">
        <v>580</v>
      </c>
      <c r="AW693" t="n">
        <v>872</v>
      </c>
      <c r="AX693" t="n">
        <v>5434</v>
      </c>
      <c r="AY693" s="88">
        <f>IF(OR(AT693&lt;=0,AU693&lt;=0),"",LN(AT693)-LN(AU693))</f>
        <v/>
      </c>
      <c r="AZ693" s="46" t="n">
        <v>6.3</v>
      </c>
      <c r="BA693" s="46" t="n">
        <v>9.4</v>
      </c>
      <c r="BB693" s="47" t="n">
        <v>3</v>
      </c>
    </row>
    <row r="694">
      <c r="A694" s="48" t="n">
        <v>45984</v>
      </c>
      <c r="B694" s="49" t="n">
        <v>80048</v>
      </c>
      <c r="C694" s="50" t="n">
        <v>30.36</v>
      </c>
      <c r="D694" s="51" t="inlineStr">
        <is>
          <t>Moderate</t>
        </is>
      </c>
      <c r="E694" s="52" t="n">
        <v>10.9</v>
      </c>
      <c r="F694" s="52" t="n"/>
      <c r="G694" s="51" t="inlineStr">
        <is>
          <t>Sun</t>
        </is>
      </c>
      <c r="H694" s="51" t="inlineStr">
        <is>
          <t>Weekend</t>
        </is>
      </c>
      <c r="I694" s="51" t="inlineStr">
        <is>
          <t>Fall</t>
        </is>
      </c>
      <c r="J694" s="51" t="n">
        <v>25</v>
      </c>
      <c r="K694" s="51" t="inlineStr">
        <is>
          <t>강수량 공란</t>
        </is>
      </c>
      <c r="L694" s="46" t="n">
        <v>45.92</v>
      </c>
      <c r="M694" t="inlineStr">
        <is>
          <t>Moderate</t>
        </is>
      </c>
      <c r="N694" s="87" t="n">
        <v>25</v>
      </c>
      <c r="O694" s="87" t="n">
        <v>0</v>
      </c>
      <c r="P694" s="87" t="n">
        <v>0</v>
      </c>
      <c r="Q694" s="87" t="n">
        <v>0</v>
      </c>
      <c r="R694" s="87" t="n">
        <v>0</v>
      </c>
      <c r="S694" s="47" t="n">
        <v>2.1</v>
      </c>
      <c r="T694" s="47" t="n">
        <v>69.59999999999999</v>
      </c>
      <c r="U694" s="47" t="n"/>
      <c r="V694" s="87" t="n">
        <v>1</v>
      </c>
      <c r="W694" s="87" t="n">
        <v>0</v>
      </c>
      <c r="Y694" t="inlineStr">
        <is>
          <t>Nov</t>
        </is>
      </c>
      <c r="Z694" s="87" t="n">
        <v>2025</v>
      </c>
      <c r="AA694" s="47">
        <f>IF(F694="",0,F694)</f>
        <v/>
      </c>
      <c r="AB694" s="87">
        <f>IF(AA694&gt;=0.1,1,0)</f>
        <v/>
      </c>
      <c r="AC694" s="87" t="n">
        <v>0</v>
      </c>
      <c r="AD694" s="47">
        <f>IF(U694="",0,U694)</f>
        <v/>
      </c>
      <c r="AE694" s="87">
        <f>IF(OR(V694=1,W694=1),1,0)</f>
        <v/>
      </c>
      <c r="AF694" s="87" t="n">
        <v>0</v>
      </c>
      <c r="AG694" t="n">
        <v>5774</v>
      </c>
      <c r="AH694" t="n">
        <v>74274</v>
      </c>
      <c r="AI694" t="n">
        <v>0</v>
      </c>
      <c r="AJ694" s="88">
        <f>IF(OR(AG694&lt;=0,AH694&lt;=0),"",LN(AG694)-LN(AH694))</f>
        <v/>
      </c>
      <c r="AK694" t="n">
        <v>13123</v>
      </c>
      <c r="AL694" t="n">
        <v>66925</v>
      </c>
      <c r="AM694" s="88">
        <f>IF(OR(AK694&lt;=0,AL694&lt;=0),"",LN(AK694)-LN(AL694))</f>
        <v/>
      </c>
      <c r="AN694" t="n">
        <v>4453</v>
      </c>
      <c r="AO694" t="n">
        <v>71050</v>
      </c>
      <c r="AP694" s="88">
        <f>IF(OR(AN694&lt;=0,AO694&lt;=0),"",LN(AN694)-LN(AO694))</f>
        <v/>
      </c>
      <c r="AQ694" t="n">
        <v>5638</v>
      </c>
      <c r="AR694" t="n">
        <v>74274</v>
      </c>
      <c r="AS694" s="88">
        <f>IF(OR(AQ694&lt;=0,AR694&lt;=0),"",LN(AQ694)-LN(AR694))</f>
        <v/>
      </c>
      <c r="AT694" t="n">
        <v>6811</v>
      </c>
      <c r="AU694" t="n">
        <v>72803</v>
      </c>
      <c r="AV694" t="n">
        <v>434</v>
      </c>
      <c r="AW694" t="n">
        <v>818</v>
      </c>
      <c r="AX694" t="n">
        <v>4910</v>
      </c>
      <c r="AY694" s="88">
        <f>IF(OR(AT694&lt;=0,AU694&lt;=0),"",LN(AT694)-LN(AU694))</f>
        <v/>
      </c>
      <c r="AZ694" s="46" t="n">
        <v>0.6</v>
      </c>
      <c r="BA694" s="46" t="n">
        <v>4.46</v>
      </c>
      <c r="BB694" s="47" t="n">
        <v>8</v>
      </c>
    </row>
    <row r="695">
      <c r="A695" s="48" t="n">
        <v>45985</v>
      </c>
      <c r="B695" s="49" t="n">
        <v>118617</v>
      </c>
      <c r="C695" s="50" t="n">
        <v>53.48</v>
      </c>
      <c r="D695" s="51" t="inlineStr">
        <is>
          <t>Bad</t>
        </is>
      </c>
      <c r="E695" s="52" t="n">
        <v>12.4</v>
      </c>
      <c r="F695" s="52" t="n"/>
      <c r="G695" s="51" t="inlineStr">
        <is>
          <t>Mon</t>
        </is>
      </c>
      <c r="H695" s="51" t="inlineStr">
        <is>
          <t>Weekday</t>
        </is>
      </c>
      <c r="I695" s="51" t="inlineStr">
        <is>
          <t>Fall</t>
        </is>
      </c>
      <c r="J695" s="51" t="n">
        <v>25</v>
      </c>
      <c r="K695" s="51" t="inlineStr">
        <is>
          <t>강수량 공란</t>
        </is>
      </c>
      <c r="L695" s="46" t="n">
        <v>77.64</v>
      </c>
      <c r="M695" t="inlineStr">
        <is>
          <t>Moderate</t>
        </is>
      </c>
      <c r="N695" s="87" t="n">
        <v>25</v>
      </c>
      <c r="O695" s="87" t="n">
        <v>0</v>
      </c>
      <c r="P695" s="87" t="n">
        <v>0</v>
      </c>
      <c r="Q695" s="87" t="n">
        <v>0</v>
      </c>
      <c r="R695" s="87" t="n">
        <v>0</v>
      </c>
      <c r="S695" s="47" t="n">
        <v>1.8</v>
      </c>
      <c r="T695" s="47" t="n">
        <v>72.5</v>
      </c>
      <c r="U695" s="47" t="n"/>
      <c r="V695" s="87" t="n">
        <v>0</v>
      </c>
      <c r="W695" s="87" t="n">
        <v>0</v>
      </c>
      <c r="Y695" t="inlineStr">
        <is>
          <t>Nov</t>
        </is>
      </c>
      <c r="Z695" s="87" t="n">
        <v>2025</v>
      </c>
      <c r="AA695" s="47">
        <f>IF(F695="",0,F695)</f>
        <v/>
      </c>
      <c r="AB695" s="87">
        <f>IF(AA695&gt;=0.1,1,0)</f>
        <v/>
      </c>
      <c r="AC695" s="87" t="n">
        <v>0</v>
      </c>
      <c r="AD695" s="47">
        <f>IF(U695="",0,U695)</f>
        <v/>
      </c>
      <c r="AE695" s="87">
        <f>IF(OR(V695=1,W695=1),1,0)</f>
        <v/>
      </c>
      <c r="AF695" s="87" t="n">
        <v>0</v>
      </c>
      <c r="AG695" t="n">
        <v>6124</v>
      </c>
      <c r="AH695" t="n">
        <v>112493</v>
      </c>
      <c r="AI695" t="n">
        <v>0</v>
      </c>
      <c r="AJ695" s="88">
        <f>IF(OR(AG695&lt;=0,AH695&lt;=0),"",LN(AG695)-LN(AH695))</f>
        <v/>
      </c>
      <c r="AK695" t="n">
        <v>17127</v>
      </c>
      <c r="AL695" t="n">
        <v>101490</v>
      </c>
      <c r="AM695" s="88">
        <f>IF(OR(AK695&lt;=0,AL695&lt;=0),"",LN(AK695)-LN(AL695))</f>
        <v/>
      </c>
      <c r="AN695" t="n">
        <v>5233</v>
      </c>
      <c r="AO695" t="n">
        <v>107537</v>
      </c>
      <c r="AP695" s="88">
        <f>IF(OR(AN695&lt;=0,AO695&lt;=0),"",LN(AN695)-LN(AO695))</f>
        <v/>
      </c>
      <c r="AQ695" t="n">
        <v>5973</v>
      </c>
      <c r="AR695" t="n">
        <v>112493</v>
      </c>
      <c r="AS695" s="88">
        <f>IF(OR(AQ695&lt;=0,AR695&lt;=0),"",LN(AQ695)-LN(AR695))</f>
        <v/>
      </c>
      <c r="AT695" t="n">
        <v>6735</v>
      </c>
      <c r="AU695" t="n">
        <v>111181</v>
      </c>
      <c r="AV695" t="n">
        <v>702</v>
      </c>
      <c r="AW695" t="n">
        <v>553</v>
      </c>
      <c r="AX695" t="n">
        <v>5532</v>
      </c>
      <c r="AY695" s="88">
        <f>IF(OR(AT695&lt;=0,AU695&lt;=0),"",LN(AT695)-LN(AU695))</f>
        <v/>
      </c>
      <c r="AZ695" s="46" t="n">
        <v>3.2</v>
      </c>
      <c r="BA695" s="46" t="n">
        <v>5.64</v>
      </c>
      <c r="BB695" s="47" t="n">
        <v>5</v>
      </c>
    </row>
    <row r="696">
      <c r="A696" s="48" t="n">
        <v>45986</v>
      </c>
      <c r="B696" s="49" t="n">
        <v>72261</v>
      </c>
      <c r="C696" s="50" t="n">
        <v>62.36</v>
      </c>
      <c r="D696" s="51" t="inlineStr">
        <is>
          <t>Bad</t>
        </is>
      </c>
      <c r="E696" s="52" t="n">
        <v>7.4</v>
      </c>
      <c r="F696" s="52" t="n">
        <v>7.8</v>
      </c>
      <c r="G696" s="51" t="inlineStr">
        <is>
          <t>Tue</t>
        </is>
      </c>
      <c r="H696" s="51" t="inlineStr">
        <is>
          <t>Weekday</t>
        </is>
      </c>
      <c r="I696" s="51" t="inlineStr">
        <is>
          <t>Fall</t>
        </is>
      </c>
      <c r="J696" s="51" t="n">
        <v>25</v>
      </c>
      <c r="K696" s="51" t="inlineStr">
        <is>
          <t>OK</t>
        </is>
      </c>
      <c r="L696" s="46" t="n">
        <v>81.28</v>
      </c>
      <c r="M696" t="inlineStr">
        <is>
          <t>Bad</t>
        </is>
      </c>
      <c r="N696" s="87" t="n">
        <v>25</v>
      </c>
      <c r="O696" s="87" t="n">
        <v>0</v>
      </c>
      <c r="P696" s="87" t="n">
        <v>0</v>
      </c>
      <c r="Q696" s="87" t="n">
        <v>0</v>
      </c>
      <c r="R696" s="87" t="n">
        <v>0</v>
      </c>
      <c r="S696" s="47" t="n">
        <v>2.5</v>
      </c>
      <c r="T696" s="47" t="n">
        <v>81.09999999999999</v>
      </c>
      <c r="U696" s="47" t="n"/>
      <c r="V696" s="87" t="n">
        <v>0</v>
      </c>
      <c r="W696" s="87" t="n">
        <v>0</v>
      </c>
      <c r="Y696" t="inlineStr">
        <is>
          <t>Nov</t>
        </is>
      </c>
      <c r="Z696" s="87" t="n">
        <v>2025</v>
      </c>
      <c r="AA696" s="47">
        <f>IF(F696="",0,F696)</f>
        <v/>
      </c>
      <c r="AB696" s="87">
        <f>IF(AA696&gt;=0.1,1,0)</f>
        <v/>
      </c>
      <c r="AC696" s="87" t="n">
        <v>0</v>
      </c>
      <c r="AD696" s="47">
        <f>IF(U696="",0,U696)</f>
        <v/>
      </c>
      <c r="AE696" s="87">
        <f>IF(OR(V696=1,W696=1),1,0)</f>
        <v/>
      </c>
      <c r="AF696" s="87" t="n">
        <v>0</v>
      </c>
      <c r="AG696" t="n">
        <v>3175</v>
      </c>
      <c r="AH696" t="n">
        <v>69086</v>
      </c>
      <c r="AI696" t="n">
        <v>0</v>
      </c>
      <c r="AJ696" s="88">
        <f>IF(OR(AG696&lt;=0,AH696&lt;=0),"",LN(AG696)-LN(AH696))</f>
        <v/>
      </c>
      <c r="AK696" t="n">
        <v>9722</v>
      </c>
      <c r="AL696" t="n">
        <v>62539</v>
      </c>
      <c r="AM696" s="88">
        <f>IF(OR(AK696&lt;=0,AL696&lt;=0),"",LN(AK696)-LN(AL696))</f>
        <v/>
      </c>
      <c r="AN696" t="n">
        <v>2844</v>
      </c>
      <c r="AO696" t="n">
        <v>66029</v>
      </c>
      <c r="AP696" s="88">
        <f>IF(OR(AN696&lt;=0,AO696&lt;=0),"",LN(AN696)-LN(AO696))</f>
        <v/>
      </c>
      <c r="AQ696" t="n">
        <v>3091</v>
      </c>
      <c r="AR696" t="n">
        <v>69086</v>
      </c>
      <c r="AS696" s="88">
        <f>IF(OR(AQ696&lt;=0,AR696&lt;=0),"",LN(AQ696)-LN(AR696))</f>
        <v/>
      </c>
      <c r="AT696" t="n">
        <v>4345</v>
      </c>
      <c r="AU696" t="n">
        <v>67462</v>
      </c>
      <c r="AV696" t="n">
        <v>455</v>
      </c>
      <c r="AW696" t="n">
        <v>276</v>
      </c>
      <c r="AX696" t="n">
        <v>2877</v>
      </c>
      <c r="AY696" s="88">
        <f>IF(OR(AT696&lt;=0,AU696&lt;=0),"",LN(AT696)-LN(AU696))</f>
        <v/>
      </c>
      <c r="AZ696" s="46" t="n">
        <v>0.2</v>
      </c>
      <c r="BA696" s="46" t="n">
        <v>2.89</v>
      </c>
      <c r="BB696" s="47" t="n">
        <v>8.800000000000001</v>
      </c>
    </row>
    <row r="697">
      <c r="A697" s="48" t="n">
        <v>45987</v>
      </c>
      <c r="B697" s="49" t="n">
        <v>113310</v>
      </c>
      <c r="C697" s="50" t="n">
        <v>33.208333</v>
      </c>
      <c r="D697" s="51" t="inlineStr">
        <is>
          <t>Moderate</t>
        </is>
      </c>
      <c r="E697" s="52" t="n">
        <v>6.4</v>
      </c>
      <c r="F697" s="52" t="n"/>
      <c r="G697" s="51" t="inlineStr">
        <is>
          <t>Wed</t>
        </is>
      </c>
      <c r="H697" s="51" t="inlineStr">
        <is>
          <t>Weekday</t>
        </is>
      </c>
      <c r="I697" s="51" t="inlineStr">
        <is>
          <t>Fall</t>
        </is>
      </c>
      <c r="J697" s="51" t="n">
        <v>24</v>
      </c>
      <c r="K697" s="51" t="inlineStr">
        <is>
          <t>강수량 공란</t>
        </is>
      </c>
      <c r="L697" s="46" t="n">
        <v>45.83333333333334</v>
      </c>
      <c r="M697" t="inlineStr">
        <is>
          <t>Moderate</t>
        </is>
      </c>
      <c r="N697" s="87" t="n">
        <v>24</v>
      </c>
      <c r="O697" s="87" t="n">
        <v>0</v>
      </c>
      <c r="P697" s="87" t="n">
        <v>0</v>
      </c>
      <c r="Q697" s="87" t="n">
        <v>0</v>
      </c>
      <c r="R697" s="87" t="n">
        <v>0</v>
      </c>
      <c r="S697" s="47" t="n">
        <v>1.5</v>
      </c>
      <c r="T697" s="47" t="n">
        <v>66.40000000000001</v>
      </c>
      <c r="U697" s="47" t="n"/>
      <c r="V697" s="87" t="n">
        <v>0</v>
      </c>
      <c r="W697" s="87" t="n">
        <v>0</v>
      </c>
      <c r="Y697" t="inlineStr">
        <is>
          <t>Nov</t>
        </is>
      </c>
      <c r="Z697" s="87" t="n">
        <v>2025</v>
      </c>
      <c r="AA697" s="47">
        <f>IF(F697="",0,F697)</f>
        <v/>
      </c>
      <c r="AB697" s="87">
        <f>IF(AA697&gt;=0.1,1,0)</f>
        <v/>
      </c>
      <c r="AC697" s="87" t="n">
        <v>0</v>
      </c>
      <c r="AD697" s="47">
        <f>IF(U697="",0,U697)</f>
        <v/>
      </c>
      <c r="AE697" s="87">
        <f>IF(OR(V697=1,W697=1),1,0)</f>
        <v/>
      </c>
      <c r="AF697" s="87" t="n">
        <v>0</v>
      </c>
      <c r="AG697" t="n">
        <v>5642</v>
      </c>
      <c r="AH697" t="n">
        <v>107668</v>
      </c>
      <c r="AI697" t="n">
        <v>0</v>
      </c>
      <c r="AJ697" s="88">
        <f>IF(OR(AG697&lt;=0,AH697&lt;=0),"",LN(AG697)-LN(AH697))</f>
        <v/>
      </c>
      <c r="AK697" t="n">
        <v>16054</v>
      </c>
      <c r="AL697" t="n">
        <v>97256</v>
      </c>
      <c r="AM697" s="88">
        <f>IF(OR(AK697&lt;=0,AL697&lt;=0),"",LN(AK697)-LN(AL697))</f>
        <v/>
      </c>
      <c r="AN697" t="n">
        <v>4941</v>
      </c>
      <c r="AO697" t="n">
        <v>102873</v>
      </c>
      <c r="AP697" s="88">
        <f>IF(OR(AN697&lt;=0,AO697&lt;=0),"",LN(AN697)-LN(AO697))</f>
        <v/>
      </c>
      <c r="AQ697" t="n">
        <v>5486</v>
      </c>
      <c r="AR697" t="n">
        <v>107668</v>
      </c>
      <c r="AS697" s="88">
        <f>IF(OR(AQ697&lt;=0,AR697&lt;=0),"",LN(AQ697)-LN(AR697))</f>
        <v/>
      </c>
      <c r="AT697" t="n">
        <v>6102</v>
      </c>
      <c r="AU697" t="n">
        <v>106496</v>
      </c>
      <c r="AV697" t="n">
        <v>716</v>
      </c>
      <c r="AW697" t="n">
        <v>420</v>
      </c>
      <c r="AX697" t="n">
        <v>5176</v>
      </c>
      <c r="AY697" s="88">
        <f>IF(OR(AT697&lt;=0,AU697&lt;=0),"",LN(AT697)-LN(AU697))</f>
        <v/>
      </c>
      <c r="AZ697" s="46" t="n">
        <v>5.4</v>
      </c>
      <c r="BA697" s="46" t="n">
        <v>8.77</v>
      </c>
      <c r="BB697" s="47" t="n">
        <v>3.5</v>
      </c>
    </row>
    <row r="698">
      <c r="A698" s="48" t="n">
        <v>45988</v>
      </c>
      <c r="B698" s="49" t="n">
        <v>66248</v>
      </c>
      <c r="C698" s="50" t="n">
        <v>20.5</v>
      </c>
      <c r="D698" s="51" t="inlineStr">
        <is>
          <t>Moderate</t>
        </is>
      </c>
      <c r="E698" s="52" t="n">
        <v>5.1</v>
      </c>
      <c r="F698" s="52" t="n">
        <v>10</v>
      </c>
      <c r="G698" s="51" t="inlineStr">
        <is>
          <t>Thu</t>
        </is>
      </c>
      <c r="H698" s="51" t="inlineStr">
        <is>
          <t>Weekday</t>
        </is>
      </c>
      <c r="I698" s="51" t="inlineStr">
        <is>
          <t>Fall</t>
        </is>
      </c>
      <c r="J698" s="51" t="n">
        <v>24</v>
      </c>
      <c r="K698" s="51" t="inlineStr">
        <is>
          <t>OK</t>
        </is>
      </c>
      <c r="L698" s="46" t="n">
        <v>33.79166666666666</v>
      </c>
      <c r="M698" t="inlineStr">
        <is>
          <t>Moderate</t>
        </is>
      </c>
      <c r="N698" s="87" t="n">
        <v>24</v>
      </c>
      <c r="O698" s="87" t="n">
        <v>0</v>
      </c>
      <c r="P698" s="87" t="n">
        <v>0</v>
      </c>
      <c r="Q698" s="87" t="n">
        <v>0</v>
      </c>
      <c r="R698" s="87" t="n">
        <v>0</v>
      </c>
      <c r="S698" s="47" t="n">
        <v>3</v>
      </c>
      <c r="T698" s="47" t="n">
        <v>77.40000000000001</v>
      </c>
      <c r="U698" s="47" t="n"/>
      <c r="V698" s="87" t="n">
        <v>0</v>
      </c>
      <c r="W698" s="87" t="n">
        <v>0</v>
      </c>
      <c r="Y698" t="inlineStr">
        <is>
          <t>Nov</t>
        </is>
      </c>
      <c r="Z698" s="87" t="n">
        <v>2025</v>
      </c>
      <c r="AA698" s="47">
        <f>IF(F698="",0,F698)</f>
        <v/>
      </c>
      <c r="AB698" s="87">
        <f>IF(AA698&gt;=0.1,1,0)</f>
        <v/>
      </c>
      <c r="AC698" s="87" t="n">
        <v>0</v>
      </c>
      <c r="AD698" s="47">
        <f>IF(U698="",0,U698)</f>
        <v/>
      </c>
      <c r="AE698" s="87">
        <f>IF(OR(V698=1,W698=1),1,0)</f>
        <v/>
      </c>
      <c r="AF698" s="87" t="n">
        <v>0</v>
      </c>
      <c r="AG698" t="n">
        <v>3033</v>
      </c>
      <c r="AH698" t="n">
        <v>63215</v>
      </c>
      <c r="AI698" t="n">
        <v>0</v>
      </c>
      <c r="AJ698" s="88">
        <f>IF(OR(AG698&lt;=0,AH698&lt;=0),"",LN(AG698)-LN(AH698))</f>
        <v/>
      </c>
      <c r="AK698" t="n">
        <v>9022</v>
      </c>
      <c r="AL698" t="n">
        <v>57226</v>
      </c>
      <c r="AM698" s="88">
        <f>IF(OR(AK698&lt;=0,AL698&lt;=0),"",LN(AK698)-LN(AL698))</f>
        <v/>
      </c>
      <c r="AN698" t="n">
        <v>2785</v>
      </c>
      <c r="AO698" t="n">
        <v>60356</v>
      </c>
      <c r="AP698" s="88">
        <f>IF(OR(AN698&lt;=0,AO698&lt;=0),"",LN(AN698)-LN(AO698))</f>
        <v/>
      </c>
      <c r="AQ698" t="n">
        <v>2966</v>
      </c>
      <c r="AR698" t="n">
        <v>63215</v>
      </c>
      <c r="AS698" s="88">
        <f>IF(OR(AQ698&lt;=0,AR698&lt;=0),"",LN(AQ698)-LN(AR698))</f>
        <v/>
      </c>
      <c r="AT698" t="n">
        <v>3114</v>
      </c>
      <c r="AU698" t="n">
        <v>62690</v>
      </c>
      <c r="AV698" t="n">
        <v>445</v>
      </c>
      <c r="AW698" t="n">
        <v>168</v>
      </c>
      <c r="AX698" t="n">
        <v>2845</v>
      </c>
      <c r="AY698" s="88">
        <f>IF(OR(AT698&lt;=0,AU698&lt;=0),"",LN(AT698)-LN(AU698))</f>
        <v/>
      </c>
      <c r="AZ698" s="46" t="n">
        <v>0.3</v>
      </c>
      <c r="BA698" s="46" t="n">
        <v>2.69</v>
      </c>
      <c r="BB698" s="47" t="n">
        <v>6.4</v>
      </c>
    </row>
    <row r="699">
      <c r="A699" s="48" t="n">
        <v>45989</v>
      </c>
      <c r="B699" s="49" t="n">
        <v>99551</v>
      </c>
      <c r="C699" s="50" t="n">
        <v>13.5</v>
      </c>
      <c r="D699" s="51" t="inlineStr">
        <is>
          <t>Good</t>
        </is>
      </c>
      <c r="E699" s="52" t="n">
        <v>2.3</v>
      </c>
      <c r="F699" s="52" t="n"/>
      <c r="G699" s="51" t="inlineStr">
        <is>
          <t>Fri</t>
        </is>
      </c>
      <c r="H699" s="51" t="inlineStr">
        <is>
          <t>Weekday</t>
        </is>
      </c>
      <c r="I699" s="51" t="inlineStr">
        <is>
          <t>Fall</t>
        </is>
      </c>
      <c r="J699" s="51" t="n">
        <v>24</v>
      </c>
      <c r="K699" s="51" t="inlineStr">
        <is>
          <t>강수량 공란</t>
        </is>
      </c>
      <c r="L699" s="46" t="n">
        <v>23.125</v>
      </c>
      <c r="M699" t="inlineStr">
        <is>
          <t>Good</t>
        </is>
      </c>
      <c r="N699" s="87" t="n">
        <v>24</v>
      </c>
      <c r="O699" s="87" t="n">
        <v>0</v>
      </c>
      <c r="P699" s="87" t="n">
        <v>0</v>
      </c>
      <c r="Q699" s="87" t="n">
        <v>0</v>
      </c>
      <c r="R699" s="87" t="n">
        <v>0</v>
      </c>
      <c r="S699" s="47" t="n">
        <v>2</v>
      </c>
      <c r="T699" s="47" t="n">
        <v>56.4</v>
      </c>
      <c r="U699" s="47" t="n"/>
      <c r="V699" s="87" t="n">
        <v>0</v>
      </c>
      <c r="W699" s="87" t="n">
        <v>0</v>
      </c>
      <c r="Y699" t="inlineStr">
        <is>
          <t>Nov</t>
        </is>
      </c>
      <c r="Z699" s="87" t="n">
        <v>2025</v>
      </c>
      <c r="AA699" s="47">
        <f>IF(F699="",0,F699)</f>
        <v/>
      </c>
      <c r="AB699" s="87">
        <f>IF(AA699&gt;=0.1,1,0)</f>
        <v/>
      </c>
      <c r="AC699" s="87" t="n">
        <v>0</v>
      </c>
      <c r="AD699" s="47">
        <f>IF(U699="",0,U699)</f>
        <v/>
      </c>
      <c r="AE699" s="87">
        <f>IF(OR(V699=1,W699=1),1,0)</f>
        <v/>
      </c>
      <c r="AF699" s="87" t="n">
        <v>0</v>
      </c>
      <c r="AG699" t="n">
        <v>4773</v>
      </c>
      <c r="AH699" t="n">
        <v>94778</v>
      </c>
      <c r="AI699" t="n">
        <v>0</v>
      </c>
      <c r="AJ699" s="88">
        <f>IF(OR(AG699&lt;=0,AH699&lt;=0),"",LN(AG699)-LN(AH699))</f>
        <v/>
      </c>
      <c r="AK699" t="n">
        <v>13935</v>
      </c>
      <c r="AL699" t="n">
        <v>85616</v>
      </c>
      <c r="AM699" s="88">
        <f>IF(OR(AK699&lt;=0,AL699&lt;=0),"",LN(AK699)-LN(AL699))</f>
        <v/>
      </c>
      <c r="AN699" t="n">
        <v>4186</v>
      </c>
      <c r="AO699" t="n">
        <v>90563</v>
      </c>
      <c r="AP699" s="88">
        <f>IF(OR(AN699&lt;=0,AO699&lt;=0),"",LN(AN699)-LN(AO699))</f>
        <v/>
      </c>
      <c r="AQ699" t="n">
        <v>4669</v>
      </c>
      <c r="AR699" t="n">
        <v>94778</v>
      </c>
      <c r="AS699" s="88">
        <f>IF(OR(AQ699&lt;=0,AR699&lt;=0),"",LN(AQ699)-LN(AR699))</f>
        <v/>
      </c>
      <c r="AT699" t="n">
        <v>5617</v>
      </c>
      <c r="AU699" t="n">
        <v>93268</v>
      </c>
      <c r="AV699" t="n">
        <v>668</v>
      </c>
      <c r="AW699" t="n">
        <v>382</v>
      </c>
      <c r="AX699" t="n">
        <v>4366</v>
      </c>
      <c r="AY699" s="88">
        <f>IF(OR(AT699&lt;=0,AU699&lt;=0),"",LN(AT699)-LN(AU699))</f>
        <v/>
      </c>
      <c r="AZ699" s="46" t="n">
        <v>9.199999999999999</v>
      </c>
      <c r="BA699" s="46" t="n">
        <v>11.93</v>
      </c>
      <c r="BB699" s="47" t="n">
        <v>0.3</v>
      </c>
    </row>
    <row r="700">
      <c r="A700" s="48" t="n">
        <v>45990</v>
      </c>
      <c r="B700" s="49" t="n">
        <v>75838</v>
      </c>
      <c r="C700" s="50" t="n">
        <v>15.833333</v>
      </c>
      <c r="D700" s="51" t="inlineStr">
        <is>
          <t>Moderate</t>
        </is>
      </c>
      <c r="E700" s="52" t="n">
        <v>5.7</v>
      </c>
      <c r="F700" s="52" t="n">
        <v>0.1</v>
      </c>
      <c r="G700" s="51" t="inlineStr">
        <is>
          <t>Sat</t>
        </is>
      </c>
      <c r="H700" s="51" t="inlineStr">
        <is>
          <t>Weekend</t>
        </is>
      </c>
      <c r="I700" s="51" t="inlineStr">
        <is>
          <t>Fall</t>
        </is>
      </c>
      <c r="J700" s="51" t="n">
        <v>24</v>
      </c>
      <c r="K700" s="51" t="inlineStr">
        <is>
          <t>OK</t>
        </is>
      </c>
      <c r="L700" s="46" t="n">
        <v>28.58333333333333</v>
      </c>
      <c r="M700" t="inlineStr">
        <is>
          <t>Good</t>
        </is>
      </c>
      <c r="N700" s="87" t="n">
        <v>24</v>
      </c>
      <c r="O700" s="87" t="n">
        <v>0</v>
      </c>
      <c r="P700" s="87" t="n">
        <v>0</v>
      </c>
      <c r="Q700" s="87" t="n">
        <v>0</v>
      </c>
      <c r="R700" s="87" t="n">
        <v>0</v>
      </c>
      <c r="S700" s="47" t="n">
        <v>2.3</v>
      </c>
      <c r="T700" s="47" t="n">
        <v>57.1</v>
      </c>
      <c r="U700" s="47" t="n"/>
      <c r="V700" s="87" t="n">
        <v>1</v>
      </c>
      <c r="W700" s="87" t="n">
        <v>0</v>
      </c>
      <c r="Y700" t="inlineStr">
        <is>
          <t>Nov</t>
        </is>
      </c>
      <c r="Z700" s="87" t="n">
        <v>2025</v>
      </c>
      <c r="AA700" s="47">
        <f>IF(F700="",0,F700)</f>
        <v/>
      </c>
      <c r="AB700" s="87">
        <f>IF(AA700&gt;=0.1,1,0)</f>
        <v/>
      </c>
      <c r="AC700" s="87" t="n">
        <v>0</v>
      </c>
      <c r="AD700" s="47">
        <f>IF(U700="",0,U700)</f>
        <v/>
      </c>
      <c r="AE700" s="87">
        <f>IF(OR(V700=1,W700=1),1,0)</f>
        <v/>
      </c>
      <c r="AF700" s="87" t="n">
        <v>0</v>
      </c>
      <c r="AG700" t="n">
        <v>4317</v>
      </c>
      <c r="AH700" t="n">
        <v>71521</v>
      </c>
      <c r="AI700" t="n">
        <v>0</v>
      </c>
      <c r="AJ700" s="88">
        <f>IF(OR(AG700&lt;=0,AH700&lt;=0),"",LN(AG700)-LN(AH700))</f>
        <v/>
      </c>
      <c r="AK700" t="n">
        <v>11142</v>
      </c>
      <c r="AL700" t="n">
        <v>64696</v>
      </c>
      <c r="AM700" s="88">
        <f>IF(OR(AK700&lt;=0,AL700&lt;=0),"",LN(AK700)-LN(AL700))</f>
        <v/>
      </c>
      <c r="AN700" t="n">
        <v>3488</v>
      </c>
      <c r="AO700" t="n">
        <v>68330</v>
      </c>
      <c r="AP700" s="88">
        <f>IF(OR(AN700&lt;=0,AO700&lt;=0),"",LN(AN700)-LN(AO700))</f>
        <v/>
      </c>
      <c r="AQ700" t="n">
        <v>4229</v>
      </c>
      <c r="AR700" t="n">
        <v>71521</v>
      </c>
      <c r="AS700" s="88">
        <f>IF(OR(AQ700&lt;=0,AR700&lt;=0),"",LN(AQ700)-LN(AR700))</f>
        <v/>
      </c>
      <c r="AT700" t="n">
        <v>5634</v>
      </c>
      <c r="AU700" t="n">
        <v>69697</v>
      </c>
      <c r="AV700" t="n">
        <v>510</v>
      </c>
      <c r="AW700" t="n">
        <v>509</v>
      </c>
      <c r="AX700" t="n">
        <v>3773</v>
      </c>
      <c r="AY700" s="88">
        <f>IF(OR(AT700&lt;=0,AU700&lt;=0),"",LN(AT700)-LN(AU700))</f>
        <v/>
      </c>
      <c r="AZ700" s="46" t="n">
        <v>2.9</v>
      </c>
      <c r="BA700" s="46" t="n">
        <v>5.95</v>
      </c>
      <c r="BB700" s="47" t="n">
        <v>5.5</v>
      </c>
    </row>
    <row r="701">
      <c r="A701" s="48" t="n">
        <v>45991</v>
      </c>
      <c r="B701" s="49" t="n">
        <v>80210</v>
      </c>
      <c r="C701" s="50" t="n">
        <v>28.708333</v>
      </c>
      <c r="D701" s="51" t="inlineStr">
        <is>
          <t>Moderate</t>
        </is>
      </c>
      <c r="E701" s="52" t="n">
        <v>12.4</v>
      </c>
      <c r="F701" s="52" t="n"/>
      <c r="G701" s="51" t="inlineStr">
        <is>
          <t>Sun</t>
        </is>
      </c>
      <c r="H701" s="51" t="inlineStr">
        <is>
          <t>Weekend</t>
        </is>
      </c>
      <c r="I701" s="51" t="inlineStr">
        <is>
          <t>Fall</t>
        </is>
      </c>
      <c r="J701" s="51" t="n">
        <v>24</v>
      </c>
      <c r="K701" s="51" t="inlineStr">
        <is>
          <t>강수량 공란</t>
        </is>
      </c>
      <c r="L701" s="46" t="n">
        <v>80.16666666666667</v>
      </c>
      <c r="M701" t="inlineStr">
        <is>
          <t>Bad</t>
        </is>
      </c>
      <c r="N701" s="87" t="n">
        <v>24</v>
      </c>
      <c r="O701" s="87" t="n">
        <v>0</v>
      </c>
      <c r="P701" s="87" t="n">
        <v>0</v>
      </c>
      <c r="Q701" s="87" t="n">
        <v>0</v>
      </c>
      <c r="R701" s="87" t="n">
        <v>0</v>
      </c>
      <c r="S701" s="47" t="n">
        <v>1.9</v>
      </c>
      <c r="T701" s="47" t="n">
        <v>78.8</v>
      </c>
      <c r="U701" s="47" t="n"/>
      <c r="V701" s="87" t="n">
        <v>1</v>
      </c>
      <c r="W701" s="87" t="n">
        <v>0</v>
      </c>
      <c r="Y701" t="inlineStr">
        <is>
          <t>Nov</t>
        </is>
      </c>
      <c r="Z701" s="87" t="n">
        <v>2025</v>
      </c>
      <c r="AA701" s="47">
        <f>IF(F701="",0,F701)</f>
        <v/>
      </c>
      <c r="AB701" s="87">
        <f>IF(AA701&gt;=0.1,1,0)</f>
        <v/>
      </c>
      <c r="AC701" s="87" t="n">
        <v>0</v>
      </c>
      <c r="AD701" s="47">
        <f>IF(U701="",0,U701)</f>
        <v/>
      </c>
      <c r="AE701" s="87">
        <f>IF(OR(V701=1,W701=1),1,0)</f>
        <v/>
      </c>
      <c r="AF701" s="87" t="n">
        <v>0</v>
      </c>
      <c r="AG701" t="n">
        <v>5786</v>
      </c>
      <c r="AH701" t="n">
        <v>74424</v>
      </c>
      <c r="AI701" t="n">
        <v>0</v>
      </c>
      <c r="AJ701" s="88">
        <f>IF(OR(AG701&lt;=0,AH701&lt;=0),"",LN(AG701)-LN(AH701))</f>
        <v/>
      </c>
      <c r="AK701" t="n">
        <v>13239</v>
      </c>
      <c r="AL701" t="n">
        <v>66971</v>
      </c>
      <c r="AM701" s="88">
        <f>IF(OR(AK701&lt;=0,AL701&lt;=0),"",LN(AK701)-LN(AL701))</f>
        <v/>
      </c>
      <c r="AN701" t="n">
        <v>4414</v>
      </c>
      <c r="AO701" t="n">
        <v>71268</v>
      </c>
      <c r="AP701" s="88">
        <f>IF(OR(AN701&lt;=0,AO701&lt;=0),"",LN(AN701)-LN(AO701))</f>
        <v/>
      </c>
      <c r="AQ701" t="n">
        <v>5642</v>
      </c>
      <c r="AR701" t="n">
        <v>74424</v>
      </c>
      <c r="AS701" s="88">
        <f>IF(OR(AQ701&lt;=0,AR701&lt;=0),"",LN(AQ701)-LN(AR701))</f>
        <v/>
      </c>
      <c r="AT701" t="n">
        <v>6933</v>
      </c>
      <c r="AU701" t="n">
        <v>72814</v>
      </c>
      <c r="AV701" t="n">
        <v>463</v>
      </c>
      <c r="AW701" t="n">
        <v>889</v>
      </c>
      <c r="AX701" t="n">
        <v>4842</v>
      </c>
      <c r="AY701" s="88">
        <f>IF(OR(AT701&lt;=0,AU701&lt;=0),"",LN(AT701)-LN(AU701))</f>
        <v/>
      </c>
      <c r="AZ701" s="46" t="n">
        <v>3.9</v>
      </c>
      <c r="BA701" s="46" t="n">
        <v>6.97</v>
      </c>
      <c r="BB701" s="47" t="n">
        <v>3</v>
      </c>
    </row>
    <row r="702">
      <c r="A702" s="48" t="n">
        <v>45992</v>
      </c>
      <c r="B702" s="49" t="n">
        <v>101498</v>
      </c>
      <c r="C702" s="50" t="n">
        <v>21</v>
      </c>
      <c r="D702" s="51" t="inlineStr">
        <is>
          <t>Moderate</t>
        </is>
      </c>
      <c r="E702" s="52" t="n">
        <v>5.5</v>
      </c>
      <c r="F702" s="52" t="n"/>
      <c r="G702" s="51" t="inlineStr">
        <is>
          <t>Mon</t>
        </is>
      </c>
      <c r="H702" s="51" t="inlineStr">
        <is>
          <t>Weekday</t>
        </is>
      </c>
      <c r="I702" s="51" t="inlineStr">
        <is>
          <t>Winter</t>
        </is>
      </c>
      <c r="J702" s="51" t="n">
        <v>24</v>
      </c>
      <c r="K702" s="51" t="inlineStr">
        <is>
          <t>강수량 공란</t>
        </is>
      </c>
      <c r="L702" s="46" t="n">
        <v>48.5</v>
      </c>
      <c r="M702" t="inlineStr">
        <is>
          <t>Moderate</t>
        </is>
      </c>
      <c r="N702" s="87" t="n">
        <v>24</v>
      </c>
      <c r="O702" s="87" t="n">
        <v>0</v>
      </c>
      <c r="P702" s="87" t="n">
        <v>0</v>
      </c>
      <c r="Q702" s="87" t="n">
        <v>0</v>
      </c>
      <c r="R702" s="87" t="n">
        <v>0</v>
      </c>
      <c r="S702" s="47" t="n">
        <v>3.1</v>
      </c>
      <c r="T702" s="47" t="n">
        <v>50.5</v>
      </c>
      <c r="U702" s="47" t="n"/>
      <c r="V702" s="87" t="n">
        <v>0</v>
      </c>
      <c r="W702" s="87" t="n">
        <v>0</v>
      </c>
      <c r="Y702" t="inlineStr">
        <is>
          <t>Dec</t>
        </is>
      </c>
      <c r="Z702" s="87" t="n">
        <v>2025</v>
      </c>
      <c r="AA702" s="47">
        <f>IF(F702="",0,F702)</f>
        <v/>
      </c>
      <c r="AB702" s="87">
        <f>IF(AA702&gt;=0.1,1,0)</f>
        <v/>
      </c>
      <c r="AC702" s="87" t="n">
        <v>0</v>
      </c>
      <c r="AD702" s="47">
        <f>IF(U702="",0,U702)</f>
        <v/>
      </c>
      <c r="AE702" s="87">
        <f>IF(OR(V702=1,W702=1),1,0)</f>
        <v/>
      </c>
      <c r="AF702" s="87" t="n">
        <v>0</v>
      </c>
      <c r="AG702" t="n">
        <v>5067</v>
      </c>
      <c r="AH702" t="n">
        <v>96431</v>
      </c>
      <c r="AI702" t="n">
        <v>0</v>
      </c>
      <c r="AJ702" s="88">
        <f>IF(OR(AG702&lt;=0,AH702&lt;=0),"",LN(AG702)-LN(AH702))</f>
        <v/>
      </c>
      <c r="AK702" t="n">
        <v>14366</v>
      </c>
      <c r="AL702" t="n">
        <v>87132</v>
      </c>
      <c r="AM702" s="88">
        <f>IF(OR(AK702&lt;=0,AL702&lt;=0),"",LN(AK702)-LN(AL702))</f>
        <v/>
      </c>
      <c r="AN702" t="n">
        <v>4455</v>
      </c>
      <c r="AO702" t="n">
        <v>92020</v>
      </c>
      <c r="AP702" s="88">
        <f>IF(OR(AN702&lt;=0,AO702&lt;=0),"",LN(AN702)-LN(AO702))</f>
        <v/>
      </c>
      <c r="AQ702" t="n">
        <v>4936</v>
      </c>
      <c r="AR702" t="n">
        <v>96431</v>
      </c>
      <c r="AS702" s="88">
        <f>IF(OR(AQ702&lt;=0,AR702&lt;=0),"",LN(AQ702)-LN(AR702))</f>
        <v/>
      </c>
      <c r="AT702" t="n">
        <v>5578</v>
      </c>
      <c r="AU702" t="n">
        <v>95363</v>
      </c>
      <c r="AV702" t="n">
        <v>561</v>
      </c>
      <c r="AW702" t="n">
        <v>396</v>
      </c>
      <c r="AX702" t="n">
        <v>4644</v>
      </c>
      <c r="AY702" s="88">
        <f>IF(OR(AT702&lt;=0,AU702&lt;=0),"",LN(AT702)-LN(AU702))</f>
        <v/>
      </c>
      <c r="AZ702" s="46" t="n">
        <v>9.1</v>
      </c>
      <c r="BA702" s="46" t="n">
        <v>11.8</v>
      </c>
      <c r="BB702" s="47" t="n">
        <v>0.8</v>
      </c>
    </row>
    <row r="703">
      <c r="A703" s="48" t="n">
        <v>45993</v>
      </c>
      <c r="B703" s="49" t="n">
        <v>85747</v>
      </c>
      <c r="C703" s="50" t="n">
        <v>7.25</v>
      </c>
      <c r="D703" s="51" t="inlineStr">
        <is>
          <t>Good</t>
        </is>
      </c>
      <c r="E703" s="52" t="n">
        <v>0.1</v>
      </c>
      <c r="F703" s="52" t="n"/>
      <c r="G703" s="51" t="inlineStr">
        <is>
          <t>Tue</t>
        </is>
      </c>
      <c r="H703" s="51" t="inlineStr">
        <is>
          <t>Weekday</t>
        </is>
      </c>
      <c r="I703" s="51" t="inlineStr">
        <is>
          <t>Winter</t>
        </is>
      </c>
      <c r="J703" s="51" t="n">
        <v>24</v>
      </c>
      <c r="K703" s="51" t="inlineStr">
        <is>
          <t>강수량 공란</t>
        </is>
      </c>
      <c r="L703" s="46" t="n">
        <v>18.41666666666667</v>
      </c>
      <c r="M703" t="inlineStr">
        <is>
          <t>Good</t>
        </is>
      </c>
      <c r="N703" s="87" t="n">
        <v>24</v>
      </c>
      <c r="O703" s="87" t="n">
        <v>0</v>
      </c>
      <c r="P703" s="87" t="n">
        <v>0</v>
      </c>
      <c r="Q703" s="87" t="n">
        <v>0</v>
      </c>
      <c r="R703" s="87" t="n">
        <v>0</v>
      </c>
      <c r="S703" s="47" t="n">
        <v>3.3</v>
      </c>
      <c r="T703" s="47" t="n">
        <v>41.1</v>
      </c>
      <c r="U703" s="47" t="n"/>
      <c r="V703" s="87" t="n">
        <v>0</v>
      </c>
      <c r="W703" s="87" t="n">
        <v>0</v>
      </c>
      <c r="Y703" t="inlineStr">
        <is>
          <t>Dec</t>
        </is>
      </c>
      <c r="Z703" s="87" t="n">
        <v>2025</v>
      </c>
      <c r="AA703" s="47">
        <f>IF(F703="",0,F703)</f>
        <v/>
      </c>
      <c r="AB703" s="87">
        <f>IF(AA703&gt;=0.1,1,0)</f>
        <v/>
      </c>
      <c r="AC703" s="87" t="n">
        <v>0</v>
      </c>
      <c r="AD703" s="47">
        <f>IF(U703="",0,U703)</f>
        <v/>
      </c>
      <c r="AE703" s="87">
        <f>IF(OR(V703=1,W703=1),1,0)</f>
        <v/>
      </c>
      <c r="AF703" s="87" t="n">
        <v>0</v>
      </c>
      <c r="AG703" t="n">
        <v>3863</v>
      </c>
      <c r="AH703" t="n">
        <v>81884</v>
      </c>
      <c r="AI703" t="n">
        <v>0</v>
      </c>
      <c r="AJ703" s="88">
        <f>IF(OR(AG703&lt;=0,AH703&lt;=0),"",LN(AG703)-LN(AH703))</f>
        <v/>
      </c>
      <c r="AK703" t="n">
        <v>11527</v>
      </c>
      <c r="AL703" t="n">
        <v>74220</v>
      </c>
      <c r="AM703" s="88">
        <f>IF(OR(AK703&lt;=0,AL703&lt;=0),"",LN(AK703)-LN(AL703))</f>
        <v/>
      </c>
      <c r="AN703" t="n">
        <v>3541</v>
      </c>
      <c r="AO703" t="n">
        <v>78157</v>
      </c>
      <c r="AP703" s="88">
        <f>IF(OR(AN703&lt;=0,AO703&lt;=0),"",LN(AN703)-LN(AO703))</f>
        <v/>
      </c>
      <c r="AQ703" t="n">
        <v>3769</v>
      </c>
      <c r="AR703" t="n">
        <v>81884</v>
      </c>
      <c r="AS703" s="88">
        <f>IF(OR(AQ703&lt;=0,AR703&lt;=0),"",LN(AQ703)-LN(AR703))</f>
        <v/>
      </c>
      <c r="AT703" t="n">
        <v>4315</v>
      </c>
      <c r="AU703" t="n">
        <v>80886</v>
      </c>
      <c r="AV703" t="n">
        <v>549</v>
      </c>
      <c r="AW703" t="n">
        <v>251</v>
      </c>
      <c r="AX703" t="n">
        <v>3588</v>
      </c>
      <c r="AY703" s="88">
        <f>IF(OR(AT703&lt;=0,AU703&lt;=0),"",LN(AT703)-LN(AU703))</f>
        <v/>
      </c>
      <c r="AZ703" s="46" t="n">
        <v>8.5</v>
      </c>
      <c r="BA703" s="46" t="n">
        <v>10.19</v>
      </c>
      <c r="BB703" s="47" t="n">
        <v>2.1</v>
      </c>
    </row>
    <row r="704">
      <c r="A704" s="48" t="n">
        <v>45994</v>
      </c>
      <c r="B704" s="49" t="n">
        <v>68173</v>
      </c>
      <c r="C704" s="50" t="n">
        <v>7.541667</v>
      </c>
      <c r="D704" s="51" t="inlineStr">
        <is>
          <t>Good</t>
        </is>
      </c>
      <c r="E704" s="52" t="n">
        <v>-5.9</v>
      </c>
      <c r="F704" s="52" t="n"/>
      <c r="G704" s="51" t="inlineStr">
        <is>
          <t>Wed</t>
        </is>
      </c>
      <c r="H704" s="51" t="inlineStr">
        <is>
          <t>Weekday</t>
        </is>
      </c>
      <c r="I704" s="51" t="inlineStr">
        <is>
          <t>Winter</t>
        </is>
      </c>
      <c r="J704" s="51" t="n">
        <v>24</v>
      </c>
      <c r="K704" s="51" t="inlineStr">
        <is>
          <t>강수량 공란</t>
        </is>
      </c>
      <c r="L704" s="46" t="n">
        <v>19.08333333333333</v>
      </c>
      <c r="M704" t="inlineStr">
        <is>
          <t>Good</t>
        </is>
      </c>
      <c r="N704" s="87" t="n">
        <v>24</v>
      </c>
      <c r="O704" s="87" t="n">
        <v>0</v>
      </c>
      <c r="P704" s="87" t="n">
        <v>0</v>
      </c>
      <c r="Q704" s="87" t="n">
        <v>0</v>
      </c>
      <c r="R704" s="87" t="n">
        <v>0</v>
      </c>
      <c r="S704" s="47" t="n">
        <v>3.2</v>
      </c>
      <c r="T704" s="47" t="n">
        <v>41.4</v>
      </c>
      <c r="U704" s="47" t="n"/>
      <c r="V704" s="87" t="n">
        <v>0</v>
      </c>
      <c r="W704" s="87" t="n">
        <v>0</v>
      </c>
      <c r="Y704" t="inlineStr">
        <is>
          <t>Dec</t>
        </is>
      </c>
      <c r="Z704" s="87" t="n">
        <v>2025</v>
      </c>
      <c r="AA704" s="47">
        <f>IF(F704="",0,F704)</f>
        <v/>
      </c>
      <c r="AB704" s="87">
        <f>IF(AA704&gt;=0.1,1,0)</f>
        <v/>
      </c>
      <c r="AC704" s="87" t="n">
        <v>0</v>
      </c>
      <c r="AD704" s="47">
        <f>IF(U704="",0,U704)</f>
        <v/>
      </c>
      <c r="AE704" s="87">
        <f>IF(OR(V704=1,W704=1),1,0)</f>
        <v/>
      </c>
      <c r="AF704" s="87" t="n">
        <v>0</v>
      </c>
      <c r="AG704" t="n">
        <v>2973</v>
      </c>
      <c r="AH704" t="n">
        <v>65200</v>
      </c>
      <c r="AI704" t="n">
        <v>0</v>
      </c>
      <c r="AJ704" s="88">
        <f>IF(OR(AG704&lt;=0,AH704&lt;=0),"",LN(AG704)-LN(AH704))</f>
        <v/>
      </c>
      <c r="AK704" t="n">
        <v>9058</v>
      </c>
      <c r="AL704" t="n">
        <v>59115</v>
      </c>
      <c r="AM704" s="88">
        <f>IF(OR(AK704&lt;=0,AL704&lt;=0),"",LN(AK704)-LN(AL704))</f>
        <v/>
      </c>
      <c r="AN704" t="n">
        <v>2766</v>
      </c>
      <c r="AO704" t="n">
        <v>62134</v>
      </c>
      <c r="AP704" s="88">
        <f>IF(OR(AN704&lt;=0,AO704&lt;=0),"",LN(AN704)-LN(AO704))</f>
        <v/>
      </c>
      <c r="AQ704" t="n">
        <v>2903</v>
      </c>
      <c r="AR704" t="n">
        <v>65200</v>
      </c>
      <c r="AS704" s="88">
        <f>IF(OR(AQ704&lt;=0,AR704&lt;=0),"",LN(AQ704)-LN(AR704))</f>
        <v/>
      </c>
      <c r="AT704" t="n">
        <v>3375</v>
      </c>
      <c r="AU704" t="n">
        <v>64295</v>
      </c>
      <c r="AV704" t="n">
        <v>507</v>
      </c>
      <c r="AW704" t="n">
        <v>156</v>
      </c>
      <c r="AX704" t="n">
        <v>2796</v>
      </c>
      <c r="AY704" s="88">
        <f>IF(OR(AT704&lt;=0,AU704&lt;=0),"",LN(AT704)-LN(AU704))</f>
        <v/>
      </c>
      <c r="AZ704" s="46" t="n">
        <v>8.4</v>
      </c>
      <c r="BA704" s="46" t="n">
        <v>11.25</v>
      </c>
      <c r="BB704" s="47" t="n">
        <v>0.6</v>
      </c>
    </row>
    <row r="705">
      <c r="A705" s="48" t="n">
        <v>45995</v>
      </c>
      <c r="B705" s="49" t="n">
        <v>56809</v>
      </c>
      <c r="C705" s="50" t="n">
        <v>10.791667</v>
      </c>
      <c r="D705" s="51" t="inlineStr">
        <is>
          <t>Good</t>
        </is>
      </c>
      <c r="E705" s="52" t="n">
        <v>-3.2</v>
      </c>
      <c r="F705" s="52" t="n">
        <v>4</v>
      </c>
      <c r="G705" s="51" t="inlineStr">
        <is>
          <t>Thu</t>
        </is>
      </c>
      <c r="H705" s="51" t="inlineStr">
        <is>
          <t>Weekday</t>
        </is>
      </c>
      <c r="I705" s="51" t="inlineStr">
        <is>
          <t>Winter</t>
        </is>
      </c>
      <c r="J705" s="51" t="n">
        <v>24</v>
      </c>
      <c r="K705" s="51" t="inlineStr">
        <is>
          <t>OK</t>
        </is>
      </c>
      <c r="L705" s="46" t="n">
        <v>21.875</v>
      </c>
      <c r="M705" t="inlineStr">
        <is>
          <t>Good</t>
        </is>
      </c>
      <c r="N705" s="87" t="n">
        <v>24</v>
      </c>
      <c r="O705" s="87" t="n">
        <v>0</v>
      </c>
      <c r="P705" s="87" t="n">
        <v>0</v>
      </c>
      <c r="Q705" s="87" t="n">
        <v>0</v>
      </c>
      <c r="R705" s="87" t="n">
        <v>0</v>
      </c>
      <c r="S705" s="47" t="n">
        <v>2.3</v>
      </c>
      <c r="T705" s="47" t="n">
        <v>49.6</v>
      </c>
      <c r="U705" s="47" t="n">
        <v>5.1</v>
      </c>
      <c r="V705" s="87" t="n">
        <v>0</v>
      </c>
      <c r="W705" s="87" t="n">
        <v>0</v>
      </c>
      <c r="Y705" t="inlineStr">
        <is>
          <t>Dec</t>
        </is>
      </c>
      <c r="Z705" s="87" t="n">
        <v>2025</v>
      </c>
      <c r="AA705" s="47">
        <f>IF(F705="",0,F705)</f>
        <v/>
      </c>
      <c r="AB705" s="87">
        <f>IF(AA705&gt;=0.1,1,0)</f>
        <v/>
      </c>
      <c r="AC705" s="87" t="n">
        <v>0</v>
      </c>
      <c r="AD705" s="47">
        <f>IF(U705="",0,U705)</f>
        <v/>
      </c>
      <c r="AE705" s="87">
        <f>IF(OR(V705=1,W705=1),1,0)</f>
        <v/>
      </c>
      <c r="AF705" s="87" t="n">
        <v>0</v>
      </c>
      <c r="AG705" t="n">
        <v>2597</v>
      </c>
      <c r="AH705" t="n">
        <v>54212</v>
      </c>
      <c r="AI705" t="n">
        <v>0</v>
      </c>
      <c r="AJ705" s="88">
        <f>IF(OR(AG705&lt;=0,AH705&lt;=0),"",LN(AG705)-LN(AH705))</f>
        <v/>
      </c>
      <c r="AK705" t="n">
        <v>7560</v>
      </c>
      <c r="AL705" t="n">
        <v>49249</v>
      </c>
      <c r="AM705" s="88">
        <f>IF(OR(AK705&lt;=0,AL705&lt;=0),"",LN(AK705)-LN(AL705))</f>
        <v/>
      </c>
      <c r="AN705" t="n">
        <v>2390</v>
      </c>
      <c r="AO705" t="n">
        <v>51844</v>
      </c>
      <c r="AP705" s="88">
        <f>IF(OR(AN705&lt;=0,AO705&lt;=0),"",LN(AN705)-LN(AO705))</f>
        <v/>
      </c>
      <c r="AQ705" t="n">
        <v>2539</v>
      </c>
      <c r="AR705" t="n">
        <v>54212</v>
      </c>
      <c r="AS705" s="88">
        <f>IF(OR(AQ705&lt;=0,AR705&lt;=0),"",LN(AQ705)-LN(AR705))</f>
        <v/>
      </c>
      <c r="AT705" t="n">
        <v>2897</v>
      </c>
      <c r="AU705" t="n">
        <v>53472</v>
      </c>
      <c r="AV705" t="n">
        <v>441</v>
      </c>
      <c r="AW705" t="n">
        <v>158</v>
      </c>
      <c r="AX705" t="n">
        <v>2419</v>
      </c>
      <c r="AY705" s="88">
        <f>IF(OR(AT705&lt;=0,AU705&lt;=0),"",LN(AT705)-LN(AU705))</f>
        <v/>
      </c>
      <c r="AZ705" s="46" t="n">
        <v>8.699999999999999</v>
      </c>
      <c r="BA705" s="46" t="n">
        <v>11.57</v>
      </c>
      <c r="BB705" s="47" t="n">
        <v>1.4</v>
      </c>
    </row>
    <row r="706">
      <c r="A706" s="48" t="n">
        <v>45996</v>
      </c>
      <c r="B706" s="49" t="n">
        <v>35921</v>
      </c>
      <c r="C706" s="50" t="n">
        <v>14.541667</v>
      </c>
      <c r="D706" s="51" t="inlineStr">
        <is>
          <t>Good</t>
        </is>
      </c>
      <c r="E706" s="52" t="n">
        <v>-2.6</v>
      </c>
      <c r="F706" s="52" t="n"/>
      <c r="G706" s="51" t="inlineStr">
        <is>
          <t>Fri</t>
        </is>
      </c>
      <c r="H706" s="51" t="inlineStr">
        <is>
          <t>Weekday</t>
        </is>
      </c>
      <c r="I706" s="51" t="inlineStr">
        <is>
          <t>Winter</t>
        </is>
      </c>
      <c r="J706" s="51" t="n">
        <v>24</v>
      </c>
      <c r="K706" s="51" t="inlineStr">
        <is>
          <t>강수량 공란</t>
        </is>
      </c>
      <c r="L706" s="46" t="n">
        <v>26.5</v>
      </c>
      <c r="M706" t="inlineStr">
        <is>
          <t>Good</t>
        </is>
      </c>
      <c r="N706" s="87" t="n">
        <v>24</v>
      </c>
      <c r="O706" s="87" t="n">
        <v>0</v>
      </c>
      <c r="P706" s="87" t="n">
        <v>0</v>
      </c>
      <c r="Q706" s="87" t="n">
        <v>0</v>
      </c>
      <c r="R706" s="87" t="n">
        <v>0</v>
      </c>
      <c r="S706" s="47" t="n">
        <v>1.8</v>
      </c>
      <c r="T706" s="47" t="n">
        <v>53.6</v>
      </c>
      <c r="U706" s="47" t="n"/>
      <c r="V706" s="87" t="n">
        <v>0</v>
      </c>
      <c r="W706" s="87" t="n">
        <v>0</v>
      </c>
      <c r="Y706" t="inlineStr">
        <is>
          <t>Dec</t>
        </is>
      </c>
      <c r="Z706" s="87" t="n">
        <v>2025</v>
      </c>
      <c r="AA706" s="47">
        <f>IF(F706="",0,F706)</f>
        <v/>
      </c>
      <c r="AB706" s="87">
        <f>IF(AA706&gt;=0.1,1,0)</f>
        <v/>
      </c>
      <c r="AC706" s="87" t="n">
        <v>0</v>
      </c>
      <c r="AD706" s="47">
        <f>IF(U706="",0,U706)</f>
        <v/>
      </c>
      <c r="AE706" s="87">
        <f>IF(OR(V706=1,W706=1),1,0)</f>
        <v/>
      </c>
      <c r="AF706" s="87" t="n">
        <v>0</v>
      </c>
      <c r="AG706" t="n">
        <v>1499</v>
      </c>
      <c r="AH706" t="n">
        <v>34422</v>
      </c>
      <c r="AI706" t="n">
        <v>0</v>
      </c>
      <c r="AJ706" s="88">
        <f>IF(OR(AG706&lt;=0,AH706&lt;=0),"",LN(AG706)-LN(AH706))</f>
        <v/>
      </c>
      <c r="AK706" t="n">
        <v>4627</v>
      </c>
      <c r="AL706" t="n">
        <v>31294</v>
      </c>
      <c r="AM706" s="88">
        <f>IF(OR(AK706&lt;=0,AL706&lt;=0),"",LN(AK706)-LN(AL706))</f>
        <v/>
      </c>
      <c r="AN706" t="n">
        <v>1370</v>
      </c>
      <c r="AO706" t="n">
        <v>32808</v>
      </c>
      <c r="AP706" s="88">
        <f>IF(OR(AN706&lt;=0,AO706&lt;=0),"",LN(AN706)-LN(AO706))</f>
        <v/>
      </c>
      <c r="AQ706" t="n">
        <v>1458</v>
      </c>
      <c r="AR706" t="n">
        <v>34422</v>
      </c>
      <c r="AS706" s="88">
        <f>IF(OR(AQ706&lt;=0,AR706&lt;=0),"",LN(AQ706)-LN(AR706))</f>
        <v/>
      </c>
      <c r="AT706" t="n">
        <v>2139</v>
      </c>
      <c r="AU706" t="n">
        <v>33463</v>
      </c>
      <c r="AV706" t="n">
        <v>320</v>
      </c>
      <c r="AW706" t="n">
        <v>120</v>
      </c>
      <c r="AX706" t="n">
        <v>1372</v>
      </c>
      <c r="AY706" s="88">
        <f>IF(OR(AT706&lt;=0,AU706&lt;=0),"",LN(AT706)-LN(AU706))</f>
        <v/>
      </c>
      <c r="AZ706" s="46" t="n">
        <v>9.1</v>
      </c>
      <c r="BA706" s="46" t="n">
        <v>10.22</v>
      </c>
      <c r="BB706" s="47" t="n">
        <v>1.8</v>
      </c>
    </row>
    <row r="707">
      <c r="A707" s="48" t="n">
        <v>45997</v>
      </c>
      <c r="B707" s="49" t="n">
        <v>40497</v>
      </c>
      <c r="C707" s="50" t="n">
        <v>17.083333</v>
      </c>
      <c r="D707" s="51" t="inlineStr">
        <is>
          <t>Moderate</t>
        </is>
      </c>
      <c r="E707" s="52" t="n">
        <v>2.1</v>
      </c>
      <c r="F707" s="52" t="n">
        <v>0.6</v>
      </c>
      <c r="G707" s="51" t="inlineStr">
        <is>
          <t>Sat</t>
        </is>
      </c>
      <c r="H707" s="51" t="inlineStr">
        <is>
          <t>Weekend</t>
        </is>
      </c>
      <c r="I707" s="51" t="inlineStr">
        <is>
          <t>Winter</t>
        </is>
      </c>
      <c r="J707" s="51" t="n">
        <v>24</v>
      </c>
      <c r="K707" s="51" t="inlineStr">
        <is>
          <t>OK</t>
        </is>
      </c>
      <c r="L707" s="46" t="n">
        <v>27.16666666666667</v>
      </c>
      <c r="M707" t="inlineStr">
        <is>
          <t>Good</t>
        </is>
      </c>
      <c r="N707" s="87" t="n">
        <v>24</v>
      </c>
      <c r="O707" s="87" t="n">
        <v>0</v>
      </c>
      <c r="P707" s="87" t="n">
        <v>0</v>
      </c>
      <c r="Q707" s="87" t="n">
        <v>0</v>
      </c>
      <c r="R707" s="87" t="n">
        <v>0</v>
      </c>
      <c r="S707" s="47" t="n">
        <v>2</v>
      </c>
      <c r="T707" s="47" t="n">
        <v>70.90000000000001</v>
      </c>
      <c r="U707" s="47" t="n"/>
      <c r="V707" s="87" t="n">
        <v>1</v>
      </c>
      <c r="W707" s="87" t="n">
        <v>0</v>
      </c>
      <c r="Y707" t="inlineStr">
        <is>
          <t>Dec</t>
        </is>
      </c>
      <c r="Z707" s="87" t="n">
        <v>2025</v>
      </c>
      <c r="AA707" s="47">
        <f>IF(F707="",0,F707)</f>
        <v/>
      </c>
      <c r="AB707" s="87">
        <f>IF(AA707&gt;=0.1,1,0)</f>
        <v/>
      </c>
      <c r="AC707" s="87" t="n">
        <v>0</v>
      </c>
      <c r="AD707" s="47">
        <f>IF(U707="",0,U707)</f>
        <v/>
      </c>
      <c r="AE707" s="87">
        <f>IF(OR(V707=1,W707=1),1,0)</f>
        <v/>
      </c>
      <c r="AF707" s="87" t="n">
        <v>0</v>
      </c>
      <c r="AG707" t="n">
        <v>2050</v>
      </c>
      <c r="AH707" t="n">
        <v>38447</v>
      </c>
      <c r="AI707" t="n">
        <v>0</v>
      </c>
      <c r="AJ707" s="88">
        <f>IF(OR(AG707&lt;=0,AH707&lt;=0),"",LN(AG707)-LN(AH707))</f>
        <v/>
      </c>
      <c r="AK707" t="n">
        <v>5761</v>
      </c>
      <c r="AL707" t="n">
        <v>34736</v>
      </c>
      <c r="AM707" s="88">
        <f>IF(OR(AK707&lt;=0,AL707&lt;=0),"",LN(AK707)-LN(AL707))</f>
        <v/>
      </c>
      <c r="AN707" t="n">
        <v>1806</v>
      </c>
      <c r="AO707" t="n">
        <v>36800</v>
      </c>
      <c r="AP707" s="88">
        <f>IF(OR(AN707&lt;=0,AO707&lt;=0),"",LN(AN707)-LN(AO707))</f>
        <v/>
      </c>
      <c r="AQ707" t="n">
        <v>1993</v>
      </c>
      <c r="AR707" t="n">
        <v>38447</v>
      </c>
      <c r="AS707" s="88">
        <f>IF(OR(AQ707&lt;=0,AR707&lt;=0),"",LN(AQ707)-LN(AR707))</f>
        <v/>
      </c>
      <c r="AT707" t="n">
        <v>2980</v>
      </c>
      <c r="AU707" t="n">
        <v>37253</v>
      </c>
      <c r="AV707" t="n">
        <v>264</v>
      </c>
      <c r="AW707" t="n">
        <v>231</v>
      </c>
      <c r="AX707" t="n">
        <v>1801</v>
      </c>
      <c r="AY707" s="88">
        <f>IF(OR(AT707&lt;=0,AU707&lt;=0),"",LN(AT707)-LN(AU707))</f>
        <v/>
      </c>
      <c r="AZ707" s="46" t="n">
        <v>0.9</v>
      </c>
      <c r="BA707" s="46" t="n">
        <v>3.08</v>
      </c>
      <c r="BB707" s="47" t="n">
        <v>8.1</v>
      </c>
    </row>
    <row r="708">
      <c r="A708" s="48" t="n">
        <v>45998</v>
      </c>
      <c r="B708" s="49" t="n">
        <v>56846</v>
      </c>
      <c r="C708" s="50" t="n">
        <v>52.833333</v>
      </c>
      <c r="D708" s="51" t="inlineStr">
        <is>
          <t>Bad</t>
        </is>
      </c>
      <c r="E708" s="52" t="n">
        <v>8.300000000000001</v>
      </c>
      <c r="F708" s="52" t="n"/>
      <c r="G708" s="51" t="inlineStr">
        <is>
          <t>Sun</t>
        </is>
      </c>
      <c r="H708" s="51" t="inlineStr">
        <is>
          <t>Weekend</t>
        </is>
      </c>
      <c r="I708" s="51" t="inlineStr">
        <is>
          <t>Winter</t>
        </is>
      </c>
      <c r="J708" s="51" t="n">
        <v>24</v>
      </c>
      <c r="K708" s="51" t="inlineStr">
        <is>
          <t>강수량 공란</t>
        </is>
      </c>
      <c r="L708" s="46" t="n">
        <v>79.58333333333333</v>
      </c>
      <c r="M708" t="inlineStr">
        <is>
          <t>Moderate</t>
        </is>
      </c>
      <c r="N708" s="87" t="n">
        <v>24</v>
      </c>
      <c r="O708" s="87" t="n">
        <v>0</v>
      </c>
      <c r="P708" s="87" t="n">
        <v>0</v>
      </c>
      <c r="Q708" s="87" t="n">
        <v>0</v>
      </c>
      <c r="R708" s="87" t="n">
        <v>0</v>
      </c>
      <c r="S708" s="47" t="n">
        <v>2.1</v>
      </c>
      <c r="T708" s="47" t="n">
        <v>77.40000000000001</v>
      </c>
      <c r="U708" s="47" t="n"/>
      <c r="V708" s="87" t="n">
        <v>1</v>
      </c>
      <c r="W708" s="87" t="n">
        <v>0</v>
      </c>
      <c r="Y708" t="inlineStr">
        <is>
          <t>Dec</t>
        </is>
      </c>
      <c r="Z708" s="87" t="n">
        <v>2025</v>
      </c>
      <c r="AA708" s="47">
        <f>IF(F708="",0,F708)</f>
        <v/>
      </c>
      <c r="AB708" s="87">
        <f>IF(AA708&gt;=0.1,1,0)</f>
        <v/>
      </c>
      <c r="AC708" s="87" t="n">
        <v>0</v>
      </c>
      <c r="AD708" s="47">
        <f>IF(U708="",0,U708)</f>
        <v/>
      </c>
      <c r="AE708" s="87">
        <f>IF(OR(V708=1,W708=1),1,0)</f>
        <v/>
      </c>
      <c r="AF708" s="87" t="n">
        <v>0</v>
      </c>
      <c r="AG708" t="n">
        <v>3695</v>
      </c>
      <c r="AH708" t="n">
        <v>53151</v>
      </c>
      <c r="AI708" t="n">
        <v>0</v>
      </c>
      <c r="AJ708" s="88">
        <f>IF(OR(AG708&lt;=0,AH708&lt;=0),"",LN(AG708)-LN(AH708))</f>
        <v/>
      </c>
      <c r="AK708" t="n">
        <v>9068</v>
      </c>
      <c r="AL708" t="n">
        <v>47778</v>
      </c>
      <c r="AM708" s="88">
        <f>IF(OR(AK708&lt;=0,AL708&lt;=0),"",LN(AK708)-LN(AL708))</f>
        <v/>
      </c>
      <c r="AN708" t="n">
        <v>2994</v>
      </c>
      <c r="AO708" t="n">
        <v>50757</v>
      </c>
      <c r="AP708" s="88">
        <f>IF(OR(AN708&lt;=0,AO708&lt;=0),"",LN(AN708)-LN(AO708))</f>
        <v/>
      </c>
      <c r="AQ708" t="n">
        <v>3597</v>
      </c>
      <c r="AR708" t="n">
        <v>53151</v>
      </c>
      <c r="AS708" s="88">
        <f>IF(OR(AQ708&lt;=0,AR708&lt;=0),"",LN(AQ708)-LN(AR708))</f>
        <v/>
      </c>
      <c r="AT708" t="n">
        <v>4613</v>
      </c>
      <c r="AU708" t="n">
        <v>51895</v>
      </c>
      <c r="AV708" t="n">
        <v>338</v>
      </c>
      <c r="AW708" t="n">
        <v>467</v>
      </c>
      <c r="AX708" t="n">
        <v>3196</v>
      </c>
      <c r="AY708" s="88">
        <f>IF(OR(AT708&lt;=0,AU708&lt;=0),"",LN(AT708)-LN(AU708))</f>
        <v/>
      </c>
      <c r="AZ708" s="46" t="n">
        <v>6.6</v>
      </c>
      <c r="BA708" s="46" t="n">
        <v>8.970000000000001</v>
      </c>
      <c r="BB708" s="47" t="n">
        <v>2.1</v>
      </c>
    </row>
    <row r="709">
      <c r="A709" s="48" t="n">
        <v>45999</v>
      </c>
      <c r="B709" s="49" t="n">
        <v>85128</v>
      </c>
      <c r="C709" s="50" t="n">
        <v>17.208333</v>
      </c>
      <c r="D709" s="51" t="inlineStr">
        <is>
          <t>Moderate</t>
        </is>
      </c>
      <c r="E709" s="52" t="n">
        <v>3.4</v>
      </c>
      <c r="F709" s="52" t="n"/>
      <c r="G709" s="51" t="inlineStr">
        <is>
          <t>Mon</t>
        </is>
      </c>
      <c r="H709" s="51" t="inlineStr">
        <is>
          <t>Weekday</t>
        </is>
      </c>
      <c r="I709" s="51" t="inlineStr">
        <is>
          <t>Winter</t>
        </is>
      </c>
      <c r="J709" s="51" t="n">
        <v>24</v>
      </c>
      <c r="K709" s="51" t="inlineStr">
        <is>
          <t>강수량 공란</t>
        </is>
      </c>
      <c r="L709" s="46" t="n">
        <v>34.08333333333334</v>
      </c>
      <c r="M709" t="inlineStr">
        <is>
          <t>Moderate</t>
        </is>
      </c>
      <c r="N709" s="87" t="n">
        <v>24</v>
      </c>
      <c r="O709" s="87" t="n">
        <v>0</v>
      </c>
      <c r="P709" s="87" t="n">
        <v>0</v>
      </c>
      <c r="Q709" s="87" t="n">
        <v>0</v>
      </c>
      <c r="R709" s="87" t="n">
        <v>0</v>
      </c>
      <c r="S709" s="47" t="n">
        <v>2.3</v>
      </c>
      <c r="T709" s="47" t="n">
        <v>45.4</v>
      </c>
      <c r="U709" s="47" t="n"/>
      <c r="V709" s="87" t="n">
        <v>0</v>
      </c>
      <c r="W709" s="87" t="n">
        <v>0</v>
      </c>
      <c r="Y709" t="inlineStr">
        <is>
          <t>Dec</t>
        </is>
      </c>
      <c r="Z709" s="87" t="n">
        <v>2025</v>
      </c>
      <c r="AA709" s="47">
        <f>IF(F709="",0,F709)</f>
        <v/>
      </c>
      <c r="AB709" s="87">
        <f>IF(AA709&gt;=0.1,1,0)</f>
        <v/>
      </c>
      <c r="AC709" s="87" t="n">
        <v>0</v>
      </c>
      <c r="AD709" s="47">
        <f>IF(U709="",0,U709)</f>
        <v/>
      </c>
      <c r="AE709" s="87">
        <f>IF(OR(V709=1,W709=1),1,0)</f>
        <v/>
      </c>
      <c r="AF709" s="87" t="n">
        <v>0</v>
      </c>
      <c r="AG709" t="n">
        <v>3956</v>
      </c>
      <c r="AH709" t="n">
        <v>81172</v>
      </c>
      <c r="AI709" t="n">
        <v>0</v>
      </c>
      <c r="AJ709" s="88">
        <f>IF(OR(AG709&lt;=0,AH709&lt;=0),"",LN(AG709)-LN(AH709))</f>
        <v/>
      </c>
      <c r="AK709" t="n">
        <v>11744</v>
      </c>
      <c r="AL709" t="n">
        <v>73384</v>
      </c>
      <c r="AM709" s="88">
        <f>IF(OR(AK709&lt;=0,AL709&lt;=0),"",LN(AK709)-LN(AL709))</f>
        <v/>
      </c>
      <c r="AN709" t="n">
        <v>3565</v>
      </c>
      <c r="AO709" t="n">
        <v>77532</v>
      </c>
      <c r="AP709" s="88">
        <f>IF(OR(AN709&lt;=0,AO709&lt;=0),"",LN(AN709)-LN(AO709))</f>
        <v/>
      </c>
      <c r="AQ709" t="n">
        <v>3867</v>
      </c>
      <c r="AR709" t="n">
        <v>81172</v>
      </c>
      <c r="AS709" s="88">
        <f>IF(OR(AQ709&lt;=0,AR709&lt;=0),"",LN(AQ709)-LN(AR709))</f>
        <v/>
      </c>
      <c r="AT709" t="n">
        <v>4599</v>
      </c>
      <c r="AU709" t="n">
        <v>80006</v>
      </c>
      <c r="AV709" t="n">
        <v>523</v>
      </c>
      <c r="AW709" t="n">
        <v>303</v>
      </c>
      <c r="AX709" t="n">
        <v>3623</v>
      </c>
      <c r="AY709" s="88">
        <f>IF(OR(AT709&lt;=0,AU709&lt;=0),"",LN(AT709)-LN(AU709))</f>
        <v/>
      </c>
      <c r="AZ709" s="46" t="n">
        <v>9.1</v>
      </c>
      <c r="BA709" s="46" t="n">
        <v>11.63</v>
      </c>
      <c r="BB709" s="47" t="n">
        <v>0</v>
      </c>
    </row>
    <row r="710">
      <c r="A710" s="48" t="n">
        <v>46000</v>
      </c>
      <c r="B710" s="49" t="n">
        <v>90395</v>
      </c>
      <c r="C710" s="50" t="n">
        <v>11.958333</v>
      </c>
      <c r="D710" s="51" t="inlineStr">
        <is>
          <t>Good</t>
        </is>
      </c>
      <c r="E710" s="52" t="n">
        <v>2.8</v>
      </c>
      <c r="F710" s="52" t="n"/>
      <c r="G710" s="51" t="inlineStr">
        <is>
          <t>Tue</t>
        </is>
      </c>
      <c r="H710" s="51" t="inlineStr">
        <is>
          <t>Weekday</t>
        </is>
      </c>
      <c r="I710" s="51" t="inlineStr">
        <is>
          <t>Winter</t>
        </is>
      </c>
      <c r="J710" s="51" t="n">
        <v>24</v>
      </c>
      <c r="K710" s="51" t="inlineStr">
        <is>
          <t>강수량 공란</t>
        </is>
      </c>
      <c r="L710" s="46" t="n">
        <v>22.54166666666667</v>
      </c>
      <c r="M710" t="inlineStr">
        <is>
          <t>Good</t>
        </is>
      </c>
      <c r="N710" s="87" t="n">
        <v>24</v>
      </c>
      <c r="O710" s="87" t="n">
        <v>0</v>
      </c>
      <c r="P710" s="87" t="n">
        <v>0</v>
      </c>
      <c r="Q710" s="87" t="n">
        <v>0</v>
      </c>
      <c r="R710" s="87" t="n">
        <v>0</v>
      </c>
      <c r="S710" s="47" t="n">
        <v>1.7</v>
      </c>
      <c r="T710" s="47" t="n">
        <v>59</v>
      </c>
      <c r="U710" s="47" t="n"/>
      <c r="V710" s="87" t="n">
        <v>0</v>
      </c>
      <c r="W710" s="87" t="n">
        <v>0</v>
      </c>
      <c r="Y710" t="inlineStr">
        <is>
          <t>Dec</t>
        </is>
      </c>
      <c r="Z710" s="87" t="n">
        <v>2025</v>
      </c>
      <c r="AA710" s="47">
        <f>IF(F710="",0,F710)</f>
        <v/>
      </c>
      <c r="AB710" s="87">
        <f>IF(AA710&gt;=0.1,1,0)</f>
        <v/>
      </c>
      <c r="AC710" s="87" t="n">
        <v>0</v>
      </c>
      <c r="AD710" s="47">
        <f>IF(U710="",0,U710)</f>
        <v/>
      </c>
      <c r="AE710" s="87">
        <f>IF(OR(V710=1,W710=1),1,0)</f>
        <v/>
      </c>
      <c r="AF710" s="87" t="n">
        <v>0</v>
      </c>
      <c r="AG710" t="n">
        <v>4391</v>
      </c>
      <c r="AH710" t="n">
        <v>86004</v>
      </c>
      <c r="AI710" t="n">
        <v>0</v>
      </c>
      <c r="AJ710" s="88">
        <f>IF(OR(AG710&lt;=0,AH710&lt;=0),"",LN(AG710)-LN(AH710))</f>
        <v/>
      </c>
      <c r="AK710" t="n">
        <v>12607</v>
      </c>
      <c r="AL710" t="n">
        <v>77788</v>
      </c>
      <c r="AM710" s="88">
        <f>IF(OR(AK710&lt;=0,AL710&lt;=0),"",LN(AK710)-LN(AL710))</f>
        <v/>
      </c>
      <c r="AN710" t="n">
        <v>3939</v>
      </c>
      <c r="AO710" t="n">
        <v>82022</v>
      </c>
      <c r="AP710" s="88">
        <f>IF(OR(AN710&lt;=0,AO710&lt;=0),"",LN(AN710)-LN(AO710))</f>
        <v/>
      </c>
      <c r="AQ710" t="n">
        <v>4284</v>
      </c>
      <c r="AR710" t="n">
        <v>86004</v>
      </c>
      <c r="AS710" s="88">
        <f>IF(OR(AQ710&lt;=0,AR710&lt;=0),"",LN(AQ710)-LN(AR710))</f>
        <v/>
      </c>
      <c r="AT710" t="n">
        <v>4829</v>
      </c>
      <c r="AU710" t="n">
        <v>84961</v>
      </c>
      <c r="AV710" t="n">
        <v>608</v>
      </c>
      <c r="AW710" t="n">
        <v>341</v>
      </c>
      <c r="AX710" t="n">
        <v>4004</v>
      </c>
      <c r="AY710" s="88">
        <f>IF(OR(AT710&lt;=0,AU710&lt;=0),"",LN(AT710)-LN(AU710))</f>
        <v/>
      </c>
      <c r="AZ710" s="46" t="n">
        <v>6</v>
      </c>
      <c r="BA710" s="46" t="n">
        <v>8.529999999999999</v>
      </c>
      <c r="BB710" s="47" t="n">
        <v>2.5</v>
      </c>
    </row>
    <row r="711">
      <c r="A711" s="48" t="n">
        <v>46001</v>
      </c>
      <c r="B711" s="49" t="n">
        <v>95042</v>
      </c>
      <c r="C711" s="50" t="n">
        <v>23.75</v>
      </c>
      <c r="D711" s="51" t="inlineStr">
        <is>
          <t>Moderate</t>
        </is>
      </c>
      <c r="E711" s="52" t="n">
        <v>4.9</v>
      </c>
      <c r="F711" s="52" t="n"/>
      <c r="G711" s="51" t="inlineStr">
        <is>
          <t>Wed</t>
        </is>
      </c>
      <c r="H711" s="51" t="inlineStr">
        <is>
          <t>Weekday</t>
        </is>
      </c>
      <c r="I711" s="51" t="inlineStr">
        <is>
          <t>Winter</t>
        </is>
      </c>
      <c r="J711" s="51" t="n">
        <v>24</v>
      </c>
      <c r="K711" s="51" t="inlineStr">
        <is>
          <t>강수량 공란</t>
        </is>
      </c>
      <c r="L711" s="46" t="n">
        <v>40.79166666666666</v>
      </c>
      <c r="M711" t="inlineStr">
        <is>
          <t>Moderate</t>
        </is>
      </c>
      <c r="N711" s="87" t="n">
        <v>24</v>
      </c>
      <c r="O711" s="87" t="n">
        <v>0</v>
      </c>
      <c r="P711" s="87" t="n">
        <v>0</v>
      </c>
      <c r="Q711" s="87" t="n">
        <v>0</v>
      </c>
      <c r="R711" s="87" t="n">
        <v>0</v>
      </c>
      <c r="S711" s="47" t="n">
        <v>1.9</v>
      </c>
      <c r="T711" s="47" t="n">
        <v>73.09999999999999</v>
      </c>
      <c r="U711" s="47" t="n"/>
      <c r="V711" s="87" t="n">
        <v>0</v>
      </c>
      <c r="W711" s="87" t="n">
        <v>0</v>
      </c>
      <c r="Y711" t="inlineStr">
        <is>
          <t>Dec</t>
        </is>
      </c>
      <c r="Z711" s="87" t="n">
        <v>2025</v>
      </c>
      <c r="AA711" s="47">
        <f>IF(F711="",0,F711)</f>
        <v/>
      </c>
      <c r="AB711" s="87">
        <f>IF(AA711&gt;=0.1,1,0)</f>
        <v/>
      </c>
      <c r="AC711" s="87" t="n">
        <v>0</v>
      </c>
      <c r="AD711" s="47">
        <f>IF(U711="",0,U711)</f>
        <v/>
      </c>
      <c r="AE711" s="87">
        <f>IF(OR(V711=1,W711=1),1,0)</f>
        <v/>
      </c>
      <c r="AF711" s="87" t="n">
        <v>0</v>
      </c>
      <c r="AG711" t="n">
        <v>4619</v>
      </c>
      <c r="AH711" t="n">
        <v>90423</v>
      </c>
      <c r="AI711" t="n">
        <v>0</v>
      </c>
      <c r="AJ711" s="88">
        <f>IF(OR(AG711&lt;=0,AH711&lt;=0),"",LN(AG711)-LN(AH711))</f>
        <v/>
      </c>
      <c r="AK711" t="n">
        <v>13475</v>
      </c>
      <c r="AL711" t="n">
        <v>81567</v>
      </c>
      <c r="AM711" s="88">
        <f>IF(OR(AK711&lt;=0,AL711&lt;=0),"",LN(AK711)-LN(AL711))</f>
        <v/>
      </c>
      <c r="AN711" t="n">
        <v>4126</v>
      </c>
      <c r="AO711" t="n">
        <v>86255</v>
      </c>
      <c r="AP711" s="88">
        <f>IF(OR(AN711&lt;=0,AO711&lt;=0),"",LN(AN711)-LN(AO711))</f>
        <v/>
      </c>
      <c r="AQ711" t="n">
        <v>4518</v>
      </c>
      <c r="AR711" t="n">
        <v>90423</v>
      </c>
      <c r="AS711" s="88">
        <f>IF(OR(AQ711&lt;=0,AR711&lt;=0),"",LN(AQ711)-LN(AR711))</f>
        <v/>
      </c>
      <c r="AT711" t="n">
        <v>5057</v>
      </c>
      <c r="AU711" t="n">
        <v>89384</v>
      </c>
      <c r="AV711" t="n">
        <v>603</v>
      </c>
      <c r="AW711" t="n">
        <v>333</v>
      </c>
      <c r="AX711" t="n">
        <v>4254</v>
      </c>
      <c r="AY711" s="88">
        <f>IF(OR(AT711&lt;=0,AU711&lt;=0),"",LN(AT711)-LN(AU711))</f>
        <v/>
      </c>
      <c r="AZ711" s="46" t="n">
        <v>0.9</v>
      </c>
      <c r="BA711" s="46" t="n">
        <v>4.54</v>
      </c>
      <c r="BB711" s="47" t="n">
        <v>6.6</v>
      </c>
    </row>
    <row r="712">
      <c r="A712" s="48" t="n">
        <v>46002</v>
      </c>
      <c r="B712" s="49" t="n">
        <v>71945</v>
      </c>
      <c r="C712" s="50" t="n">
        <v>26.708333</v>
      </c>
      <c r="D712" s="51" t="inlineStr">
        <is>
          <t>Moderate</t>
        </is>
      </c>
      <c r="E712" s="52" t="n">
        <v>4</v>
      </c>
      <c r="F712" s="52" t="n">
        <v>12.9</v>
      </c>
      <c r="G712" s="51" t="inlineStr">
        <is>
          <t>Thu</t>
        </is>
      </c>
      <c r="H712" s="51" t="inlineStr">
        <is>
          <t>Weekday</t>
        </is>
      </c>
      <c r="I712" s="51" t="inlineStr">
        <is>
          <t>Winter</t>
        </is>
      </c>
      <c r="J712" s="51" t="n">
        <v>24</v>
      </c>
      <c r="K712" s="51" t="inlineStr">
        <is>
          <t>OK</t>
        </is>
      </c>
      <c r="L712" s="46" t="n">
        <v>39.04166666666666</v>
      </c>
      <c r="M712" t="inlineStr">
        <is>
          <t>Moderate</t>
        </is>
      </c>
      <c r="N712" s="87" t="n">
        <v>24</v>
      </c>
      <c r="O712" s="87" t="n">
        <v>0</v>
      </c>
      <c r="P712" s="87" t="n">
        <v>0</v>
      </c>
      <c r="Q712" s="87" t="n">
        <v>0</v>
      </c>
      <c r="R712" s="87" t="n">
        <v>0</v>
      </c>
      <c r="S712" s="47" t="n">
        <v>2.7</v>
      </c>
      <c r="T712" s="47" t="n">
        <v>68.3</v>
      </c>
      <c r="U712" s="47" t="n"/>
      <c r="V712" s="87" t="n">
        <v>0</v>
      </c>
      <c r="W712" s="87" t="n">
        <v>0</v>
      </c>
      <c r="Y712" t="inlineStr">
        <is>
          <t>Dec</t>
        </is>
      </c>
      <c r="Z712" s="87" t="n">
        <v>2025</v>
      </c>
      <c r="AA712" s="47">
        <f>IF(F712="",0,F712)</f>
        <v/>
      </c>
      <c r="AB712" s="87">
        <f>IF(AA712&gt;=0.1,1,0)</f>
        <v/>
      </c>
      <c r="AC712" s="87" t="n">
        <v>0</v>
      </c>
      <c r="AD712" s="47">
        <f>IF(U712="",0,U712)</f>
        <v/>
      </c>
      <c r="AE712" s="87">
        <f>IF(OR(V712=1,W712=1),1,0)</f>
        <v/>
      </c>
      <c r="AF712" s="87" t="n">
        <v>0</v>
      </c>
      <c r="AG712" t="n">
        <v>3196</v>
      </c>
      <c r="AH712" t="n">
        <v>68749</v>
      </c>
      <c r="AI712" t="n">
        <v>0</v>
      </c>
      <c r="AJ712" s="88">
        <f>IF(OR(AG712&lt;=0,AH712&lt;=0),"",LN(AG712)-LN(AH712))</f>
        <v/>
      </c>
      <c r="AK712" t="n">
        <v>9835</v>
      </c>
      <c r="AL712" t="n">
        <v>62110</v>
      </c>
      <c r="AM712" s="88">
        <f>IF(OR(AK712&lt;=0,AL712&lt;=0),"",LN(AK712)-LN(AL712))</f>
        <v/>
      </c>
      <c r="AN712" t="n">
        <v>2884</v>
      </c>
      <c r="AO712" t="n">
        <v>65635</v>
      </c>
      <c r="AP712" s="88">
        <f>IF(OR(AN712&lt;=0,AO712&lt;=0),"",LN(AN712)-LN(AO712))</f>
        <v/>
      </c>
      <c r="AQ712" t="n">
        <v>3120</v>
      </c>
      <c r="AR712" t="n">
        <v>68749</v>
      </c>
      <c r="AS712" s="88">
        <f>IF(OR(AQ712&lt;=0,AR712&lt;=0),"",LN(AQ712)-LN(AR712))</f>
        <v/>
      </c>
      <c r="AT712" t="n">
        <v>4329</v>
      </c>
      <c r="AU712" t="n">
        <v>67122</v>
      </c>
      <c r="AV712" t="n">
        <v>496</v>
      </c>
      <c r="AW712" t="n">
        <v>253</v>
      </c>
      <c r="AX712" t="n">
        <v>2927</v>
      </c>
      <c r="AY712" s="88">
        <f>IF(OR(AT712&lt;=0,AU712&lt;=0),"",LN(AT712)-LN(AU712))</f>
        <v/>
      </c>
      <c r="AZ712" s="46" t="n">
        <v>4</v>
      </c>
      <c r="BA712" s="46" t="n">
        <v>6.37</v>
      </c>
      <c r="BB712" s="47" t="n">
        <v>4.8</v>
      </c>
    </row>
    <row r="713">
      <c r="A713" s="48" t="n">
        <v>46003</v>
      </c>
      <c r="B713" s="49" t="n">
        <v>86950</v>
      </c>
      <c r="C713" s="50" t="n">
        <v>12.25</v>
      </c>
      <c r="D713" s="51" t="inlineStr">
        <is>
          <t>Good</t>
        </is>
      </c>
      <c r="E713" s="52" t="n">
        <v>2</v>
      </c>
      <c r="F713" s="52" t="n"/>
      <c r="G713" s="51" t="inlineStr">
        <is>
          <t>Fri</t>
        </is>
      </c>
      <c r="H713" s="51" t="inlineStr">
        <is>
          <t>Weekday</t>
        </is>
      </c>
      <c r="I713" s="51" t="inlineStr">
        <is>
          <t>Winter</t>
        </is>
      </c>
      <c r="J713" s="51" t="n">
        <v>24</v>
      </c>
      <c r="K713" s="51" t="inlineStr">
        <is>
          <t>강수량 공란</t>
        </is>
      </c>
      <c r="L713" s="46" t="n">
        <v>21.08333333333333</v>
      </c>
      <c r="M713" t="inlineStr">
        <is>
          <t>Good</t>
        </is>
      </c>
      <c r="N713" s="87" t="n">
        <v>24</v>
      </c>
      <c r="O713" s="87" t="n">
        <v>0</v>
      </c>
      <c r="P713" s="87" t="n">
        <v>0</v>
      </c>
      <c r="Q713" s="87" t="n">
        <v>0</v>
      </c>
      <c r="R713" s="87" t="n">
        <v>0</v>
      </c>
      <c r="S713" s="47" t="n">
        <v>1.9</v>
      </c>
      <c r="T713" s="47" t="n">
        <v>56.3</v>
      </c>
      <c r="U713" s="47" t="n"/>
      <c r="V713" s="87" t="n">
        <v>0</v>
      </c>
      <c r="W713" s="87" t="n">
        <v>0</v>
      </c>
      <c r="Y713" t="inlineStr">
        <is>
          <t>Dec</t>
        </is>
      </c>
      <c r="Z713" s="87" t="n">
        <v>2025</v>
      </c>
      <c r="AA713" s="47">
        <f>IF(F713="",0,F713)</f>
        <v/>
      </c>
      <c r="AB713" s="87">
        <f>IF(AA713&gt;=0.1,1,0)</f>
        <v/>
      </c>
      <c r="AC713" s="87" t="n">
        <v>0</v>
      </c>
      <c r="AD713" s="47">
        <f>IF(U713="",0,U713)</f>
        <v/>
      </c>
      <c r="AE713" s="87">
        <f>IF(OR(V713=1,W713=1),1,0)</f>
        <v/>
      </c>
      <c r="AF713" s="87" t="n">
        <v>0</v>
      </c>
      <c r="AG713" t="n">
        <v>4227</v>
      </c>
      <c r="AH713" t="n">
        <v>82723</v>
      </c>
      <c r="AI713" t="n">
        <v>0</v>
      </c>
      <c r="AJ713" s="88">
        <f>IF(OR(AG713&lt;=0,AH713&lt;=0),"",LN(AG713)-LN(AH713))</f>
        <v/>
      </c>
      <c r="AK713" t="n">
        <v>12178</v>
      </c>
      <c r="AL713" t="n">
        <v>74772</v>
      </c>
      <c r="AM713" s="88">
        <f>IF(OR(AK713&lt;=0,AL713&lt;=0),"",LN(AK713)-LN(AL713))</f>
        <v/>
      </c>
      <c r="AN713" t="n">
        <v>3718</v>
      </c>
      <c r="AO713" t="n">
        <v>78895</v>
      </c>
      <c r="AP713" s="88">
        <f>IF(OR(AN713&lt;=0,AO713&lt;=0),"",LN(AN713)-LN(AO713))</f>
        <v/>
      </c>
      <c r="AQ713" t="n">
        <v>4123</v>
      </c>
      <c r="AR713" t="n">
        <v>82723</v>
      </c>
      <c r="AS713" s="88">
        <f>IF(OR(AQ713&lt;=0,AR713&lt;=0),"",LN(AQ713)-LN(AR713))</f>
        <v/>
      </c>
      <c r="AT713" t="n">
        <v>4951</v>
      </c>
      <c r="AU713" t="n">
        <v>81413</v>
      </c>
      <c r="AV713" t="n">
        <v>590</v>
      </c>
      <c r="AW713" t="n">
        <v>342</v>
      </c>
      <c r="AX713" t="n">
        <v>3860</v>
      </c>
      <c r="AY713" s="88">
        <f>IF(OR(AT713&lt;=0,AU713&lt;=0),"",LN(AT713)-LN(AU713))</f>
        <v/>
      </c>
      <c r="AZ713" s="46" t="n">
        <v>6.9</v>
      </c>
      <c r="BA713" s="46" t="n">
        <v>9.57</v>
      </c>
      <c r="BB713" s="47" t="n">
        <v>4.5</v>
      </c>
    </row>
    <row r="714">
      <c r="A714" s="48" t="n">
        <v>46004</v>
      </c>
      <c r="B714" s="49" t="n">
        <v>19152</v>
      </c>
      <c r="C714" s="50" t="n">
        <v>7.083333</v>
      </c>
      <c r="D714" s="51" t="inlineStr">
        <is>
          <t>Good</t>
        </is>
      </c>
      <c r="E714" s="52" t="n">
        <v>2.6</v>
      </c>
      <c r="F714" s="52" t="n">
        <v>9.5</v>
      </c>
      <c r="G714" s="51" t="inlineStr">
        <is>
          <t>Sat</t>
        </is>
      </c>
      <c r="H714" s="51" t="inlineStr">
        <is>
          <t>Weekend</t>
        </is>
      </c>
      <c r="I714" s="51" t="inlineStr">
        <is>
          <t>Winter</t>
        </is>
      </c>
      <c r="J714" s="51" t="n">
        <v>24</v>
      </c>
      <c r="K714" s="51" t="inlineStr">
        <is>
          <t>OK</t>
        </is>
      </c>
      <c r="L714" s="46" t="n">
        <v>11.20833333333333</v>
      </c>
      <c r="M714" t="inlineStr">
        <is>
          <t>Good</t>
        </is>
      </c>
      <c r="N714" s="87" t="n">
        <v>24</v>
      </c>
      <c r="O714" s="87" t="n">
        <v>0</v>
      </c>
      <c r="P714" s="87" t="n">
        <v>0</v>
      </c>
      <c r="Q714" s="87" t="n">
        <v>0</v>
      </c>
      <c r="R714" s="87" t="n">
        <v>0</v>
      </c>
      <c r="S714" s="47" t="n">
        <v>2.4</v>
      </c>
      <c r="T714" s="47" t="n">
        <v>81.5</v>
      </c>
      <c r="U714" s="47" t="n">
        <v>1</v>
      </c>
      <c r="V714" s="87" t="n">
        <v>1</v>
      </c>
      <c r="W714" s="87" t="n">
        <v>0</v>
      </c>
      <c r="Y714" t="inlineStr">
        <is>
          <t>Dec</t>
        </is>
      </c>
      <c r="Z714" s="87" t="n">
        <v>2025</v>
      </c>
      <c r="AA714" s="47">
        <f>IF(F714="",0,F714)</f>
        <v/>
      </c>
      <c r="AB714" s="87">
        <f>IF(AA714&gt;=0.1,1,0)</f>
        <v/>
      </c>
      <c r="AC714" s="87" t="n">
        <v>0</v>
      </c>
      <c r="AD714" s="47">
        <f>IF(U714="",0,U714)</f>
        <v/>
      </c>
      <c r="AE714" s="87">
        <f>IF(OR(V714=1,W714=1),1,0)</f>
        <v/>
      </c>
      <c r="AF714" s="87" t="n">
        <v>0</v>
      </c>
      <c r="AG714" t="n">
        <v>898</v>
      </c>
      <c r="AH714" t="n">
        <v>18254</v>
      </c>
      <c r="AI714" t="n">
        <v>0</v>
      </c>
      <c r="AJ714" s="88">
        <f>IF(OR(AG714&lt;=0,AH714&lt;=0),"",LN(AG714)-LN(AH714))</f>
        <v/>
      </c>
      <c r="AK714" t="n">
        <v>2514</v>
      </c>
      <c r="AL714" t="n">
        <v>16638</v>
      </c>
      <c r="AM714" s="88">
        <f>IF(OR(AK714&lt;=0,AL714&lt;=0),"",LN(AK714)-LN(AL714))</f>
        <v/>
      </c>
      <c r="AN714" t="n">
        <v>800</v>
      </c>
      <c r="AO714" t="n">
        <v>17480</v>
      </c>
      <c r="AP714" s="88">
        <f>IF(OR(AN714&lt;=0,AO714&lt;=0),"",LN(AN714)-LN(AO714))</f>
        <v/>
      </c>
      <c r="AQ714" t="n">
        <v>876</v>
      </c>
      <c r="AR714" t="n">
        <v>18254</v>
      </c>
      <c r="AS714" s="88">
        <f>IF(OR(AQ714&lt;=0,AR714&lt;=0),"",LN(AQ714)-LN(AR714))</f>
        <v/>
      </c>
      <c r="AT714" t="n">
        <v>1032</v>
      </c>
      <c r="AU714" t="n">
        <v>17984</v>
      </c>
      <c r="AV714" t="n">
        <v>136</v>
      </c>
      <c r="AW714" t="n">
        <v>70</v>
      </c>
      <c r="AX714" t="n">
        <v>820</v>
      </c>
      <c r="AY714" s="88">
        <f>IF(OR(AT714&lt;=0,AU714&lt;=0),"",LN(AT714)-LN(AU714))</f>
        <v/>
      </c>
      <c r="AZ714" s="46" t="n">
        <v>0</v>
      </c>
      <c r="BA714" s="46" t="n">
        <v>1.42</v>
      </c>
      <c r="BB714" s="47" t="n">
        <v>8.6</v>
      </c>
    </row>
    <row r="715">
      <c r="A715" s="48" t="n">
        <v>46005</v>
      </c>
      <c r="B715" s="49" t="n">
        <v>43136</v>
      </c>
      <c r="C715" s="50" t="n">
        <v>18.583333</v>
      </c>
      <c r="D715" s="51" t="inlineStr">
        <is>
          <t>Moderate</t>
        </is>
      </c>
      <c r="E715" s="52" t="n">
        <v>-0.1</v>
      </c>
      <c r="F715" s="52" t="n">
        <v>0.1</v>
      </c>
      <c r="G715" s="51" t="inlineStr">
        <is>
          <t>Sun</t>
        </is>
      </c>
      <c r="H715" s="51" t="inlineStr">
        <is>
          <t>Weekend</t>
        </is>
      </c>
      <c r="I715" s="51" t="inlineStr">
        <is>
          <t>Winter</t>
        </is>
      </c>
      <c r="J715" s="51" t="n">
        <v>24</v>
      </c>
      <c r="K715" s="51" t="inlineStr">
        <is>
          <t>OK</t>
        </is>
      </c>
      <c r="L715" s="46" t="n">
        <v>25.16666666666667</v>
      </c>
      <c r="M715" t="inlineStr">
        <is>
          <t>Good</t>
        </is>
      </c>
      <c r="N715" s="87" t="n">
        <v>24</v>
      </c>
      <c r="O715" s="87" t="n">
        <v>0</v>
      </c>
      <c r="P715" s="87" t="n">
        <v>0</v>
      </c>
      <c r="Q715" s="87" t="n">
        <v>0</v>
      </c>
      <c r="R715" s="87" t="n">
        <v>0</v>
      </c>
      <c r="S715" s="47" t="n">
        <v>2</v>
      </c>
      <c r="T715" s="47" t="n">
        <v>76.5</v>
      </c>
      <c r="U715" s="47" t="n">
        <v>0.3</v>
      </c>
      <c r="V715" s="87" t="n">
        <v>1</v>
      </c>
      <c r="W715" s="87" t="n">
        <v>0</v>
      </c>
      <c r="Y715" t="inlineStr">
        <is>
          <t>Dec</t>
        </is>
      </c>
      <c r="Z715" s="87" t="n">
        <v>2025</v>
      </c>
      <c r="AA715" s="47">
        <f>IF(F715="",0,F715)</f>
        <v/>
      </c>
      <c r="AB715" s="87">
        <f>IF(AA715&gt;=0.1,1,0)</f>
        <v/>
      </c>
      <c r="AC715" s="87" t="n">
        <v>0</v>
      </c>
      <c r="AD715" s="47">
        <f>IF(U715="",0,U715)</f>
        <v/>
      </c>
      <c r="AE715" s="87">
        <f>IF(OR(V715=1,W715=1),1,0)</f>
        <v/>
      </c>
      <c r="AF715" s="87" t="n">
        <v>0</v>
      </c>
      <c r="AG715" t="n">
        <v>2398</v>
      </c>
      <c r="AH715" t="n">
        <v>40738</v>
      </c>
      <c r="AI715" t="n">
        <v>0</v>
      </c>
      <c r="AJ715" s="88">
        <f>IF(OR(AG715&lt;=0,AH715&lt;=0),"",LN(AG715)-LN(AH715))</f>
        <v/>
      </c>
      <c r="AK715" t="n">
        <v>6224</v>
      </c>
      <c r="AL715" t="n">
        <v>36912</v>
      </c>
      <c r="AM715" s="88">
        <f>IF(OR(AK715&lt;=0,AL715&lt;=0),"",LN(AK715)-LN(AL715))</f>
        <v/>
      </c>
      <c r="AN715" t="n">
        <v>2025</v>
      </c>
      <c r="AO715" t="n">
        <v>38996</v>
      </c>
      <c r="AP715" s="88">
        <f>IF(OR(AN715&lt;=0,AO715&lt;=0),"",LN(AN715)-LN(AO715))</f>
        <v/>
      </c>
      <c r="AQ715" t="n">
        <v>2339</v>
      </c>
      <c r="AR715" t="n">
        <v>40738</v>
      </c>
      <c r="AS715" s="88">
        <f>IF(OR(AQ715&lt;=0,AR715&lt;=0),"",LN(AQ715)-LN(AR715))</f>
        <v/>
      </c>
      <c r="AT715" t="n">
        <v>3549</v>
      </c>
      <c r="AU715" t="n">
        <v>39333</v>
      </c>
      <c r="AV715" t="n">
        <v>255</v>
      </c>
      <c r="AW715" t="n">
        <v>291</v>
      </c>
      <c r="AX715" t="n">
        <v>2086</v>
      </c>
      <c r="AY715" s="88">
        <f>IF(OR(AT715&lt;=0,AU715&lt;=0),"",LN(AT715)-LN(AU715))</f>
        <v/>
      </c>
      <c r="AZ715" s="46" t="n">
        <v>4.6</v>
      </c>
      <c r="BA715" s="46" t="n">
        <v>8.25</v>
      </c>
      <c r="BB715" s="47" t="n">
        <v>4.3</v>
      </c>
    </row>
    <row r="716">
      <c r="A716" s="48" t="n">
        <v>46006</v>
      </c>
      <c r="B716" s="49" t="n">
        <v>80403</v>
      </c>
      <c r="C716" s="50" t="n">
        <v>23.125</v>
      </c>
      <c r="D716" s="51" t="inlineStr">
        <is>
          <t>Moderate</t>
        </is>
      </c>
      <c r="E716" s="52" t="n">
        <v>0.7</v>
      </c>
      <c r="F716" s="52" t="n"/>
      <c r="G716" s="51" t="inlineStr">
        <is>
          <t>Mon</t>
        </is>
      </c>
      <c r="H716" s="51" t="inlineStr">
        <is>
          <t>Weekday</t>
        </is>
      </c>
      <c r="I716" s="51" t="inlineStr">
        <is>
          <t>Winter</t>
        </is>
      </c>
      <c r="J716" s="51" t="n">
        <v>24</v>
      </c>
      <c r="K716" s="51" t="inlineStr">
        <is>
          <t>강수량 공란</t>
        </is>
      </c>
      <c r="L716" s="46" t="n">
        <v>31.04166666666667</v>
      </c>
      <c r="M716" t="inlineStr">
        <is>
          <t>Moderate</t>
        </is>
      </c>
      <c r="N716" s="87" t="n">
        <v>24</v>
      </c>
      <c r="O716" s="87" t="n">
        <v>0</v>
      </c>
      <c r="P716" s="87" t="n">
        <v>0</v>
      </c>
      <c r="Q716" s="87" t="n">
        <v>0</v>
      </c>
      <c r="R716" s="87" t="n">
        <v>0</v>
      </c>
      <c r="S716" s="47" t="n">
        <v>1.8</v>
      </c>
      <c r="T716" s="47" t="n">
        <v>76.40000000000001</v>
      </c>
      <c r="U716" s="47" t="n"/>
      <c r="V716" s="87" t="n">
        <v>0</v>
      </c>
      <c r="W716" s="87" t="n">
        <v>0</v>
      </c>
      <c r="Y716" t="inlineStr">
        <is>
          <t>Dec</t>
        </is>
      </c>
      <c r="Z716" s="87" t="n">
        <v>2025</v>
      </c>
      <c r="AA716" s="47">
        <f>IF(F716="",0,F716)</f>
        <v/>
      </c>
      <c r="AB716" s="87">
        <f>IF(AA716&gt;=0.1,1,0)</f>
        <v/>
      </c>
      <c r="AC716" s="87" t="n">
        <v>0</v>
      </c>
      <c r="AD716" s="47">
        <f>IF(U716="",0,U716)</f>
        <v/>
      </c>
      <c r="AE716" s="87">
        <f>IF(OR(V716=1,W716=1),1,0)</f>
        <v/>
      </c>
      <c r="AF716" s="87" t="n">
        <v>0</v>
      </c>
      <c r="AG716" t="n">
        <v>3849</v>
      </c>
      <c r="AH716" t="n">
        <v>76554</v>
      </c>
      <c r="AI716" t="n">
        <v>0</v>
      </c>
      <c r="AJ716" s="88">
        <f>IF(OR(AG716&lt;=0,AH716&lt;=0),"",LN(AG716)-LN(AH716))</f>
        <v/>
      </c>
      <c r="AK716" t="n">
        <v>11380</v>
      </c>
      <c r="AL716" t="n">
        <v>69023</v>
      </c>
      <c r="AM716" s="88">
        <f>IF(OR(AK716&lt;=0,AL716&lt;=0),"",LN(AK716)-LN(AL716))</f>
        <v/>
      </c>
      <c r="AN716" t="n">
        <v>3504</v>
      </c>
      <c r="AO716" t="n">
        <v>72919</v>
      </c>
      <c r="AP716" s="88">
        <f>IF(OR(AN716&lt;=0,AO716&lt;=0),"",LN(AN716)-LN(AO716))</f>
        <v/>
      </c>
      <c r="AQ716" t="n">
        <v>3758</v>
      </c>
      <c r="AR716" t="n">
        <v>76554</v>
      </c>
      <c r="AS716" s="88">
        <f>IF(OR(AQ716&lt;=0,AR716&lt;=0),"",LN(AQ716)-LN(AR716))</f>
        <v/>
      </c>
      <c r="AT716" t="n">
        <v>4465</v>
      </c>
      <c r="AU716" t="n">
        <v>75455</v>
      </c>
      <c r="AV716" t="n">
        <v>486</v>
      </c>
      <c r="AW716" t="n">
        <v>268</v>
      </c>
      <c r="AX716" t="n">
        <v>3545</v>
      </c>
      <c r="AY716" s="88">
        <f>IF(OR(AT716&lt;=0,AU716&lt;=0),"",LN(AT716)-LN(AU716))</f>
        <v/>
      </c>
      <c r="AZ716" s="46" t="n">
        <v>3.7</v>
      </c>
      <c r="BA716" s="46" t="n">
        <v>6.82</v>
      </c>
      <c r="BB716" s="47" t="n">
        <v>4.6</v>
      </c>
    </row>
    <row r="717">
      <c r="A717" s="48" t="n">
        <v>46007</v>
      </c>
      <c r="B717" s="49" t="n">
        <v>48592</v>
      </c>
      <c r="C717" s="50" t="n">
        <v>28.25</v>
      </c>
      <c r="D717" s="51" t="inlineStr">
        <is>
          <t>Moderate</t>
        </is>
      </c>
      <c r="E717" s="52" t="n">
        <v>3.8</v>
      </c>
      <c r="F717" s="52" t="n">
        <v>2.1</v>
      </c>
      <c r="G717" s="51" t="inlineStr">
        <is>
          <t>Tue</t>
        </is>
      </c>
      <c r="H717" s="51" t="inlineStr">
        <is>
          <t>Weekday</t>
        </is>
      </c>
      <c r="I717" s="51" t="inlineStr">
        <is>
          <t>Winter</t>
        </is>
      </c>
      <c r="J717" s="51" t="n">
        <v>24</v>
      </c>
      <c r="K717" s="51" t="inlineStr">
        <is>
          <t>OK</t>
        </is>
      </c>
      <c r="L717" s="46" t="n">
        <v>39.29166666666666</v>
      </c>
      <c r="M717" t="inlineStr">
        <is>
          <t>Moderate</t>
        </is>
      </c>
      <c r="N717" s="87" t="n">
        <v>24</v>
      </c>
      <c r="O717" s="87" t="n">
        <v>0</v>
      </c>
      <c r="P717" s="87" t="n">
        <v>0</v>
      </c>
      <c r="Q717" s="87" t="n">
        <v>0</v>
      </c>
      <c r="R717" s="87" t="n">
        <v>0</v>
      </c>
      <c r="S717" s="47" t="n">
        <v>2.2</v>
      </c>
      <c r="T717" s="47" t="n">
        <v>88.5</v>
      </c>
      <c r="U717" s="47" t="n"/>
      <c r="V717" s="87" t="n">
        <v>0</v>
      </c>
      <c r="W717" s="87" t="n">
        <v>0</v>
      </c>
      <c r="Y717" t="inlineStr">
        <is>
          <t>Dec</t>
        </is>
      </c>
      <c r="Z717" s="87" t="n">
        <v>2025</v>
      </c>
      <c r="AA717" s="47">
        <f>IF(F717="",0,F717)</f>
        <v/>
      </c>
      <c r="AB717" s="87">
        <f>IF(AA717&gt;=0.1,1,0)</f>
        <v/>
      </c>
      <c r="AC717" s="87" t="n">
        <v>0</v>
      </c>
      <c r="AD717" s="47">
        <f>IF(U717="",0,U717)</f>
        <v/>
      </c>
      <c r="AE717" s="87">
        <f>IF(OR(V717=1,W717=1),1,0)</f>
        <v/>
      </c>
      <c r="AF717" s="87" t="n">
        <v>0</v>
      </c>
      <c r="AG717" t="n">
        <v>2265</v>
      </c>
      <c r="AH717" t="n">
        <v>46327</v>
      </c>
      <c r="AI717" t="n">
        <v>0</v>
      </c>
      <c r="AJ717" s="88">
        <f>IF(OR(AG717&lt;=0,AH717&lt;=0),"",LN(AG717)-LN(AH717))</f>
        <v/>
      </c>
      <c r="AK717" t="n">
        <v>6578</v>
      </c>
      <c r="AL717" t="n">
        <v>42014</v>
      </c>
      <c r="AM717" s="88">
        <f>IF(OR(AK717&lt;=0,AL717&lt;=0),"",LN(AK717)-LN(AL717))</f>
        <v/>
      </c>
      <c r="AN717" t="n">
        <v>2098</v>
      </c>
      <c r="AO717" t="n">
        <v>44246</v>
      </c>
      <c r="AP717" s="88">
        <f>IF(OR(AN717&lt;=0,AO717&lt;=0),"",LN(AN717)-LN(AO717))</f>
        <v/>
      </c>
      <c r="AQ717" t="n">
        <v>2202</v>
      </c>
      <c r="AR717" t="n">
        <v>46327</v>
      </c>
      <c r="AS717" s="88">
        <f>IF(OR(AQ717&lt;=0,AR717&lt;=0),"",LN(AQ717)-LN(AR717))</f>
        <v/>
      </c>
      <c r="AT717" t="n">
        <v>1982</v>
      </c>
      <c r="AU717" t="n">
        <v>46272</v>
      </c>
      <c r="AV717" t="n">
        <v>342</v>
      </c>
      <c r="AW717" t="n">
        <v>121</v>
      </c>
      <c r="AX717" t="n">
        <v>2129</v>
      </c>
      <c r="AY717" s="88">
        <f>IF(OR(AT717&lt;=0,AU717&lt;=0),"",LN(AT717)-LN(AU717))</f>
        <v/>
      </c>
      <c r="AZ717" s="46" t="n">
        <v>0</v>
      </c>
      <c r="BA717" s="46" t="n">
        <v>0.68</v>
      </c>
      <c r="BB717" s="47" t="n">
        <v>9.6</v>
      </c>
    </row>
    <row r="718">
      <c r="A718" s="48" t="n">
        <v>46008</v>
      </c>
      <c r="B718" s="49" t="n">
        <v>84960</v>
      </c>
      <c r="C718" s="50" t="n">
        <v>40.166667</v>
      </c>
      <c r="D718" s="51" t="inlineStr">
        <is>
          <t>Bad</t>
        </is>
      </c>
      <c r="E718" s="52" t="n">
        <v>4.2</v>
      </c>
      <c r="F718" s="52" t="n"/>
      <c r="G718" s="51" t="inlineStr">
        <is>
          <t>Wed</t>
        </is>
      </c>
      <c r="H718" s="51" t="inlineStr">
        <is>
          <t>Weekday</t>
        </is>
      </c>
      <c r="I718" s="51" t="inlineStr">
        <is>
          <t>Winter</t>
        </is>
      </c>
      <c r="J718" s="51" t="n">
        <v>24</v>
      </c>
      <c r="K718" s="51" t="inlineStr">
        <is>
          <t>강수량 공란</t>
        </is>
      </c>
      <c r="L718" s="46" t="n">
        <v>65.20833333333333</v>
      </c>
      <c r="M718" t="inlineStr">
        <is>
          <t>Moderate</t>
        </is>
      </c>
      <c r="N718" s="87" t="n">
        <v>24</v>
      </c>
      <c r="O718" s="87" t="n">
        <v>0</v>
      </c>
      <c r="P718" s="87" t="n">
        <v>0</v>
      </c>
      <c r="Q718" s="87" t="n">
        <v>0</v>
      </c>
      <c r="R718" s="87" t="n">
        <v>0</v>
      </c>
      <c r="S718" s="47" t="n">
        <v>2.1</v>
      </c>
      <c r="T718" s="47" t="n">
        <v>72.8</v>
      </c>
      <c r="U718" s="47" t="n"/>
      <c r="V718" s="87" t="n">
        <v>0</v>
      </c>
      <c r="W718" s="87" t="n">
        <v>0</v>
      </c>
      <c r="Y718" t="inlineStr">
        <is>
          <t>Dec</t>
        </is>
      </c>
      <c r="Z718" s="87" t="n">
        <v>2025</v>
      </c>
      <c r="AA718" s="47">
        <f>IF(F718="",0,F718)</f>
        <v/>
      </c>
      <c r="AB718" s="87">
        <f>IF(AA718&gt;=0.1,1,0)</f>
        <v/>
      </c>
      <c r="AC718" s="87" t="n">
        <v>0</v>
      </c>
      <c r="AD718" s="47">
        <f>IF(U718="",0,U718)</f>
        <v/>
      </c>
      <c r="AE718" s="87">
        <f>IF(OR(V718=1,W718=1),1,0)</f>
        <v/>
      </c>
      <c r="AF718" s="87" t="n">
        <v>0</v>
      </c>
      <c r="AG718" t="n">
        <v>4033</v>
      </c>
      <c r="AH718" t="n">
        <v>80927</v>
      </c>
      <c r="AI718" t="n">
        <v>0</v>
      </c>
      <c r="AJ718" s="88">
        <f>IF(OR(AG718&lt;=0,AH718&lt;=0),"",LN(AG718)-LN(AH718))</f>
        <v/>
      </c>
      <c r="AK718" t="n">
        <v>11877</v>
      </c>
      <c r="AL718" t="n">
        <v>73083</v>
      </c>
      <c r="AM718" s="88">
        <f>IF(OR(AK718&lt;=0,AL718&lt;=0),"",LN(AK718)-LN(AL718))</f>
        <v/>
      </c>
      <c r="AN718" t="n">
        <v>3631</v>
      </c>
      <c r="AO718" t="n">
        <v>77102</v>
      </c>
      <c r="AP718" s="88">
        <f>IF(OR(AN718&lt;=0,AO718&lt;=0),"",LN(AN718)-LN(AO718))</f>
        <v/>
      </c>
      <c r="AQ718" t="n">
        <v>3948</v>
      </c>
      <c r="AR718" t="n">
        <v>80927</v>
      </c>
      <c r="AS718" s="88">
        <f>IF(OR(AQ718&lt;=0,AR718&lt;=0),"",LN(AQ718)-LN(AR718))</f>
        <v/>
      </c>
      <c r="AT718" t="n">
        <v>4530</v>
      </c>
      <c r="AU718" t="n">
        <v>79818</v>
      </c>
      <c r="AV718" t="n">
        <v>613</v>
      </c>
      <c r="AW718" t="n">
        <v>288</v>
      </c>
      <c r="AX718" t="n">
        <v>3705</v>
      </c>
      <c r="AY718" s="88">
        <f>IF(OR(AT718&lt;=0,AU718&lt;=0),"",LN(AT718)-LN(AU718))</f>
        <v/>
      </c>
      <c r="AZ718" s="46" t="n">
        <v>7.5</v>
      </c>
      <c r="BA718" s="46" t="n">
        <v>9.52</v>
      </c>
      <c r="BB718" s="47" t="n">
        <v>3.1</v>
      </c>
    </row>
    <row r="719">
      <c r="A719" s="48" t="n">
        <v>46009</v>
      </c>
      <c r="B719" s="49" t="n">
        <v>87556</v>
      </c>
      <c r="C719" s="50" t="n">
        <v>21.5</v>
      </c>
      <c r="D719" s="51" t="inlineStr">
        <is>
          <t>Moderate</t>
        </is>
      </c>
      <c r="E719" s="52" t="n">
        <v>2.3</v>
      </c>
      <c r="F719" s="52" t="n"/>
      <c r="G719" s="51" t="inlineStr">
        <is>
          <t>Thu</t>
        </is>
      </c>
      <c r="H719" s="51" t="inlineStr">
        <is>
          <t>Weekday</t>
        </is>
      </c>
      <c r="I719" s="51" t="inlineStr">
        <is>
          <t>Winter</t>
        </is>
      </c>
      <c r="J719" s="51" t="n">
        <v>24</v>
      </c>
      <c r="K719" s="51" t="inlineStr">
        <is>
          <t>강수량 공란</t>
        </is>
      </c>
      <c r="L719" s="46" t="n">
        <v>31.91666666666667</v>
      </c>
      <c r="M719" t="inlineStr">
        <is>
          <t>Moderate</t>
        </is>
      </c>
      <c r="N719" s="87" t="n">
        <v>24</v>
      </c>
      <c r="O719" s="87" t="n">
        <v>0</v>
      </c>
      <c r="P719" s="87" t="n">
        <v>0</v>
      </c>
      <c r="Q719" s="87" t="n">
        <v>0</v>
      </c>
      <c r="R719" s="87" t="n">
        <v>0</v>
      </c>
      <c r="S719" s="47" t="n">
        <v>1.7</v>
      </c>
      <c r="T719" s="47" t="n">
        <v>60.6</v>
      </c>
      <c r="U719" s="47" t="n"/>
      <c r="V719" s="87" t="n">
        <v>0</v>
      </c>
      <c r="W719" s="87" t="n">
        <v>0</v>
      </c>
      <c r="Y719" t="inlineStr">
        <is>
          <t>Dec</t>
        </is>
      </c>
      <c r="Z719" s="87" t="n">
        <v>2025</v>
      </c>
      <c r="AA719" s="47">
        <f>IF(F719="",0,F719)</f>
        <v/>
      </c>
      <c r="AB719" s="87">
        <f>IF(AA719&gt;=0.1,1,0)</f>
        <v/>
      </c>
      <c r="AC719" s="87" t="n">
        <v>0</v>
      </c>
      <c r="AD719" s="47">
        <f>IF(U719="",0,U719)</f>
        <v/>
      </c>
      <c r="AE719" s="87">
        <f>IF(OR(V719=1,W719=1),1,0)</f>
        <v/>
      </c>
      <c r="AF719" s="87" t="n">
        <v>0</v>
      </c>
      <c r="AG719" t="n">
        <v>4324</v>
      </c>
      <c r="AH719" t="n">
        <v>83232</v>
      </c>
      <c r="AI719" t="n">
        <v>0</v>
      </c>
      <c r="AJ719" s="88">
        <f>IF(OR(AG719&lt;=0,AH719&lt;=0),"",LN(AG719)-LN(AH719))</f>
        <v/>
      </c>
      <c r="AK719" t="n">
        <v>12335</v>
      </c>
      <c r="AL719" t="n">
        <v>75221</v>
      </c>
      <c r="AM719" s="88">
        <f>IF(OR(AK719&lt;=0,AL719&lt;=0),"",LN(AK719)-LN(AL719))</f>
        <v/>
      </c>
      <c r="AN719" t="n">
        <v>3865</v>
      </c>
      <c r="AO719" t="n">
        <v>79375</v>
      </c>
      <c r="AP719" s="88">
        <f>IF(OR(AN719&lt;=0,AO719&lt;=0),"",LN(AN719)-LN(AO719))</f>
        <v/>
      </c>
      <c r="AQ719" t="n">
        <v>4227</v>
      </c>
      <c r="AR719" t="n">
        <v>83232</v>
      </c>
      <c r="AS719" s="88">
        <f>IF(OR(AQ719&lt;=0,AR719&lt;=0),"",LN(AQ719)-LN(AR719))</f>
        <v/>
      </c>
      <c r="AT719" t="n">
        <v>4666</v>
      </c>
      <c r="AU719" t="n">
        <v>82299</v>
      </c>
      <c r="AV719" t="n">
        <v>591</v>
      </c>
      <c r="AW719" t="n">
        <v>319</v>
      </c>
      <c r="AX719" t="n">
        <v>3971</v>
      </c>
      <c r="AY719" s="88">
        <f>IF(OR(AT719&lt;=0,AU719&lt;=0),"",LN(AT719)-LN(AU719))</f>
        <v/>
      </c>
      <c r="AZ719" s="46" t="n">
        <v>8.9</v>
      </c>
      <c r="BA719" s="46" t="n">
        <v>10.59</v>
      </c>
      <c r="BB719" s="47" t="n">
        <v>0</v>
      </c>
    </row>
    <row r="720">
      <c r="A720" s="48" t="n">
        <v>46010</v>
      </c>
      <c r="B720" s="49" t="n">
        <v>91581</v>
      </c>
      <c r="C720" s="50" t="n">
        <v>25.291667</v>
      </c>
      <c r="D720" s="51" t="inlineStr">
        <is>
          <t>Moderate</t>
        </is>
      </c>
      <c r="E720" s="52" t="n">
        <v>4.9</v>
      </c>
      <c r="F720" s="52" t="n"/>
      <c r="G720" s="51" t="inlineStr">
        <is>
          <t>Fri</t>
        </is>
      </c>
      <c r="H720" s="51" t="inlineStr">
        <is>
          <t>Weekday</t>
        </is>
      </c>
      <c r="I720" s="51" t="inlineStr">
        <is>
          <t>Winter</t>
        </is>
      </c>
      <c r="J720" s="51" t="n">
        <v>24</v>
      </c>
      <c r="K720" s="51" t="inlineStr">
        <is>
          <t>강수량 공란</t>
        </is>
      </c>
      <c r="L720" s="46" t="n">
        <v>37.04166666666666</v>
      </c>
      <c r="M720" t="inlineStr">
        <is>
          <t>Moderate</t>
        </is>
      </c>
      <c r="N720" s="87" t="n">
        <v>24</v>
      </c>
      <c r="O720" s="87" t="n">
        <v>0</v>
      </c>
      <c r="P720" s="87" t="n">
        <v>0</v>
      </c>
      <c r="Q720" s="87" t="n">
        <v>0</v>
      </c>
      <c r="R720" s="87" t="n">
        <v>0</v>
      </c>
      <c r="S720" s="47" t="n">
        <v>2.1</v>
      </c>
      <c r="T720" s="47" t="n">
        <v>66.5</v>
      </c>
      <c r="U720" s="47" t="n"/>
      <c r="V720" s="87" t="n">
        <v>0</v>
      </c>
      <c r="W720" s="87" t="n">
        <v>0</v>
      </c>
      <c r="Y720" t="inlineStr">
        <is>
          <t>Dec</t>
        </is>
      </c>
      <c r="Z720" s="87" t="n">
        <v>2025</v>
      </c>
      <c r="AA720" s="47">
        <f>IF(F720="",0,F720)</f>
        <v/>
      </c>
      <c r="AB720" s="87">
        <f>IF(AA720&gt;=0.1,1,0)</f>
        <v/>
      </c>
      <c r="AC720" s="87" t="n">
        <v>0</v>
      </c>
      <c r="AD720" s="47">
        <f>IF(U720="",0,U720)</f>
        <v/>
      </c>
      <c r="AE720" s="87">
        <f>IF(OR(V720=1,W720=1),1,0)</f>
        <v/>
      </c>
      <c r="AF720" s="87" t="n">
        <v>0</v>
      </c>
      <c r="AG720" t="n">
        <v>4631</v>
      </c>
      <c r="AH720" t="n">
        <v>86950</v>
      </c>
      <c r="AI720" t="n">
        <v>0</v>
      </c>
      <c r="AJ720" s="88">
        <f>IF(OR(AG720&lt;=0,AH720&lt;=0),"",LN(AG720)-LN(AH720))</f>
        <v/>
      </c>
      <c r="AK720" t="n">
        <v>13200</v>
      </c>
      <c r="AL720" t="n">
        <v>78381</v>
      </c>
      <c r="AM720" s="88">
        <f>IF(OR(AK720&lt;=0,AL720&lt;=0),"",LN(AK720)-LN(AL720))</f>
        <v/>
      </c>
      <c r="AN720" t="n">
        <v>4009</v>
      </c>
      <c r="AO720" t="n">
        <v>82887</v>
      </c>
      <c r="AP720" s="88">
        <f>IF(OR(AN720&lt;=0,AO720&lt;=0),"",LN(AN720)-LN(AO720))</f>
        <v/>
      </c>
      <c r="AQ720" t="n">
        <v>4532</v>
      </c>
      <c r="AR720" t="n">
        <v>86950</v>
      </c>
      <c r="AS720" s="88">
        <f>IF(OR(AQ720&lt;=0,AR720&lt;=0),"",LN(AQ720)-LN(AR720))</f>
        <v/>
      </c>
      <c r="AT720" t="n">
        <v>5122</v>
      </c>
      <c r="AU720" t="n">
        <v>85801</v>
      </c>
      <c r="AV720" t="n">
        <v>661</v>
      </c>
      <c r="AW720" t="n">
        <v>416</v>
      </c>
      <c r="AX720" t="n">
        <v>4178</v>
      </c>
      <c r="AY720" s="88">
        <f>IF(OR(AT720&lt;=0,AU720&lt;=0),"",LN(AT720)-LN(AU720))</f>
        <v/>
      </c>
      <c r="AZ720" s="46" t="n">
        <v>3.6</v>
      </c>
      <c r="BA720" s="46" t="n">
        <v>6.14</v>
      </c>
      <c r="BB720" s="47" t="n">
        <v>4.3</v>
      </c>
    </row>
    <row r="721">
      <c r="A721" s="48" t="n">
        <v>46011</v>
      </c>
      <c r="B721" s="49" t="n">
        <v>46467</v>
      </c>
      <c r="C721" s="50" t="n">
        <v>30.708333</v>
      </c>
      <c r="D721" s="51" t="inlineStr">
        <is>
          <t>Moderate</t>
        </is>
      </c>
      <c r="E721" s="52" t="n">
        <v>7.3</v>
      </c>
      <c r="F721" s="52" t="n">
        <v>0.3</v>
      </c>
      <c r="G721" s="51" t="inlineStr">
        <is>
          <t>Sat</t>
        </is>
      </c>
      <c r="H721" s="51" t="inlineStr">
        <is>
          <t>Weekend</t>
        </is>
      </c>
      <c r="I721" s="51" t="inlineStr">
        <is>
          <t>Winter</t>
        </is>
      </c>
      <c r="J721" s="51" t="n">
        <v>24</v>
      </c>
      <c r="K721" s="51" t="inlineStr">
        <is>
          <t>OK</t>
        </is>
      </c>
      <c r="L721" s="46" t="n">
        <v>46.33333333333334</v>
      </c>
      <c r="M721" t="inlineStr">
        <is>
          <t>Moderate</t>
        </is>
      </c>
      <c r="N721" s="87" t="n">
        <v>24</v>
      </c>
      <c r="O721" s="87" t="n">
        <v>0</v>
      </c>
      <c r="P721" s="87" t="n">
        <v>0</v>
      </c>
      <c r="Q721" s="87" t="n">
        <v>0</v>
      </c>
      <c r="R721" s="87" t="n">
        <v>0</v>
      </c>
      <c r="S721" s="47" t="n">
        <v>2.2</v>
      </c>
      <c r="T721" s="47" t="n">
        <v>74.09999999999999</v>
      </c>
      <c r="U721" s="47" t="n"/>
      <c r="V721" s="87" t="n">
        <v>1</v>
      </c>
      <c r="W721" s="87" t="n">
        <v>0</v>
      </c>
      <c r="Y721" t="inlineStr">
        <is>
          <t>Dec</t>
        </is>
      </c>
      <c r="Z721" s="87" t="n">
        <v>2025</v>
      </c>
      <c r="AA721" s="47">
        <f>IF(F721="",0,F721)</f>
        <v/>
      </c>
      <c r="AB721" s="87">
        <f>IF(AA721&gt;=0.1,1,0)</f>
        <v/>
      </c>
      <c r="AC721" s="87" t="n">
        <v>0</v>
      </c>
      <c r="AD721" s="47">
        <f>IF(U721="",0,U721)</f>
        <v/>
      </c>
      <c r="AE721" s="87">
        <f>IF(OR(V721=1,W721=1),1,0)</f>
        <v/>
      </c>
      <c r="AF721" s="87" t="n">
        <v>0</v>
      </c>
      <c r="AG721" t="n">
        <v>2353</v>
      </c>
      <c r="AH721" t="n">
        <v>44114</v>
      </c>
      <c r="AI721" t="n">
        <v>0</v>
      </c>
      <c r="AJ721" s="88">
        <f>IF(OR(AG721&lt;=0,AH721&lt;=0),"",LN(AG721)-LN(AH721))</f>
        <v/>
      </c>
      <c r="AK721" t="n">
        <v>6496</v>
      </c>
      <c r="AL721" t="n">
        <v>39971</v>
      </c>
      <c r="AM721" s="88">
        <f>IF(OR(AK721&lt;=0,AL721&lt;=0),"",LN(AK721)-LN(AL721))</f>
        <v/>
      </c>
      <c r="AN721" t="n">
        <v>2055</v>
      </c>
      <c r="AO721" t="n">
        <v>42098</v>
      </c>
      <c r="AP721" s="88">
        <f>IF(OR(AN721&lt;=0,AO721&lt;=0),"",LN(AN721)-LN(AO721))</f>
        <v/>
      </c>
      <c r="AQ721" t="n">
        <v>2286</v>
      </c>
      <c r="AR721" t="n">
        <v>44114</v>
      </c>
      <c r="AS721" s="88">
        <f>IF(OR(AQ721&lt;=0,AR721&lt;=0),"",LN(AQ721)-LN(AR721))</f>
        <v/>
      </c>
      <c r="AT721" t="n">
        <v>3134</v>
      </c>
      <c r="AU721" t="n">
        <v>43031</v>
      </c>
      <c r="AV721" t="n">
        <v>302</v>
      </c>
      <c r="AW721" t="n">
        <v>244</v>
      </c>
      <c r="AX721" t="n">
        <v>2098</v>
      </c>
      <c r="AY721" s="88">
        <f>IF(OR(AT721&lt;=0,AU721&lt;=0),"",LN(AT721)-LN(AU721))</f>
        <v/>
      </c>
      <c r="AZ721" s="46" t="n">
        <v>0</v>
      </c>
      <c r="BA721" s="46" t="n">
        <v>0.67</v>
      </c>
      <c r="BB721" s="47" t="n">
        <v>7.3</v>
      </c>
    </row>
    <row r="722">
      <c r="A722" s="48" t="n">
        <v>46012</v>
      </c>
      <c r="B722" s="49" t="n">
        <v>45073</v>
      </c>
      <c r="C722" s="50" t="n">
        <v>8.958333</v>
      </c>
      <c r="D722" s="51" t="inlineStr">
        <is>
          <t>Good</t>
        </is>
      </c>
      <c r="E722" s="52" t="n">
        <v>-1.1</v>
      </c>
      <c r="F722" s="52" t="n"/>
      <c r="G722" s="51" t="inlineStr">
        <is>
          <t>Sun</t>
        </is>
      </c>
      <c r="H722" s="51" t="inlineStr">
        <is>
          <t>Weekend</t>
        </is>
      </c>
      <c r="I722" s="51" t="inlineStr">
        <is>
          <t>Winter</t>
        </is>
      </c>
      <c r="J722" s="51" t="n">
        <v>24</v>
      </c>
      <c r="K722" s="51" t="inlineStr">
        <is>
          <t>강수량 공란</t>
        </is>
      </c>
      <c r="L722" s="46" t="n">
        <v>25.125</v>
      </c>
      <c r="M722" t="inlineStr">
        <is>
          <t>Good</t>
        </is>
      </c>
      <c r="N722" s="87" t="n">
        <v>24</v>
      </c>
      <c r="O722" s="87" t="n">
        <v>0</v>
      </c>
      <c r="P722" s="87" t="n">
        <v>0</v>
      </c>
      <c r="Q722" s="87" t="n">
        <v>0</v>
      </c>
      <c r="R722" s="87" t="n">
        <v>0</v>
      </c>
      <c r="S722" s="47" t="n">
        <v>2.9</v>
      </c>
      <c r="T722" s="47" t="n">
        <v>42</v>
      </c>
      <c r="U722" s="47" t="n"/>
      <c r="V722" s="87" t="n">
        <v>1</v>
      </c>
      <c r="W722" s="87" t="n">
        <v>0</v>
      </c>
      <c r="Y722" t="inlineStr">
        <is>
          <t>Dec</t>
        </is>
      </c>
      <c r="Z722" s="87" t="n">
        <v>2025</v>
      </c>
      <c r="AA722" s="47">
        <f>IF(F722="",0,F722)</f>
        <v/>
      </c>
      <c r="AB722" s="87">
        <f>IF(AA722&gt;=0.1,1,0)</f>
        <v/>
      </c>
      <c r="AC722" s="87" t="n">
        <v>0</v>
      </c>
      <c r="AD722" s="47">
        <f>IF(U722="",0,U722)</f>
        <v/>
      </c>
      <c r="AE722" s="87">
        <f>IF(OR(V722=1,W722=1),1,0)</f>
        <v/>
      </c>
      <c r="AF722" s="87" t="n">
        <v>0</v>
      </c>
      <c r="AG722" t="n">
        <v>2517</v>
      </c>
      <c r="AH722" t="n">
        <v>42556</v>
      </c>
      <c r="AI722" t="n">
        <v>0</v>
      </c>
      <c r="AJ722" s="88">
        <f>IF(OR(AG722&lt;=0,AH722&lt;=0),"",LN(AG722)-LN(AH722))</f>
        <v/>
      </c>
      <c r="AK722" t="n">
        <v>6533</v>
      </c>
      <c r="AL722" t="n">
        <v>38540</v>
      </c>
      <c r="AM722" s="88">
        <f>IF(OR(AK722&lt;=0,AL722&lt;=0),"",LN(AK722)-LN(AL722))</f>
        <v/>
      </c>
      <c r="AN722" t="n">
        <v>2080</v>
      </c>
      <c r="AO722" t="n">
        <v>40685</v>
      </c>
      <c r="AP722" s="88">
        <f>IF(OR(AN722&lt;=0,AO722&lt;=0),"",LN(AN722)-LN(AO722))</f>
        <v/>
      </c>
      <c r="AQ722" t="n">
        <v>2469</v>
      </c>
      <c r="AR722" t="n">
        <v>42556</v>
      </c>
      <c r="AS722" s="88">
        <f>IF(OR(AQ722&lt;=0,AR722&lt;=0),"",LN(AQ722)-LN(AR722))</f>
        <v/>
      </c>
      <c r="AT722" t="n">
        <v>3506</v>
      </c>
      <c r="AU722" t="n">
        <v>41348</v>
      </c>
      <c r="AV722" t="n">
        <v>220</v>
      </c>
      <c r="AW722" t="n">
        <v>305</v>
      </c>
      <c r="AX722" t="n">
        <v>2200</v>
      </c>
      <c r="AY722" s="88">
        <f>IF(OR(AT722&lt;=0,AU722&lt;=0),"",LN(AT722)-LN(AU722))</f>
        <v/>
      </c>
      <c r="AZ722" s="46" t="n">
        <v>8.9</v>
      </c>
      <c r="BA722" s="46" t="n">
        <v>11.01</v>
      </c>
      <c r="BB722" s="47" t="n">
        <v>2.6</v>
      </c>
    </row>
    <row r="723">
      <c r="A723" s="48" t="n">
        <v>46013</v>
      </c>
      <c r="B723" s="49" t="n">
        <v>76797</v>
      </c>
      <c r="C723" s="50" t="n">
        <v>13.583333</v>
      </c>
      <c r="D723" s="51" t="inlineStr">
        <is>
          <t>Good</t>
        </is>
      </c>
      <c r="E723" s="52" t="n">
        <v>-0.7</v>
      </c>
      <c r="F723" s="52" t="n"/>
      <c r="G723" s="51" t="inlineStr">
        <is>
          <t>Mon</t>
        </is>
      </c>
      <c r="H723" s="51" t="inlineStr">
        <is>
          <t>Weekday</t>
        </is>
      </c>
      <c r="I723" s="51" t="inlineStr">
        <is>
          <t>Winter</t>
        </is>
      </c>
      <c r="J723" s="51" t="n">
        <v>24</v>
      </c>
      <c r="K723" s="51" t="inlineStr">
        <is>
          <t>강수량 공란</t>
        </is>
      </c>
      <c r="L723" s="46" t="n">
        <v>29.25</v>
      </c>
      <c r="M723" t="inlineStr">
        <is>
          <t>Good</t>
        </is>
      </c>
      <c r="N723" s="87" t="n">
        <v>24</v>
      </c>
      <c r="O723" s="87" t="n">
        <v>0</v>
      </c>
      <c r="P723" s="87" t="n">
        <v>0</v>
      </c>
      <c r="Q723" s="87" t="n">
        <v>0</v>
      </c>
      <c r="R723" s="87" t="n">
        <v>0</v>
      </c>
      <c r="S723" s="47" t="n">
        <v>1.8</v>
      </c>
      <c r="T723" s="47" t="n">
        <v>44.8</v>
      </c>
      <c r="U723" s="47" t="n"/>
      <c r="V723" s="87" t="n">
        <v>0</v>
      </c>
      <c r="W723" s="87" t="n">
        <v>0</v>
      </c>
      <c r="Y723" t="inlineStr">
        <is>
          <t>Dec</t>
        </is>
      </c>
      <c r="Z723" s="87" t="n">
        <v>2025</v>
      </c>
      <c r="AA723" s="47">
        <f>IF(F723="",0,F723)</f>
        <v/>
      </c>
      <c r="AB723" s="87">
        <f>IF(AA723&gt;=0.1,1,0)</f>
        <v/>
      </c>
      <c r="AC723" s="87" t="n">
        <v>0</v>
      </c>
      <c r="AD723" s="47">
        <f>IF(U723="",0,U723)</f>
        <v/>
      </c>
      <c r="AE723" s="87">
        <f>IF(OR(V723=1,W723=1),1,0)</f>
        <v/>
      </c>
      <c r="AF723" s="87" t="n">
        <v>0</v>
      </c>
      <c r="AG723" t="n">
        <v>3729</v>
      </c>
      <c r="AH723" t="n">
        <v>73068</v>
      </c>
      <c r="AI723" t="n">
        <v>0</v>
      </c>
      <c r="AJ723" s="88">
        <f>IF(OR(AG723&lt;=0,AH723&lt;=0),"",LN(AG723)-LN(AH723))</f>
        <v/>
      </c>
      <c r="AK723" t="n">
        <v>11066</v>
      </c>
      <c r="AL723" t="n">
        <v>65731</v>
      </c>
      <c r="AM723" s="88">
        <f>IF(OR(AK723&lt;=0,AL723&lt;=0),"",LN(AK723)-LN(AL723))</f>
        <v/>
      </c>
      <c r="AN723" t="n">
        <v>3321</v>
      </c>
      <c r="AO723" t="n">
        <v>69594</v>
      </c>
      <c r="AP723" s="88">
        <f>IF(OR(AN723&lt;=0,AO723&lt;=0),"",LN(AN723)-LN(AO723))</f>
        <v/>
      </c>
      <c r="AQ723" t="n">
        <v>3658</v>
      </c>
      <c r="AR723" t="n">
        <v>73068</v>
      </c>
      <c r="AS723" s="88">
        <f>IF(OR(AQ723&lt;=0,AR723&lt;=0),"",LN(AQ723)-LN(AR723))</f>
        <v/>
      </c>
      <c r="AT723" t="n">
        <v>4272</v>
      </c>
      <c r="AU723" t="n">
        <v>72084</v>
      </c>
      <c r="AV723" t="n">
        <v>443</v>
      </c>
      <c r="AW723" t="n">
        <v>285</v>
      </c>
      <c r="AX723" t="n">
        <v>3408</v>
      </c>
      <c r="AY723" s="88">
        <f>IF(OR(AT723&lt;=0,AU723&lt;=0),"",LN(AT723)-LN(AU723))</f>
        <v/>
      </c>
      <c r="AZ723" s="46" t="n">
        <v>8.800000000000001</v>
      </c>
      <c r="BA723" s="46" t="n">
        <v>10.79</v>
      </c>
      <c r="BB723" s="47" t="n">
        <v>3.9</v>
      </c>
    </row>
    <row r="724">
      <c r="A724" s="48" t="n">
        <v>46014</v>
      </c>
      <c r="B724" s="49" t="n">
        <v>38687</v>
      </c>
      <c r="C724" s="50" t="n">
        <v>12</v>
      </c>
      <c r="D724" s="51" t="inlineStr">
        <is>
          <t>Good</t>
        </is>
      </c>
      <c r="E724" s="52" t="n">
        <v>2.6</v>
      </c>
      <c r="F724" s="52" t="n">
        <v>10.8</v>
      </c>
      <c r="G724" s="51" t="inlineStr">
        <is>
          <t>Tue</t>
        </is>
      </c>
      <c r="H724" s="51" t="inlineStr">
        <is>
          <t>Weekday</t>
        </is>
      </c>
      <c r="I724" s="51" t="inlineStr">
        <is>
          <t>Winter</t>
        </is>
      </c>
      <c r="J724" s="51" t="n">
        <v>24</v>
      </c>
      <c r="K724" s="51" t="inlineStr">
        <is>
          <t>OK</t>
        </is>
      </c>
      <c r="L724" s="46" t="n">
        <v>21.25</v>
      </c>
      <c r="M724" t="inlineStr">
        <is>
          <t>Good</t>
        </is>
      </c>
      <c r="N724" s="87" t="n">
        <v>24</v>
      </c>
      <c r="O724" s="87" t="n">
        <v>0</v>
      </c>
      <c r="P724" s="87" t="n">
        <v>0</v>
      </c>
      <c r="Q724" s="87" t="n">
        <v>0</v>
      </c>
      <c r="R724" s="87" t="n">
        <v>0</v>
      </c>
      <c r="S724" s="47" t="n">
        <v>2.4</v>
      </c>
      <c r="T724" s="47" t="n">
        <v>70.90000000000001</v>
      </c>
      <c r="U724" s="47" t="n"/>
      <c r="V724" s="87" t="n">
        <v>0</v>
      </c>
      <c r="W724" s="87" t="n">
        <v>0</v>
      </c>
      <c r="Y724" t="inlineStr">
        <is>
          <t>Dec</t>
        </is>
      </c>
      <c r="Z724" s="87" t="n">
        <v>2025</v>
      </c>
      <c r="AA724" s="47">
        <f>IF(F724="",0,F724)</f>
        <v/>
      </c>
      <c r="AB724" s="87">
        <f>IF(AA724&gt;=0.1,1,0)</f>
        <v/>
      </c>
      <c r="AC724" s="87" t="n">
        <v>0</v>
      </c>
      <c r="AD724" s="47">
        <f>IF(U724="",0,U724)</f>
        <v/>
      </c>
      <c r="AE724" s="87">
        <f>IF(OR(V724=1,W724=1),1,0)</f>
        <v/>
      </c>
      <c r="AF724" s="87" t="n">
        <v>0</v>
      </c>
      <c r="AG724" t="n">
        <v>1848</v>
      </c>
      <c r="AH724" t="n">
        <v>36839</v>
      </c>
      <c r="AI724" t="n">
        <v>0</v>
      </c>
      <c r="AJ724" s="88">
        <f>IF(OR(AG724&lt;=0,AH724&lt;=0),"",LN(AG724)-LN(AH724))</f>
        <v/>
      </c>
      <c r="AK724" t="n">
        <v>5128</v>
      </c>
      <c r="AL724" t="n">
        <v>33559</v>
      </c>
      <c r="AM724" s="88">
        <f>IF(OR(AK724&lt;=0,AL724&lt;=0),"",LN(AK724)-LN(AL724))</f>
        <v/>
      </c>
      <c r="AN724" t="n">
        <v>1732</v>
      </c>
      <c r="AO724" t="n">
        <v>35252</v>
      </c>
      <c r="AP724" s="88">
        <f>IF(OR(AN724&lt;=0,AO724&lt;=0),"",LN(AN724)-LN(AO724))</f>
        <v/>
      </c>
      <c r="AQ724" t="n">
        <v>1804</v>
      </c>
      <c r="AR724" t="n">
        <v>36839</v>
      </c>
      <c r="AS724" s="88">
        <f>IF(OR(AQ724&lt;=0,AR724&lt;=0),"",LN(AQ724)-LN(AR724))</f>
        <v/>
      </c>
      <c r="AT724" t="n">
        <v>1642</v>
      </c>
      <c r="AU724" t="n">
        <v>36795</v>
      </c>
      <c r="AV724" t="n">
        <v>250</v>
      </c>
      <c r="AW724" t="n">
        <v>101</v>
      </c>
      <c r="AX724" t="n">
        <v>1731</v>
      </c>
      <c r="AY724" s="88">
        <f>IF(OR(AT724&lt;=0,AU724&lt;=0),"",LN(AT724)-LN(AU724))</f>
        <v/>
      </c>
      <c r="AZ724" s="46" t="n">
        <v>0</v>
      </c>
      <c r="BA724" s="46" t="n">
        <v>1.56</v>
      </c>
      <c r="BB724" s="47" t="n">
        <v>9</v>
      </c>
    </row>
    <row r="725">
      <c r="A725" s="48" t="n">
        <v>46015</v>
      </c>
      <c r="B725" s="49" t="n">
        <v>73410</v>
      </c>
      <c r="C725" s="50" t="n">
        <v>19.458333</v>
      </c>
      <c r="D725" s="51" t="inlineStr">
        <is>
          <t>Moderate</t>
        </is>
      </c>
      <c r="E725" s="52" t="n">
        <v>2.8</v>
      </c>
      <c r="F725" s="52" t="n"/>
      <c r="G725" s="51" t="inlineStr">
        <is>
          <t>Wed</t>
        </is>
      </c>
      <c r="H725" s="51" t="inlineStr">
        <is>
          <t>Weekday</t>
        </is>
      </c>
      <c r="I725" s="51" t="inlineStr">
        <is>
          <t>Winter</t>
        </is>
      </c>
      <c r="J725" s="51" t="n">
        <v>24</v>
      </c>
      <c r="K725" s="51" t="inlineStr">
        <is>
          <t>강수량 공란</t>
        </is>
      </c>
      <c r="L725" s="46" t="n">
        <v>26.33333333333333</v>
      </c>
      <c r="M725" t="inlineStr">
        <is>
          <t>Good</t>
        </is>
      </c>
      <c r="N725" s="87" t="n">
        <v>24</v>
      </c>
      <c r="O725" s="87" t="n">
        <v>0</v>
      </c>
      <c r="P725" s="87" t="n">
        <v>0</v>
      </c>
      <c r="Q725" s="87" t="n">
        <v>0</v>
      </c>
      <c r="R725" s="87" t="n">
        <v>0</v>
      </c>
      <c r="S725" s="47" t="n">
        <v>2.4</v>
      </c>
      <c r="T725" s="47" t="n">
        <v>79</v>
      </c>
      <c r="U725" s="47" t="n"/>
      <c r="V725" s="87" t="n">
        <v>0</v>
      </c>
      <c r="W725" s="87" t="n">
        <v>0</v>
      </c>
      <c r="Y725" t="inlineStr">
        <is>
          <t>Dec</t>
        </is>
      </c>
      <c r="Z725" s="87" t="n">
        <v>2025</v>
      </c>
      <c r="AA725" s="47">
        <f>IF(F725="",0,F725)</f>
        <v/>
      </c>
      <c r="AB725" s="87">
        <f>IF(AA725&gt;=0.1,1,0)</f>
        <v/>
      </c>
      <c r="AC725" s="87" t="n">
        <v>0</v>
      </c>
      <c r="AD725" s="47">
        <f>IF(U725="",0,U725)</f>
        <v/>
      </c>
      <c r="AE725" s="87">
        <f>IF(OR(V725=1,W725=1),1,0)</f>
        <v/>
      </c>
      <c r="AF725" s="87" t="n">
        <v>0</v>
      </c>
      <c r="AG725" t="n">
        <v>3521</v>
      </c>
      <c r="AH725" t="n">
        <v>69889</v>
      </c>
      <c r="AI725" t="n">
        <v>0</v>
      </c>
      <c r="AJ725" s="88">
        <f>IF(OR(AG725&lt;=0,AH725&lt;=0),"",LN(AG725)-LN(AH725))</f>
        <v/>
      </c>
      <c r="AK725" t="n">
        <v>10438</v>
      </c>
      <c r="AL725" t="n">
        <v>62972</v>
      </c>
      <c r="AM725" s="88">
        <f>IF(OR(AK725&lt;=0,AL725&lt;=0),"",LN(AK725)-LN(AL725))</f>
        <v/>
      </c>
      <c r="AN725" t="n">
        <v>3115</v>
      </c>
      <c r="AO725" t="n">
        <v>66659</v>
      </c>
      <c r="AP725" s="88">
        <f>IF(OR(AN725&lt;=0,AO725&lt;=0),"",LN(AN725)-LN(AO725))</f>
        <v/>
      </c>
      <c r="AQ725" t="n">
        <v>3441</v>
      </c>
      <c r="AR725" t="n">
        <v>69889</v>
      </c>
      <c r="AS725" s="88">
        <f>IF(OR(AQ725&lt;=0,AR725&lt;=0),"",LN(AQ725)-LN(AR725))</f>
        <v/>
      </c>
      <c r="AT725" t="n">
        <v>4545</v>
      </c>
      <c r="AU725" t="n">
        <v>68290</v>
      </c>
      <c r="AV725" t="n">
        <v>576</v>
      </c>
      <c r="AW725" t="n">
        <v>295</v>
      </c>
      <c r="AX725" t="n">
        <v>3190</v>
      </c>
      <c r="AY725" s="88">
        <f>IF(OR(AT725&lt;=0,AU725&lt;=0),"",LN(AT725)-LN(AU725))</f>
        <v/>
      </c>
      <c r="AZ725" s="46" t="n">
        <v>5</v>
      </c>
      <c r="BA725" s="46" t="n">
        <v>8.27</v>
      </c>
      <c r="BB725" s="47" t="n">
        <v>4.1</v>
      </c>
    </row>
    <row r="726">
      <c r="A726" s="48" t="n">
        <v>46016</v>
      </c>
      <c r="B726" s="49" t="n">
        <v>32281</v>
      </c>
      <c r="C726" s="50" t="n">
        <v>15.166667</v>
      </c>
      <c r="D726" s="51" t="inlineStr">
        <is>
          <t>Moderate</t>
        </is>
      </c>
      <c r="E726" s="52" t="n">
        <v>-3.6</v>
      </c>
      <c r="F726" s="52" t="n"/>
      <c r="G726" s="51" t="inlineStr">
        <is>
          <t>Thu</t>
        </is>
      </c>
      <c r="H726" s="51" t="inlineStr">
        <is>
          <t>Weekday</t>
        </is>
      </c>
      <c r="I726" s="51" t="inlineStr">
        <is>
          <t>Winter</t>
        </is>
      </c>
      <c r="J726" s="51" t="n">
        <v>24</v>
      </c>
      <c r="K726" s="51" t="inlineStr">
        <is>
          <t>강수량 공란</t>
        </is>
      </c>
      <c r="L726" s="46" t="n">
        <v>26.16666666666667</v>
      </c>
      <c r="M726" t="inlineStr">
        <is>
          <t>Good</t>
        </is>
      </c>
      <c r="N726" s="87" t="n">
        <v>24</v>
      </c>
      <c r="O726" s="87" t="n">
        <v>0</v>
      </c>
      <c r="P726" s="87" t="n">
        <v>0</v>
      </c>
      <c r="Q726" s="87" t="n">
        <v>0</v>
      </c>
      <c r="R726" s="87" t="n">
        <v>0</v>
      </c>
      <c r="S726" s="47" t="n">
        <v>3.9</v>
      </c>
      <c r="T726" s="47" t="n">
        <v>54.1</v>
      </c>
      <c r="U726" s="47" t="n"/>
      <c r="V726" s="87" t="n">
        <v>0</v>
      </c>
      <c r="W726" s="87" t="n">
        <v>1</v>
      </c>
      <c r="X726" t="inlineStr">
        <is>
          <t>성탄절</t>
        </is>
      </c>
      <c r="Y726" t="inlineStr">
        <is>
          <t>Dec</t>
        </is>
      </c>
      <c r="Z726" s="87" t="n">
        <v>2025</v>
      </c>
      <c r="AA726" s="47">
        <f>IF(F726="",0,F726)</f>
        <v/>
      </c>
      <c r="AB726" s="87">
        <f>IF(AA726&gt;=0.1,1,0)</f>
        <v/>
      </c>
      <c r="AC726" s="87" t="n">
        <v>0</v>
      </c>
      <c r="AD726" s="47">
        <f>IF(U726="",0,U726)</f>
        <v/>
      </c>
      <c r="AE726" s="87">
        <f>IF(OR(V726=1,W726=1),1,0)</f>
        <v/>
      </c>
      <c r="AF726" s="87" t="n">
        <v>0</v>
      </c>
      <c r="AG726" t="n">
        <v>1666</v>
      </c>
      <c r="AH726" t="n">
        <v>30615</v>
      </c>
      <c r="AI726" t="n">
        <v>0</v>
      </c>
      <c r="AJ726" s="88">
        <f>IF(OR(AG726&lt;=0,AH726&lt;=0),"",LN(AG726)-LN(AH726))</f>
        <v/>
      </c>
      <c r="AK726" t="n">
        <v>4466</v>
      </c>
      <c r="AL726" t="n">
        <v>27815</v>
      </c>
      <c r="AM726" s="88">
        <f>IF(OR(AK726&lt;=0,AL726&lt;=0),"",LN(AK726)-LN(AL726))</f>
        <v/>
      </c>
      <c r="AN726" t="n">
        <v>1421</v>
      </c>
      <c r="AO726" t="n">
        <v>29298</v>
      </c>
      <c r="AP726" s="88">
        <f>IF(OR(AN726&lt;=0,AO726&lt;=0),"",LN(AN726)-LN(AO726))</f>
        <v/>
      </c>
      <c r="AQ726" t="n">
        <v>1627</v>
      </c>
      <c r="AR726" t="n">
        <v>30615</v>
      </c>
      <c r="AS726" s="88">
        <f>IF(OR(AQ726&lt;=0,AR726&lt;=0),"",LN(AQ726)-LN(AR726))</f>
        <v/>
      </c>
      <c r="AT726" t="n">
        <v>2655</v>
      </c>
      <c r="AU726" t="n">
        <v>29439</v>
      </c>
      <c r="AV726" t="n">
        <v>187</v>
      </c>
      <c r="AW726" t="n">
        <v>220</v>
      </c>
      <c r="AX726" t="n">
        <v>1435</v>
      </c>
      <c r="AY726" s="88">
        <f>IF(OR(AT726&lt;=0,AU726&lt;=0),"",LN(AT726)-LN(AU726))</f>
        <v/>
      </c>
      <c r="AZ726" s="46" t="n">
        <v>8.699999999999999</v>
      </c>
      <c r="BA726" s="46" t="n">
        <v>11.31</v>
      </c>
      <c r="BB726" s="47" t="n">
        <v>0.3</v>
      </c>
    </row>
    <row r="727">
      <c r="A727" s="48" t="n">
        <v>46017</v>
      </c>
      <c r="B727" s="49" t="n">
        <v>45681</v>
      </c>
      <c r="C727" s="50" t="n">
        <v>8.125</v>
      </c>
      <c r="D727" s="51" t="inlineStr">
        <is>
          <t>Good</t>
        </is>
      </c>
      <c r="E727" s="52" t="n">
        <v>-8.199999999999999</v>
      </c>
      <c r="F727" s="52" t="n"/>
      <c r="G727" s="51" t="inlineStr">
        <is>
          <t>Fri</t>
        </is>
      </c>
      <c r="H727" s="51" t="inlineStr">
        <is>
          <t>Weekday</t>
        </is>
      </c>
      <c r="I727" s="51" t="inlineStr">
        <is>
          <t>Winter</t>
        </is>
      </c>
      <c r="J727" s="51" t="n">
        <v>24</v>
      </c>
      <c r="K727" s="51" t="inlineStr">
        <is>
          <t>강수량 공란</t>
        </is>
      </c>
      <c r="L727" s="46" t="n">
        <v>18.16666666666667</v>
      </c>
      <c r="M727" t="inlineStr">
        <is>
          <t>Good</t>
        </is>
      </c>
      <c r="N727" s="87" t="n">
        <v>24</v>
      </c>
      <c r="O727" s="87" t="n">
        <v>0</v>
      </c>
      <c r="P727" s="87" t="n">
        <v>0</v>
      </c>
      <c r="Q727" s="87" t="n">
        <v>0</v>
      </c>
      <c r="R727" s="87" t="n">
        <v>0</v>
      </c>
      <c r="S727" s="47" t="n">
        <v>2.8</v>
      </c>
      <c r="T727" s="47" t="n">
        <v>38.9</v>
      </c>
      <c r="U727" s="47" t="n"/>
      <c r="V727" s="87" t="n">
        <v>0</v>
      </c>
      <c r="W727" s="87" t="n">
        <v>0</v>
      </c>
      <c r="Y727" t="inlineStr">
        <is>
          <t>Dec</t>
        </is>
      </c>
      <c r="Z727" s="87" t="n">
        <v>2025</v>
      </c>
      <c r="AA727" s="47">
        <f>IF(F727="",0,F727)</f>
        <v/>
      </c>
      <c r="AB727" s="87">
        <f>IF(AA727&gt;=0.1,1,0)</f>
        <v/>
      </c>
      <c r="AC727" s="87" t="n">
        <v>0</v>
      </c>
      <c r="AD727" s="47">
        <f>IF(U727="",0,U727)</f>
        <v/>
      </c>
      <c r="AE727" s="87">
        <f>IF(OR(V727=1,W727=1),1,0)</f>
        <v/>
      </c>
      <c r="AF727" s="87" t="n">
        <v>0</v>
      </c>
      <c r="AG727" t="n">
        <v>2013</v>
      </c>
      <c r="AH727" t="n">
        <v>43668</v>
      </c>
      <c r="AI727" t="n">
        <v>0</v>
      </c>
      <c r="AJ727" s="88">
        <f>IF(OR(AG727&lt;=0,AH727&lt;=0),"",LN(AG727)-LN(AH727))</f>
        <v/>
      </c>
      <c r="AK727" t="n">
        <v>6127</v>
      </c>
      <c r="AL727" t="n">
        <v>39554</v>
      </c>
      <c r="AM727" s="88">
        <f>IF(OR(AK727&lt;=0,AL727&lt;=0),"",LN(AK727)-LN(AL727))</f>
        <v/>
      </c>
      <c r="AN727" t="n">
        <v>1842</v>
      </c>
      <c r="AO727" t="n">
        <v>41543</v>
      </c>
      <c r="AP727" s="88">
        <f>IF(OR(AN727&lt;=0,AO727&lt;=0),"",LN(AN727)-LN(AO727))</f>
        <v/>
      </c>
      <c r="AQ727" t="n">
        <v>1972</v>
      </c>
      <c r="AR727" t="n">
        <v>43668</v>
      </c>
      <c r="AS727" s="88">
        <f>IF(OR(AQ727&lt;=0,AR727&lt;=0),"",LN(AQ727)-LN(AR727))</f>
        <v/>
      </c>
      <c r="AT727" t="n">
        <v>2591</v>
      </c>
      <c r="AU727" t="n">
        <v>42741</v>
      </c>
      <c r="AV727" t="n">
        <v>349</v>
      </c>
      <c r="AW727" t="n">
        <v>154</v>
      </c>
      <c r="AX727" t="n">
        <v>1839</v>
      </c>
      <c r="AY727" s="88">
        <f>IF(OR(AT727&lt;=0,AU727&lt;=0),"",LN(AT727)-LN(AU727))</f>
        <v/>
      </c>
      <c r="AZ727" s="46" t="n">
        <v>9</v>
      </c>
      <c r="BA727" s="46" t="n">
        <v>11.69</v>
      </c>
      <c r="BB727" s="47" t="n">
        <v>0.4</v>
      </c>
    </row>
    <row r="728">
      <c r="A728" s="48" t="n">
        <v>46018</v>
      </c>
      <c r="B728" s="49" t="n">
        <v>42381</v>
      </c>
      <c r="C728" s="50" t="n">
        <v>16.458333</v>
      </c>
      <c r="D728" s="51" t="inlineStr">
        <is>
          <t>Moderate</t>
        </is>
      </c>
      <c r="E728" s="52" t="n">
        <v>-2.6</v>
      </c>
      <c r="F728" s="52" t="n">
        <v>0</v>
      </c>
      <c r="G728" s="51" t="inlineStr">
        <is>
          <t>Sat</t>
        </is>
      </c>
      <c r="H728" s="51" t="inlineStr">
        <is>
          <t>Weekend</t>
        </is>
      </c>
      <c r="I728" s="51" t="inlineStr">
        <is>
          <t>Winter</t>
        </is>
      </c>
      <c r="J728" s="51" t="n">
        <v>24</v>
      </c>
      <c r="K728" s="51" t="inlineStr">
        <is>
          <t>OK</t>
        </is>
      </c>
      <c r="L728" s="46" t="n">
        <v>28.54166666666667</v>
      </c>
      <c r="M728" t="inlineStr">
        <is>
          <t>Good</t>
        </is>
      </c>
      <c r="N728" s="87" t="n">
        <v>24</v>
      </c>
      <c r="O728" s="87" t="n">
        <v>0</v>
      </c>
      <c r="P728" s="87" t="n">
        <v>0</v>
      </c>
      <c r="Q728" s="87" t="n">
        <v>0</v>
      </c>
      <c r="R728" s="87" t="n">
        <v>0</v>
      </c>
      <c r="S728" s="47" t="n">
        <v>2.1</v>
      </c>
      <c r="T728" s="47" t="n">
        <v>52.1</v>
      </c>
      <c r="U728" s="47" t="n"/>
      <c r="V728" s="87" t="n">
        <v>1</v>
      </c>
      <c r="W728" s="87" t="n">
        <v>0</v>
      </c>
      <c r="Y728" t="inlineStr">
        <is>
          <t>Dec</t>
        </is>
      </c>
      <c r="Z728" s="87" t="n">
        <v>2025</v>
      </c>
      <c r="AA728" s="47">
        <f>IF(F728="",0,F728)</f>
        <v/>
      </c>
      <c r="AB728" s="87">
        <f>IF(AA728&gt;=0.1,1,0)</f>
        <v/>
      </c>
      <c r="AC728" s="87" t="n">
        <v>1</v>
      </c>
      <c r="AD728" s="47">
        <f>IF(U728="",0,U728)</f>
        <v/>
      </c>
      <c r="AE728" s="87">
        <f>IF(OR(V728=1,W728=1),1,0)</f>
        <v/>
      </c>
      <c r="AF728" s="87" t="n">
        <v>0</v>
      </c>
      <c r="AG728" t="n">
        <v>2105</v>
      </c>
      <c r="AH728" t="n">
        <v>40276</v>
      </c>
      <c r="AI728" t="n">
        <v>0</v>
      </c>
      <c r="AJ728" s="88">
        <f>IF(OR(AG728&lt;=0,AH728&lt;=0),"",LN(AG728)-LN(AH728))</f>
        <v/>
      </c>
      <c r="AK728" t="n">
        <v>5862</v>
      </c>
      <c r="AL728" t="n">
        <v>36519</v>
      </c>
      <c r="AM728" s="88">
        <f>IF(OR(AK728&lt;=0,AL728&lt;=0),"",LN(AK728)-LN(AL728))</f>
        <v/>
      </c>
      <c r="AN728" t="n">
        <v>1769</v>
      </c>
      <c r="AO728" t="n">
        <v>38404</v>
      </c>
      <c r="AP728" s="88">
        <f>IF(OR(AN728&lt;=0,AO728&lt;=0),"",LN(AN728)-LN(AO728))</f>
        <v/>
      </c>
      <c r="AQ728" t="n">
        <v>2060</v>
      </c>
      <c r="AR728" t="n">
        <v>40276</v>
      </c>
      <c r="AS728" s="88">
        <f>IF(OR(AQ728&lt;=0,AR728&lt;=0),"",LN(AQ728)-LN(AR728))</f>
        <v/>
      </c>
      <c r="AT728" t="n">
        <v>3138</v>
      </c>
      <c r="AU728" t="n">
        <v>38993</v>
      </c>
      <c r="AV728" t="n">
        <v>250</v>
      </c>
      <c r="AW728" t="n">
        <v>244</v>
      </c>
      <c r="AX728" t="n">
        <v>1850</v>
      </c>
      <c r="AY728" s="88">
        <f>IF(OR(AT728&lt;=0,AU728&lt;=0),"",LN(AT728)-LN(AU728))</f>
        <v/>
      </c>
      <c r="AZ728" s="46" t="n">
        <v>2</v>
      </c>
      <c r="BA728" s="46" t="n">
        <v>4.71</v>
      </c>
      <c r="BB728" s="47" t="n">
        <v>7.8</v>
      </c>
    </row>
    <row r="729">
      <c r="A729" s="48" t="n">
        <v>46019</v>
      </c>
      <c r="B729" s="49" t="n">
        <v>40774</v>
      </c>
      <c r="C729" s="50" t="n">
        <v>29.458333</v>
      </c>
      <c r="D729" s="51" t="inlineStr">
        <is>
          <t>Moderate</t>
        </is>
      </c>
      <c r="E729" s="52" t="n">
        <v>3.2</v>
      </c>
      <c r="F729" s="52" t="n">
        <v>0.6</v>
      </c>
      <c r="G729" s="51" t="inlineStr">
        <is>
          <t>Sun</t>
        </is>
      </c>
      <c r="H729" s="51" t="inlineStr">
        <is>
          <t>Weekend</t>
        </is>
      </c>
      <c r="I729" s="51" t="inlineStr">
        <is>
          <t>Winter</t>
        </is>
      </c>
      <c r="J729" s="51" t="n">
        <v>24</v>
      </c>
      <c r="K729" s="51" t="inlineStr">
        <is>
          <t>OK</t>
        </is>
      </c>
      <c r="L729" s="46" t="n">
        <v>42.08333333333334</v>
      </c>
      <c r="M729" t="inlineStr">
        <is>
          <t>Moderate</t>
        </is>
      </c>
      <c r="N729" s="87" t="n">
        <v>24</v>
      </c>
      <c r="O729" s="87" t="n">
        <v>0</v>
      </c>
      <c r="P729" s="87" t="n">
        <v>0</v>
      </c>
      <c r="Q729" s="87" t="n">
        <v>0</v>
      </c>
      <c r="R729" s="87" t="n">
        <v>0</v>
      </c>
      <c r="S729" s="47" t="n">
        <v>2</v>
      </c>
      <c r="T729" s="47" t="n">
        <v>76.40000000000001</v>
      </c>
      <c r="U729" s="47" t="n"/>
      <c r="V729" s="87" t="n">
        <v>1</v>
      </c>
      <c r="W729" s="87" t="n">
        <v>0</v>
      </c>
      <c r="Y729" t="inlineStr">
        <is>
          <t>Dec</t>
        </is>
      </c>
      <c r="Z729" s="87" t="n">
        <v>2025</v>
      </c>
      <c r="AA729" s="47">
        <f>IF(F729="",0,F729)</f>
        <v/>
      </c>
      <c r="AB729" s="87">
        <f>IF(AA729&gt;=0.1,1,0)</f>
        <v/>
      </c>
      <c r="AC729" s="87" t="n">
        <v>0</v>
      </c>
      <c r="AD729" s="47">
        <f>IF(U729="",0,U729)</f>
        <v/>
      </c>
      <c r="AE729" s="87">
        <f>IF(OR(V729=1,W729=1),1,0)</f>
        <v/>
      </c>
      <c r="AF729" s="87" t="n">
        <v>0</v>
      </c>
      <c r="AG729" t="n">
        <v>2555</v>
      </c>
      <c r="AH729" t="n">
        <v>38219</v>
      </c>
      <c r="AI729" t="n">
        <v>0</v>
      </c>
      <c r="AJ729" s="88">
        <f>IF(OR(AG729&lt;=0,AH729&lt;=0),"",LN(AG729)-LN(AH729))</f>
        <v/>
      </c>
      <c r="AK729" t="n">
        <v>6150</v>
      </c>
      <c r="AL729" t="n">
        <v>34624</v>
      </c>
      <c r="AM729" s="88">
        <f>IF(OR(AK729&lt;=0,AL729&lt;=0),"",LN(AK729)-LN(AL729))</f>
        <v/>
      </c>
      <c r="AN729" t="n">
        <v>2077</v>
      </c>
      <c r="AO729" t="n">
        <v>36613</v>
      </c>
      <c r="AP729" s="88">
        <f>IF(OR(AN729&lt;=0,AO729&lt;=0),"",LN(AN729)-LN(AO729))</f>
        <v/>
      </c>
      <c r="AQ729" t="n">
        <v>2503</v>
      </c>
      <c r="AR729" t="n">
        <v>38219</v>
      </c>
      <c r="AS729" s="88">
        <f>IF(OR(AQ729&lt;=0,AR729&lt;=0),"",LN(AQ729)-LN(AR729))</f>
        <v/>
      </c>
      <c r="AT729" t="n">
        <v>3194</v>
      </c>
      <c r="AU729" t="n">
        <v>37358</v>
      </c>
      <c r="AV729" t="n">
        <v>222</v>
      </c>
      <c r="AW729" t="n">
        <v>308</v>
      </c>
      <c r="AX729" t="n">
        <v>2225</v>
      </c>
      <c r="AY729" s="88">
        <f>IF(OR(AT729&lt;=0,AU729&lt;=0),"",LN(AT729)-LN(AU729))</f>
        <v/>
      </c>
      <c r="AZ729" s="46" t="n">
        <v>0.7</v>
      </c>
      <c r="BA729" s="46" t="n">
        <v>4.89</v>
      </c>
      <c r="BB729" s="47" t="n">
        <v>8.300000000000001</v>
      </c>
    </row>
    <row r="730">
      <c r="A730" s="48" t="n">
        <v>46020</v>
      </c>
      <c r="B730" s="49" t="n">
        <v>66651</v>
      </c>
      <c r="C730" s="50" t="n">
        <v>42.708333</v>
      </c>
      <c r="D730" s="51" t="inlineStr">
        <is>
          <t>Bad</t>
        </is>
      </c>
      <c r="E730" s="52" t="n">
        <v>4.9</v>
      </c>
      <c r="F730" s="52" t="n">
        <v>0.3</v>
      </c>
      <c r="G730" s="51" t="inlineStr">
        <is>
          <t>Mon</t>
        </is>
      </c>
      <c r="H730" s="51" t="inlineStr">
        <is>
          <t>Weekday</t>
        </is>
      </c>
      <c r="I730" s="51" t="inlineStr">
        <is>
          <t>Winter</t>
        </is>
      </c>
      <c r="J730" s="51" t="n">
        <v>24</v>
      </c>
      <c r="K730" s="51" t="inlineStr">
        <is>
          <t>OK</t>
        </is>
      </c>
      <c r="L730" s="46" t="n">
        <v>59.875</v>
      </c>
      <c r="M730" t="inlineStr">
        <is>
          <t>Moderate</t>
        </is>
      </c>
      <c r="N730" s="87" t="n">
        <v>24</v>
      </c>
      <c r="O730" s="87" t="n">
        <v>0</v>
      </c>
      <c r="P730" s="87" t="n">
        <v>0</v>
      </c>
      <c r="Q730" s="87" t="n">
        <v>0</v>
      </c>
      <c r="R730" s="87" t="n">
        <v>0</v>
      </c>
      <c r="S730" s="47" t="n">
        <v>2.1</v>
      </c>
      <c r="T730" s="47" t="n">
        <v>74.09999999999999</v>
      </c>
      <c r="U730" s="47" t="n"/>
      <c r="V730" s="87" t="n">
        <v>0</v>
      </c>
      <c r="W730" s="87" t="n">
        <v>0</v>
      </c>
      <c r="Y730" t="inlineStr">
        <is>
          <t>Dec</t>
        </is>
      </c>
      <c r="Z730" s="87" t="n">
        <v>2025</v>
      </c>
      <c r="AA730" s="47">
        <f>IF(F730="",0,F730)</f>
        <v/>
      </c>
      <c r="AB730" s="87">
        <f>IF(AA730&gt;=0.1,1,0)</f>
        <v/>
      </c>
      <c r="AC730" s="87" t="n">
        <v>0</v>
      </c>
      <c r="AD730" s="47">
        <f>IF(U730="",0,U730)</f>
        <v/>
      </c>
      <c r="AE730" s="87">
        <f>IF(OR(V730=1,W730=1),1,0)</f>
        <v/>
      </c>
      <c r="AF730" s="87" t="n">
        <v>0</v>
      </c>
      <c r="AG730" t="n">
        <v>3292</v>
      </c>
      <c r="AH730" t="n">
        <v>63359</v>
      </c>
      <c r="AI730" t="n">
        <v>0</v>
      </c>
      <c r="AJ730" s="88">
        <f>IF(OR(AG730&lt;=0,AH730&lt;=0),"",LN(AG730)-LN(AH730))</f>
        <v/>
      </c>
      <c r="AK730" t="n">
        <v>9633</v>
      </c>
      <c r="AL730" t="n">
        <v>57018</v>
      </c>
      <c r="AM730" s="88">
        <f>IF(OR(AK730&lt;=0,AL730&lt;=0),"",LN(AK730)-LN(AL730))</f>
        <v/>
      </c>
      <c r="AN730" t="n">
        <v>2923</v>
      </c>
      <c r="AO730" t="n">
        <v>60280</v>
      </c>
      <c r="AP730" s="88">
        <f>IF(OR(AN730&lt;=0,AO730&lt;=0),"",LN(AN730)-LN(AO730))</f>
        <v/>
      </c>
      <c r="AQ730" t="n">
        <v>3249</v>
      </c>
      <c r="AR730" t="n">
        <v>63359</v>
      </c>
      <c r="AS730" s="88">
        <f>IF(OR(AQ730&lt;=0,AR730&lt;=0),"",LN(AQ730)-LN(AR730))</f>
        <v/>
      </c>
      <c r="AT730" t="n">
        <v>4210</v>
      </c>
      <c r="AU730" t="n">
        <v>61995</v>
      </c>
      <c r="AV730" t="n">
        <v>447</v>
      </c>
      <c r="AW730" t="n">
        <v>284</v>
      </c>
      <c r="AX730" t="n">
        <v>2990</v>
      </c>
      <c r="AY730" s="88">
        <f>IF(OR(AT730&lt;=0,AU730&lt;=0),"",LN(AT730)-LN(AU730))</f>
        <v/>
      </c>
      <c r="AZ730" s="46" t="n">
        <v>4.9</v>
      </c>
      <c r="BA730" s="46" t="n">
        <v>6.42</v>
      </c>
      <c r="BB730" s="47" t="n">
        <v>3.1</v>
      </c>
    </row>
    <row r="731">
      <c r="A731" s="48" t="n">
        <v>46021</v>
      </c>
      <c r="B731" s="49" t="n">
        <v>71025</v>
      </c>
      <c r="C731" s="50" t="n">
        <v>9.25</v>
      </c>
      <c r="D731" s="51" t="inlineStr">
        <is>
          <t>Good</t>
        </is>
      </c>
      <c r="E731" s="52" t="n">
        <v>-0.5</v>
      </c>
      <c r="F731" s="52" t="n"/>
      <c r="G731" s="51" t="inlineStr">
        <is>
          <t>Tue</t>
        </is>
      </c>
      <c r="H731" s="51" t="inlineStr">
        <is>
          <t>Weekday</t>
        </is>
      </c>
      <c r="I731" s="51" t="inlineStr">
        <is>
          <t>Winter</t>
        </is>
      </c>
      <c r="J731" s="51" t="n">
        <v>24</v>
      </c>
      <c r="K731" s="51" t="inlineStr">
        <is>
          <t>강수량 공란</t>
        </is>
      </c>
      <c r="L731" s="46" t="n">
        <v>19.45833333333333</v>
      </c>
      <c r="M731" t="inlineStr">
        <is>
          <t>Good</t>
        </is>
      </c>
      <c r="N731" s="87" t="n">
        <v>24</v>
      </c>
      <c r="O731" s="87" t="n">
        <v>0</v>
      </c>
      <c r="P731" s="87" t="n">
        <v>0</v>
      </c>
      <c r="Q731" s="87" t="n">
        <v>0</v>
      </c>
      <c r="R731" s="87" t="n">
        <v>0</v>
      </c>
      <c r="S731" s="47" t="n">
        <v>2.4</v>
      </c>
      <c r="T731" s="47" t="n">
        <v>45.1</v>
      </c>
      <c r="U731" s="47" t="n"/>
      <c r="V731" s="87" t="n">
        <v>0</v>
      </c>
      <c r="W731" s="87" t="n">
        <v>0</v>
      </c>
      <c r="Y731" t="inlineStr">
        <is>
          <t>Dec</t>
        </is>
      </c>
      <c r="Z731" s="87" t="n">
        <v>2025</v>
      </c>
      <c r="AA731" s="47">
        <f>IF(F731="",0,F731)</f>
        <v/>
      </c>
      <c r="AB731" s="87">
        <f>IF(AA731&gt;=0.1,1,0)</f>
        <v/>
      </c>
      <c r="AC731" s="87" t="n">
        <v>0</v>
      </c>
      <c r="AD731" s="47">
        <f>IF(U731="",0,U731)</f>
        <v/>
      </c>
      <c r="AE731" s="87">
        <f>IF(OR(V731=1,W731=1),1,0)</f>
        <v/>
      </c>
      <c r="AF731" s="87" t="n">
        <v>0</v>
      </c>
      <c r="AG731" t="n">
        <v>3484</v>
      </c>
      <c r="AH731" t="n">
        <v>67541</v>
      </c>
      <c r="AI731" t="n">
        <v>0</v>
      </c>
      <c r="AJ731" s="88">
        <f>IF(OR(AG731&lt;=0,AH731&lt;=0),"",LN(AG731)-LN(AH731))</f>
        <v/>
      </c>
      <c r="AK731" t="n">
        <v>9858</v>
      </c>
      <c r="AL731" t="n">
        <v>61167</v>
      </c>
      <c r="AM731" s="88">
        <f>IF(OR(AK731&lt;=0,AL731&lt;=0),"",LN(AK731)-LN(AL731))</f>
        <v/>
      </c>
      <c r="AN731" t="n">
        <v>3120</v>
      </c>
      <c r="AO731" t="n">
        <v>64272</v>
      </c>
      <c r="AP731" s="88">
        <f>IF(OR(AN731&lt;=0,AO731&lt;=0),"",LN(AN731)-LN(AO731))</f>
        <v/>
      </c>
      <c r="AQ731" t="n">
        <v>3424</v>
      </c>
      <c r="AR731" t="n">
        <v>67541</v>
      </c>
      <c r="AS731" s="88">
        <f>IF(OR(AQ731&lt;=0,AR731&lt;=0),"",LN(AQ731)-LN(AR731))</f>
        <v/>
      </c>
      <c r="AT731" t="n">
        <v>4085</v>
      </c>
      <c r="AU731" t="n">
        <v>66504</v>
      </c>
      <c r="AV731" t="n">
        <v>437</v>
      </c>
      <c r="AW731" t="n">
        <v>281</v>
      </c>
      <c r="AX731" t="n">
        <v>3173</v>
      </c>
      <c r="AY731" s="88">
        <f>IF(OR(AT731&lt;=0,AU731&lt;=0),"",LN(AT731)-LN(AU731))</f>
        <v/>
      </c>
      <c r="AZ731" s="46" t="n">
        <v>9</v>
      </c>
      <c r="BA731" s="46" t="n">
        <v>11.29</v>
      </c>
      <c r="BB731" s="47" t="n">
        <v>1.9</v>
      </c>
    </row>
    <row r="732">
      <c r="A732" s="48" t="n">
        <v>46022</v>
      </c>
      <c r="B732" s="49" t="n">
        <v>55569</v>
      </c>
      <c r="C732" s="50" t="n">
        <v>8.458333</v>
      </c>
      <c r="D732" s="51" t="inlineStr">
        <is>
          <t>Good</t>
        </is>
      </c>
      <c r="E732" s="52" t="n">
        <v>-5.6</v>
      </c>
      <c r="F732" s="52" t="n"/>
      <c r="G732" s="51" t="inlineStr">
        <is>
          <t>Wed</t>
        </is>
      </c>
      <c r="H732" s="51" t="inlineStr">
        <is>
          <t>Weekday</t>
        </is>
      </c>
      <c r="I732" s="51" t="inlineStr">
        <is>
          <t>Winter</t>
        </is>
      </c>
      <c r="J732" s="51" t="n">
        <v>24</v>
      </c>
      <c r="K732" s="51" t="inlineStr">
        <is>
          <t>강수량 공란</t>
        </is>
      </c>
      <c r="L732" s="46" t="n">
        <v>20.625</v>
      </c>
      <c r="M732" t="inlineStr">
        <is>
          <t>Good</t>
        </is>
      </c>
      <c r="N732" s="87" t="n">
        <v>24</v>
      </c>
      <c r="O732" s="87" t="n">
        <v>0</v>
      </c>
      <c r="P732" s="87" t="n">
        <v>0</v>
      </c>
      <c r="Q732" s="87" t="n">
        <v>0</v>
      </c>
      <c r="R732" s="87" t="n">
        <v>0</v>
      </c>
      <c r="S732" s="47" t="n">
        <v>3.1</v>
      </c>
      <c r="T732" s="47" t="n">
        <v>40.9</v>
      </c>
      <c r="U732" s="47" t="n"/>
      <c r="V732" s="87" t="n">
        <v>0</v>
      </c>
      <c r="W732" s="87" t="n">
        <v>0</v>
      </c>
      <c r="Y732" t="inlineStr">
        <is>
          <t>Dec</t>
        </is>
      </c>
      <c r="Z732" s="87" t="n">
        <v>2025</v>
      </c>
      <c r="AA732" s="47">
        <f>IF(F732="",0,F732)</f>
        <v/>
      </c>
      <c r="AB732" s="87">
        <f>IF(AA732&gt;=0.1,1,0)</f>
        <v/>
      </c>
      <c r="AC732" s="87" t="n">
        <v>0</v>
      </c>
      <c r="AD732" s="47">
        <f>IF(U732="",0,U732)</f>
        <v/>
      </c>
      <c r="AE732" s="87">
        <f>IF(OR(V732=1,W732=1),1,0)</f>
        <v/>
      </c>
      <c r="AF732" s="87" t="n">
        <v>0</v>
      </c>
      <c r="AG732" t="n">
        <v>2669</v>
      </c>
      <c r="AH732" t="n">
        <v>52900</v>
      </c>
      <c r="AI732" t="n">
        <v>0</v>
      </c>
      <c r="AJ732" s="88">
        <f>IF(OR(AG732&lt;=0,AH732&lt;=0),"",LN(AG732)-LN(AH732))</f>
        <v/>
      </c>
      <c r="AK732" t="n">
        <v>7635</v>
      </c>
      <c r="AL732" t="n">
        <v>47934</v>
      </c>
      <c r="AM732" s="88">
        <f>IF(OR(AK732&lt;=0,AL732&lt;=0),"",LN(AK732)-LN(AL732))</f>
        <v/>
      </c>
      <c r="AN732" t="n">
        <v>2428</v>
      </c>
      <c r="AO732" t="n">
        <v>50379</v>
      </c>
      <c r="AP732" s="88">
        <f>IF(OR(AN732&lt;=0,AO732&lt;=0),"",LN(AN732)-LN(AO732))</f>
        <v/>
      </c>
      <c r="AQ732" t="n">
        <v>2601</v>
      </c>
      <c r="AR732" t="n">
        <v>52900</v>
      </c>
      <c r="AS732" s="88">
        <f>IF(OR(AQ732&lt;=0,AR732&lt;=0),"",LN(AQ732)-LN(AR732))</f>
        <v/>
      </c>
      <c r="AT732" t="n">
        <v>3481</v>
      </c>
      <c r="AU732" t="n">
        <v>51653</v>
      </c>
      <c r="AV732" t="n">
        <v>436</v>
      </c>
      <c r="AW732" t="n">
        <v>206</v>
      </c>
      <c r="AX732" t="n">
        <v>2439</v>
      </c>
      <c r="AY732" s="88">
        <f>IF(OR(AT732&lt;=0,AU732&lt;=0),"",LN(AT732)-LN(AU732))</f>
        <v/>
      </c>
      <c r="AZ732" s="46" t="n">
        <v>9</v>
      </c>
      <c r="BA732" s="46" t="n">
        <v>11.74</v>
      </c>
      <c r="BB732" s="47" t="n">
        <v>0.3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5" customWidth="1" style="38" min="1" max="1"/>
    <col width="20" customWidth="1" style="38" min="2" max="2"/>
    <col width="60" customWidth="1" style="38" min="3" max="3"/>
  </cols>
  <sheetData>
    <row r="1">
      <c r="A1" s="31" t="inlineStr">
        <is>
          <t>검증 항목</t>
        </is>
      </c>
      <c r="B1" s="31" t="inlineStr">
        <is>
          <t>결과</t>
        </is>
      </c>
      <c r="C1" s="31" t="inlineStr">
        <is>
          <t>해석</t>
        </is>
      </c>
    </row>
    <row r="2">
      <c r="A2" s="51" t="inlineStr">
        <is>
          <t>통합 기준 날짜</t>
        </is>
      </c>
      <c r="B2" s="51" t="n">
        <v>731</v>
      </c>
      <c r="C2" s="51" t="inlineStr">
        <is>
          <t>2024-01-01 ~ 2025-12-31</t>
        </is>
      </c>
    </row>
    <row r="3">
      <c r="A3" s="51" t="inlineStr">
        <is>
          <t>따릉이 원자료 날짜 수</t>
        </is>
      </c>
      <c r="B3" s="51" t="n">
        <v>731</v>
      </c>
      <c r="C3" s="51" t="inlineStr">
        <is>
          <t>2024-2025 전체 기간 완전 커버</t>
        </is>
      </c>
    </row>
    <row r="4">
      <c r="A4" s="51" t="inlineStr">
        <is>
          <t>따릉이 날짜 중복</t>
        </is>
      </c>
      <c r="B4" s="51" t="n">
        <v>0</v>
      </c>
      <c r="C4" s="51" t="inlineStr">
        <is>
          <t>중복 없음</t>
        </is>
      </c>
    </row>
    <row r="5">
      <c r="A5" s="51" t="inlineStr">
        <is>
          <t>따릉이 미수록 날짜</t>
        </is>
      </c>
      <c r="B5" s="51" t="n">
        <v>0</v>
      </c>
      <c r="C5" s="51" t="inlineStr">
        <is>
          <t>731일 전부 존재</t>
        </is>
      </c>
    </row>
    <row r="6">
      <c r="A6" s="51" t="inlineStr">
        <is>
          <t>2025 별도 파일 교차검증</t>
        </is>
      </c>
      <c r="B6" s="51" t="n">
        <v>365</v>
      </c>
      <c r="C6" s="51" t="inlineStr">
        <is>
          <t>365일 모두 2024-2025 파일과 값 일치</t>
        </is>
      </c>
    </row>
    <row r="7">
      <c r="A7" s="51" t="inlineStr">
        <is>
          <t>PM2.5 결측</t>
        </is>
      </c>
      <c r="B7" s="51" t="n">
        <v>0</v>
      </c>
      <c r="C7" s="51" t="inlineStr">
        <is>
          <t>현재 통합자료 기준</t>
        </is>
      </c>
    </row>
    <row r="8">
      <c r="A8" s="51" t="inlineStr">
        <is>
          <t>평균기온 결측</t>
        </is>
      </c>
      <c r="B8" s="51" t="n">
        <v>0</v>
      </c>
      <c r="C8" s="51" t="inlineStr">
        <is>
          <t>현재 통합자료 기준</t>
        </is>
      </c>
    </row>
    <row r="9">
      <c r="A9" s="51" t="inlineStr">
        <is>
          <t>강수량 공란</t>
        </is>
      </c>
      <c r="B9" s="51" t="n">
        <v>411</v>
      </c>
      <c r="C9" s="51" t="inlineStr">
        <is>
          <t>원자료 공란 411일; 기상청 QnA 기준 무강수로 해석하여 rain_mm에서는 0 처리</t>
        </is>
      </c>
    </row>
    <row r="10">
      <c r="A10" s="51" t="inlineStr">
        <is>
          <t>현재 분석 단위</t>
        </is>
      </c>
      <c r="B10" s="51" t="inlineStr">
        <is>
          <t>서울-일(city-day)</t>
        </is>
      </c>
      <c r="C10" s="51" t="inlineStr">
        <is>
          <t>하루 1행 기준</t>
        </is>
      </c>
    </row>
    <row r="12">
      <c r="A12" t="inlineStr">
        <is>
          <t>--- 아래는 원본 CSV 재집계 반영 후 추가된 검증 항목 ---</t>
        </is>
      </c>
      <c r="B12" t="inlineStr"/>
      <c r="C12" t="inlineStr">
        <is>
          <t>2026-09-29 갱신</t>
        </is>
      </c>
    </row>
    <row r="13">
      <c r="A13" t="inlineStr">
        <is>
          <t>2025 재집계 방식</t>
        </is>
      </c>
      <c r="B13" t="inlineStr">
        <is>
          <t>pandas chunksize + CP949</t>
        </is>
      </c>
      <c r="C13" t="inlineStr">
        <is>
          <t>월별 원본 CSV 12개 전체 재처리</t>
        </is>
      </c>
    </row>
    <row r="14">
      <c r="A14" t="inlineStr">
        <is>
          <t>2025 파싱 오류 행수 합계</t>
        </is>
      </c>
      <c r="B14" t="n">
        <v>0</v>
      </c>
      <c r="C14" t="inlineStr">
        <is>
          <t>0건 - 전량 정상 파싱</t>
        </is>
      </c>
    </row>
    <row r="15">
      <c r="A15" t="inlineStr">
        <is>
          <t>2025 날짜 누락</t>
        </is>
      </c>
      <c r="B15" t="n">
        <v>0</v>
      </c>
      <c r="C15" t="inlineStr">
        <is>
          <t>365일 전부 존재</t>
        </is>
      </c>
    </row>
    <row r="16">
      <c r="A16" t="inlineStr">
        <is>
          <t>2025 날짜 중복(파일간)</t>
        </is>
      </c>
      <c r="B16" t="n">
        <v>0</v>
      </c>
      <c r="C16" t="inlineStr">
        <is>
          <t>월별 파일간 겹치는 날짜 없음</t>
        </is>
      </c>
    </row>
    <row r="17">
      <c r="A17" t="inlineStr">
        <is>
          <t>수정된 날짜 수 (2025)</t>
        </is>
      </c>
      <c r="B17" t="n">
        <v>10</v>
      </c>
      <c r="C17" t="inlineStr">
        <is>
          <t>기존 통합본 대비 값이 달라진 날짜</t>
        </is>
      </c>
    </row>
    <row r="18">
      <c r="A18" t="inlineStr">
        <is>
          <t>2025-08-18 수정값</t>
        </is>
      </c>
      <c r="B18" t="n">
        <v>108971</v>
      </c>
      <c r="C18" t="inlineStr">
        <is>
          <t>기존 2,668건 -&gt; 108,971건 (경계구간 부분합산 오류 수정)</t>
        </is>
      </c>
    </row>
    <row r="19">
      <c r="A19" t="inlineStr">
        <is>
          <t>2025-02 원본 파일 절단 의심</t>
        </is>
      </c>
      <c r="B19" t="inlineStr">
        <is>
          <t>YES</t>
        </is>
      </c>
      <c r="C19" t="inlineStr">
        <is>
          <t>2502.csv가 정확히 1,048,576줄(엑셀 행 제한)로 종료, 2/28 값은 과소집계 가능성 있음(원본에서 복구 불가)</t>
        </is>
      </c>
    </row>
    <row r="20">
      <c r="A20" t="inlineStr">
        <is>
          <t>최종 731일 구성</t>
        </is>
      </c>
      <c r="B20" t="n">
        <v>731</v>
      </c>
      <c r="C20" t="inlineStr">
        <is>
          <t>2024(366일, 기존 집계 검증완료) + 2025(365일, 원본 재집계)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30" customWidth="1" style="38" min="1" max="1"/>
    <col width="72" customWidth="1" style="38" min="2" max="2"/>
  </cols>
  <sheetData>
    <row r="1">
      <c r="A1" s="77" t="inlineStr">
        <is>
          <t>항목</t>
        </is>
      </c>
      <c r="B1" s="77" t="inlineStr">
        <is>
          <t>내용</t>
        </is>
      </c>
    </row>
    <row r="2">
      <c r="A2" s="51" t="inlineStr">
        <is>
          <t>현재 통합된 자료</t>
        </is>
      </c>
      <c r="B2" s="51" t="inlineStr">
        <is>
          <t>따릉이 일별 이용건수 + PM2.5 + PM10/주의보·경보 + 기온/강수량/풍속/습도/적설 + 요일/주중주말/공휴일/월/계절/연도 + 분석용 파생변수</t>
        </is>
      </c>
    </row>
    <row r="3">
      <c r="A3" s="51" t="inlineStr">
        <is>
          <t>병합 키</t>
        </is>
      </c>
      <c r="B3" s="51" t="inlineStr">
        <is>
          <t>일시(date)</t>
        </is>
      </c>
    </row>
    <row r="4">
      <c r="A4" s="51" t="inlineStr">
        <is>
          <t>따릉이 주자료</t>
        </is>
      </c>
      <c r="B4" s="51" t="inlineStr">
        <is>
          <t>Group20_Ttareungyi_2024-2025_corrected.csv — 2024-01-01~2025-12-31, 731일</t>
        </is>
      </c>
    </row>
    <row r="5">
      <c r="A5" s="51" t="inlineStr">
        <is>
          <t>따릉이 교차검증</t>
        </is>
      </c>
      <c r="B5" s="51" t="inlineStr">
        <is>
          <t>Group20_Ttareungyi_2025_corrected.csv — 2025년 365일이 주자료와 전부 동일</t>
        </is>
      </c>
    </row>
    <row r="6">
      <c r="A6" s="51" t="inlineStr">
        <is>
          <t>PM2.5 분류</t>
        </is>
      </c>
      <c r="B6" s="51" t="inlineStr">
        <is>
          <t>Good ≤15; Moderate &gt;15~35; Bad &gt;35~75; Very Bad &gt;75</t>
        </is>
      </c>
    </row>
    <row r="7">
      <c r="A7" s="51" t="inlineStr">
        <is>
          <t>날씨 대표지점</t>
        </is>
      </c>
      <c r="B7" s="51" t="inlineStr">
        <is>
          <t>기상청 지점 108(서울), 종로구 송월동 서울기상관측소</t>
        </is>
      </c>
    </row>
    <row r="8">
      <c r="A8" s="51" t="inlineStr">
        <is>
          <t>강수량 처리</t>
        </is>
      </c>
      <c r="B8" s="51" t="inlineStr">
        <is>
          <t>기상청 QnA 기준 원자료 공란 = 무강수로 해석. 원자료 일강수량(mm)은 보존하고, 분석용 rain_mm에서 공란을 0으로 처리</t>
        </is>
      </c>
    </row>
    <row r="9">
      <c r="A9" s="51" t="inlineStr">
        <is>
          <t>분석 단위</t>
        </is>
      </c>
      <c r="B9" s="51" t="inlineStr">
        <is>
          <t>서울-일(city-day), 2024-2025 총 731행</t>
        </is>
      </c>
    </row>
    <row r="10">
      <c r="A10" s="51" t="inlineStr">
        <is>
          <t>PM10 자료</t>
        </is>
      </c>
      <c r="B10" s="51" t="inlineStr">
        <is>
          <t>서울_PM10_일평균_및_주의보경보_2024-2025.xlsx — 일평균/분류/유효측정소/주의보·경보 플래그</t>
        </is>
      </c>
    </row>
    <row r="11">
      <c r="A11" s="51" t="inlineStr">
        <is>
          <t>추가 기상자료</t>
        </is>
      </c>
      <c r="B11" s="51" t="inlineStr">
        <is>
          <t>기온·강수량·습도·풍속·적설.xlsx — 서울(108), 2024-2025</t>
        </is>
      </c>
    </row>
    <row r="12">
      <c r="A12" s="51" t="inlineStr">
        <is>
          <t>달력 자료</t>
        </is>
      </c>
      <c r="B12" s="51" t="inlineStr">
        <is>
          <t>Date_2024-2025.xlsx Dummy-coded — 주말/공휴일 더미, 공휴일명, 월, 계절, 연도</t>
        </is>
      </c>
    </row>
    <row r="13">
      <c r="A13" s="51" t="inlineStr">
        <is>
          <t>v2 검증</t>
        </is>
      </c>
      <c r="B13" s="51" t="inlineStr">
        <is>
          <t>4개 자료 모두 날짜 731개, 중복 0, 날짜셋 완전 일치; 기존 기온·강수량·요일·주중주말·계절과 불일치 0</t>
        </is>
      </c>
    </row>
    <row r="14">
      <c r="A14" s="51" t="inlineStr">
        <is>
          <t>적설 처리</t>
        </is>
      </c>
      <c r="B14" s="51" t="inlineStr">
        <is>
          <t>원자료 일 최심신적설(cm)은 보존하고, 분석용 snow_cm에서 공란을 0 처리. 이는 강수와 같은 규칙을 적용한 가정(Hypothesis)</t>
        </is>
      </c>
    </row>
    <row r="15">
      <c r="A15" s="51" t="inlineStr">
        <is>
          <t>풍속 결측</t>
        </is>
      </c>
      <c r="B15" s="51" t="inlineStr">
        <is>
          <t>2024-03-11, 03-12, 03-14 총 3일은 실제 결측으로 공란 유지; 분석 시 제외 또는 별도 처리</t>
        </is>
      </c>
    </row>
    <row r="16">
      <c r="A16" s="51" t="inlineStr">
        <is>
          <t>추가 파생변수</t>
        </is>
      </c>
      <c r="B16" s="51" t="inlineStr">
        <is>
          <t>rain_day(≥0.1mm), trace(원자료 0), Day_Off(주말∨공휴일), truncated_flag(2025-02-28)</t>
        </is>
      </c>
    </row>
    <row r="17">
      <c r="A17" s="51" t="inlineStr">
        <is>
          <t>v3 한강 대여소 분석</t>
        </is>
      </c>
      <c r="B17" s="51" t="inlineStr">
        <is>
          <t>station_2024_daily.csv + station_2025_daily.csv + stations_union_2312_2512_hangang.csv; 500m/1km/panel_all5 사전 분류 사용</t>
        </is>
      </c>
    </row>
    <row r="18">
      <c r="A18" s="51" t="inlineStr">
        <is>
          <t>v3 왕복/편도 분석</t>
        </is>
      </c>
      <c r="B18" s="51" t="inlineStr">
        <is>
          <t>서울시 OA-15182 대여이력 → make_roundtrip_daily.py → roundtrip_daily.csv; 동일대여소 2분 이하와 station 누락 제외</t>
        </is>
      </c>
    </row>
    <row r="19">
      <c r="A19" s="51" t="inlineStr">
        <is>
          <t>v3 추가 기상</t>
        </is>
      </c>
      <c r="B19" s="51" t="inlineStr">
        <is>
          <t>기상자료개방포털 ASOS 서울(108): 합계 일조시간, 합계 일사량, 평균 전운량</t>
        </is>
      </c>
    </row>
    <row r="20">
      <c r="A20" s="51" t="inlineStr">
        <is>
          <t>v3 R 변수</t>
        </is>
      </c>
      <c r="B20" s="51" t="inlineStr">
        <is>
          <t>R500/R1km/R500_panel/R500_noTrib/R2 = 자연로그 차이(ln A - ln B)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32"/>
  <sheetViews>
    <sheetView workbookViewId="0">
      <selection activeCell="A1" sqref="A1"/>
    </sheetView>
  </sheetViews>
  <sheetFormatPr baseColWidth="8" defaultRowHeight="15"/>
  <cols>
    <col width="14" customWidth="1" style="38" min="1" max="1"/>
    <col width="18" customWidth="1" style="38" min="2" max="2"/>
    <col width="38" customWidth="1" style="38" min="3" max="3"/>
    <col width="14" customWidth="1" style="38" min="4" max="4"/>
  </cols>
  <sheetData>
    <row r="1">
      <c r="A1" s="31" t="inlineStr">
        <is>
          <t>대여일자</t>
        </is>
      </c>
      <c r="B1" s="31" t="inlineStr">
        <is>
          <t>하루 총 이용건수</t>
        </is>
      </c>
      <c r="C1" s="31" t="inlineStr">
        <is>
          <t>출처파일</t>
        </is>
      </c>
      <c r="D1" s="31" t="inlineStr">
        <is>
          <t>2025 교차검증</t>
        </is>
      </c>
    </row>
    <row r="2">
      <c r="A2" s="51" t="inlineStr">
        <is>
          <t>2024-01-01</t>
        </is>
      </c>
      <c r="B2" s="49" t="n">
        <v>46628</v>
      </c>
      <c r="C2" s="51" t="inlineStr">
        <is>
          <t>Group20_Ttareungyi_2024-2025.csv.csv</t>
        </is>
      </c>
      <c r="D2" s="51" t="str"/>
    </row>
    <row r="3">
      <c r="A3" s="51" t="inlineStr">
        <is>
          <t>2024-01-02</t>
        </is>
      </c>
      <c r="B3" s="49" t="n">
        <v>86397</v>
      </c>
      <c r="C3" s="51" t="inlineStr">
        <is>
          <t>Group20_Ttareungyi_2024-2025.csv.csv</t>
        </is>
      </c>
      <c r="D3" s="51" t="str"/>
    </row>
    <row r="4">
      <c r="A4" s="51" t="inlineStr">
        <is>
          <t>2024-01-03</t>
        </is>
      </c>
      <c r="B4" s="49" t="n">
        <v>71805</v>
      </c>
      <c r="C4" s="51" t="inlineStr">
        <is>
          <t>Group20_Ttareungyi_2024-2025.csv.csv</t>
        </is>
      </c>
      <c r="D4" s="51" t="str"/>
    </row>
    <row r="5">
      <c r="A5" s="51" t="inlineStr">
        <is>
          <t>2024-01-04</t>
        </is>
      </c>
      <c r="B5" s="49" t="n">
        <v>90104</v>
      </c>
      <c r="C5" s="51" t="inlineStr">
        <is>
          <t>Group20_Ttareungyi_2024-2025.csv.csv</t>
        </is>
      </c>
      <c r="D5" s="51" t="str"/>
    </row>
    <row r="6">
      <c r="A6" s="51" t="inlineStr">
        <is>
          <t>2024-01-05</t>
        </is>
      </c>
      <c r="B6" s="49" t="n">
        <v>94923</v>
      </c>
      <c r="C6" s="51" t="inlineStr">
        <is>
          <t>Group20_Ttareungyi_2024-2025.csv.csv</t>
        </is>
      </c>
      <c r="D6" s="51" t="str"/>
    </row>
    <row r="7">
      <c r="A7" s="51" t="inlineStr">
        <is>
          <t>2024-01-06</t>
        </is>
      </c>
      <c r="B7" s="49" t="n">
        <v>57176</v>
      </c>
      <c r="C7" s="51" t="inlineStr">
        <is>
          <t>Group20_Ttareungyi_2024-2025.csv.csv</t>
        </is>
      </c>
      <c r="D7" s="51" t="str"/>
    </row>
    <row r="8">
      <c r="A8" s="51" t="inlineStr">
        <is>
          <t>2024-01-07</t>
        </is>
      </c>
      <c r="B8" s="49" t="n">
        <v>31450</v>
      </c>
      <c r="C8" s="51" t="inlineStr">
        <is>
          <t>Group20_Ttareungyi_2024-2025.csv.csv</t>
        </is>
      </c>
      <c r="D8" s="51" t="str"/>
    </row>
    <row r="9">
      <c r="A9" s="51" t="inlineStr">
        <is>
          <t>2024-01-08</t>
        </is>
      </c>
      <c r="B9" s="49" t="n">
        <v>64949</v>
      </c>
      <c r="C9" s="51" t="inlineStr">
        <is>
          <t>Group20_Ttareungyi_2024-2025.csv.csv</t>
        </is>
      </c>
      <c r="D9" s="51" t="str"/>
    </row>
    <row r="10">
      <c r="A10" s="51" t="inlineStr">
        <is>
          <t>2024-01-09</t>
        </is>
      </c>
      <c r="B10" s="49" t="n">
        <v>38224</v>
      </c>
      <c r="C10" s="51" t="inlineStr">
        <is>
          <t>Group20_Ttareungyi_2024-2025.csv.csv</t>
        </is>
      </c>
      <c r="D10" s="51" t="str"/>
    </row>
    <row r="11">
      <c r="A11" s="51" t="inlineStr">
        <is>
          <t>2024-01-10</t>
        </is>
      </c>
      <c r="B11" s="49" t="n">
        <v>68179</v>
      </c>
      <c r="C11" s="51" t="inlineStr">
        <is>
          <t>Group20_Ttareungyi_2024-2025.csv.csv</t>
        </is>
      </c>
      <c r="D11" s="51" t="str"/>
    </row>
    <row r="12">
      <c r="A12" s="51" t="inlineStr">
        <is>
          <t>2024-01-11</t>
        </is>
      </c>
      <c r="B12" s="49" t="n">
        <v>81574</v>
      </c>
      <c r="C12" s="51" t="inlineStr">
        <is>
          <t>Group20_Ttareungyi_2024-2025.csv.csv</t>
        </is>
      </c>
      <c r="D12" s="51" t="str"/>
    </row>
    <row r="13">
      <c r="A13" s="51" t="inlineStr">
        <is>
          <t>2024-01-12</t>
        </is>
      </c>
      <c r="B13" s="49" t="n">
        <v>83976</v>
      </c>
      <c r="C13" s="51" t="inlineStr">
        <is>
          <t>Group20_Ttareungyi_2024-2025.csv.csv</t>
        </is>
      </c>
      <c r="D13" s="51" t="str"/>
    </row>
    <row r="14">
      <c r="A14" s="51" t="inlineStr">
        <is>
          <t>2024-01-13</t>
        </is>
      </c>
      <c r="B14" s="49" t="n">
        <v>64103</v>
      </c>
      <c r="C14" s="51" t="inlineStr">
        <is>
          <t>Group20_Ttareungyi_2024-2025.csv.csv</t>
        </is>
      </c>
      <c r="D14" s="51" t="str"/>
    </row>
    <row r="15">
      <c r="A15" s="51" t="inlineStr">
        <is>
          <t>2024-01-14</t>
        </is>
      </c>
      <c r="B15" s="49" t="n">
        <v>29011</v>
      </c>
      <c r="C15" s="51" t="inlineStr">
        <is>
          <t>Group20_Ttareungyi_2024-2025.csv.csv</t>
        </is>
      </c>
      <c r="D15" s="51" t="str"/>
    </row>
    <row r="16">
      <c r="A16" s="51" t="inlineStr">
        <is>
          <t>2024-01-15</t>
        </is>
      </c>
      <c r="B16" s="49" t="n">
        <v>69542</v>
      </c>
      <c r="C16" s="51" t="inlineStr">
        <is>
          <t>Group20_Ttareungyi_2024-2025.csv.csv</t>
        </is>
      </c>
      <c r="D16" s="51" t="str"/>
    </row>
    <row r="17">
      <c r="A17" s="51" t="inlineStr">
        <is>
          <t>2024-01-16</t>
        </is>
      </c>
      <c r="B17" s="49" t="n">
        <v>78770</v>
      </c>
      <c r="C17" s="51" t="inlineStr">
        <is>
          <t>Group20_Ttareungyi_2024-2025.csv.csv</t>
        </is>
      </c>
      <c r="D17" s="51" t="str"/>
    </row>
    <row r="18">
      <c r="A18" s="51" t="inlineStr">
        <is>
          <t>2024-01-17</t>
        </is>
      </c>
      <c r="B18" s="49" t="n">
        <v>36748</v>
      </c>
      <c r="C18" s="51" t="inlineStr">
        <is>
          <t>Group20_Ttareungyi_2024-2025.csv.csv</t>
        </is>
      </c>
      <c r="D18" s="51" t="str"/>
    </row>
    <row r="19">
      <c r="A19" s="51" t="inlineStr">
        <is>
          <t>2024-01-18</t>
        </is>
      </c>
      <c r="B19" s="49" t="n">
        <v>75776</v>
      </c>
      <c r="C19" s="51" t="inlineStr">
        <is>
          <t>Group20_Ttareungyi_2024-2025.csv.csv</t>
        </is>
      </c>
      <c r="D19" s="51" t="str"/>
    </row>
    <row r="20">
      <c r="A20" s="51" t="inlineStr">
        <is>
          <t>2024-01-19</t>
        </is>
      </c>
      <c r="B20" s="49" t="n">
        <v>90529</v>
      </c>
      <c r="C20" s="51" t="inlineStr">
        <is>
          <t>Group20_Ttareungyi_2024-2025.csv.csv</t>
        </is>
      </c>
      <c r="D20" s="51" t="str"/>
    </row>
    <row r="21">
      <c r="A21" s="51" t="inlineStr">
        <is>
          <t>2024-01-20</t>
        </is>
      </c>
      <c r="B21" s="49" t="n">
        <v>41782</v>
      </c>
      <c r="C21" s="51" t="inlineStr">
        <is>
          <t>Group20_Ttareungyi_2024-2025.csv.csv</t>
        </is>
      </c>
      <c r="D21" s="51" t="str"/>
    </row>
    <row r="22">
      <c r="A22" s="51" t="inlineStr">
        <is>
          <t>2024-01-21</t>
        </is>
      </c>
      <c r="B22" s="49" t="n">
        <v>36989</v>
      </c>
      <c r="C22" s="51" t="inlineStr">
        <is>
          <t>Group20_Ttareungyi_2024-2025.csv.csv</t>
        </is>
      </c>
      <c r="D22" s="51" t="str"/>
    </row>
    <row r="23">
      <c r="A23" s="51" t="inlineStr">
        <is>
          <t>2024-01-22</t>
        </is>
      </c>
      <c r="B23" s="49" t="n">
        <v>48139</v>
      </c>
      <c r="C23" s="51" t="inlineStr">
        <is>
          <t>Group20_Ttareungyi_2024-2025.csv.csv</t>
        </is>
      </c>
      <c r="D23" s="51" t="str"/>
    </row>
    <row r="24">
      <c r="A24" s="51" t="inlineStr">
        <is>
          <t>2024-01-23</t>
        </is>
      </c>
      <c r="B24" s="49" t="n">
        <v>43595</v>
      </c>
      <c r="C24" s="51" t="inlineStr">
        <is>
          <t>Group20_Ttareungyi_2024-2025.csv.csv</t>
        </is>
      </c>
      <c r="D24" s="51" t="str"/>
    </row>
    <row r="25">
      <c r="A25" s="51" t="inlineStr">
        <is>
          <t>2024-01-24</t>
        </is>
      </c>
      <c r="B25" s="49" t="n">
        <v>50771</v>
      </c>
      <c r="C25" s="51" t="inlineStr">
        <is>
          <t>Group20_Ttareungyi_2024-2025.csv.csv</t>
        </is>
      </c>
      <c r="D25" s="51" t="str"/>
    </row>
    <row r="26">
      <c r="A26" s="51" t="inlineStr">
        <is>
          <t>2024-01-25</t>
        </is>
      </c>
      <c r="B26" s="49" t="n">
        <v>62371</v>
      </c>
      <c r="C26" s="51" t="inlineStr">
        <is>
          <t>Group20_Ttareungyi_2024-2025.csv.csv</t>
        </is>
      </c>
      <c r="D26" s="51" t="str"/>
    </row>
    <row r="27">
      <c r="A27" s="51" t="inlineStr">
        <is>
          <t>2024-01-26</t>
        </is>
      </c>
      <c r="B27" s="49" t="n">
        <v>75062</v>
      </c>
      <c r="C27" s="51" t="inlineStr">
        <is>
          <t>Group20_Ttareungyi_2024-2025.csv.csv</t>
        </is>
      </c>
      <c r="D27" s="51" t="str"/>
    </row>
    <row r="28">
      <c r="A28" s="51" t="inlineStr">
        <is>
          <t>2024-01-27</t>
        </is>
      </c>
      <c r="B28" s="49" t="n">
        <v>57700</v>
      </c>
      <c r="C28" s="51" t="inlineStr">
        <is>
          <t>Group20_Ttareungyi_2024-2025.csv.csv</t>
        </is>
      </c>
      <c r="D28" s="51" t="str"/>
    </row>
    <row r="29">
      <c r="A29" s="51" t="inlineStr">
        <is>
          <t>2024-01-28</t>
        </is>
      </c>
      <c r="B29" s="49" t="n">
        <v>48382</v>
      </c>
      <c r="C29" s="51" t="inlineStr">
        <is>
          <t>Group20_Ttareungyi_2024-2025.csv.csv</t>
        </is>
      </c>
      <c r="D29" s="51" t="str"/>
    </row>
    <row r="30">
      <c r="A30" s="51" t="inlineStr">
        <is>
          <t>2024-01-29</t>
        </is>
      </c>
      <c r="B30" s="49" t="n">
        <v>78801</v>
      </c>
      <c r="C30" s="51" t="inlineStr">
        <is>
          <t>Group20_Ttareungyi_2024-2025.csv.csv</t>
        </is>
      </c>
      <c r="D30" s="51" t="str"/>
    </row>
    <row r="31">
      <c r="A31" s="51" t="inlineStr">
        <is>
          <t>2024-01-30</t>
        </is>
      </c>
      <c r="B31" s="49" t="n">
        <v>86595</v>
      </c>
      <c r="C31" s="51" t="inlineStr">
        <is>
          <t>Group20_Ttareungyi_2024-2025.csv.csv</t>
        </is>
      </c>
      <c r="D31" s="51" t="str"/>
    </row>
    <row r="32">
      <c r="A32" s="51" t="inlineStr">
        <is>
          <t>2024-01-31</t>
        </is>
      </c>
      <c r="B32" s="49" t="n">
        <v>93212</v>
      </c>
      <c r="C32" s="51" t="inlineStr">
        <is>
          <t>Group20_Ttareungyi_2024-2025.csv.csv</t>
        </is>
      </c>
      <c r="D32" s="51" t="str"/>
    </row>
    <row r="33">
      <c r="A33" s="51" t="inlineStr">
        <is>
          <t>2024-02-01</t>
        </is>
      </c>
      <c r="B33" s="49" t="n">
        <v>91540</v>
      </c>
      <c r="C33" s="51" t="inlineStr">
        <is>
          <t>Group20_Ttareungyi_2024-2025.csv.csv</t>
        </is>
      </c>
      <c r="D33" s="51" t="str"/>
    </row>
    <row r="34">
      <c r="A34" s="51" t="inlineStr">
        <is>
          <t>2024-02-02</t>
        </is>
      </c>
      <c r="B34" s="49" t="n">
        <v>94969</v>
      </c>
      <c r="C34" s="51" t="inlineStr">
        <is>
          <t>Group20_Ttareungyi_2024-2025.csv.csv</t>
        </is>
      </c>
      <c r="D34" s="51" t="str"/>
    </row>
    <row r="35">
      <c r="A35" s="51" t="inlineStr">
        <is>
          <t>2024-02-03</t>
        </is>
      </c>
      <c r="B35" s="49" t="n">
        <v>67693</v>
      </c>
      <c r="C35" s="51" t="inlineStr">
        <is>
          <t>Group20_Ttareungyi_2024-2025.csv.csv</t>
        </is>
      </c>
      <c r="D35" s="51" t="str"/>
    </row>
    <row r="36">
      <c r="A36" s="51" t="inlineStr">
        <is>
          <t>2024-02-04</t>
        </is>
      </c>
      <c r="B36" s="49" t="n">
        <v>72950</v>
      </c>
      <c r="C36" s="51" t="inlineStr">
        <is>
          <t>Group20_Ttareungyi_2024-2025.csv.csv</t>
        </is>
      </c>
      <c r="D36" s="51" t="str"/>
    </row>
    <row r="37">
      <c r="A37" s="51" t="inlineStr">
        <is>
          <t>2024-02-05</t>
        </is>
      </c>
      <c r="B37" s="49" t="n">
        <v>28209</v>
      </c>
      <c r="C37" s="51" t="inlineStr">
        <is>
          <t>Group20_Ttareungyi_2024-2025.csv.csv</t>
        </is>
      </c>
      <c r="D37" s="51" t="str"/>
    </row>
    <row r="38">
      <c r="A38" s="51" t="inlineStr">
        <is>
          <t>2024-02-06</t>
        </is>
      </c>
      <c r="B38" s="49" t="n">
        <v>75264</v>
      </c>
      <c r="C38" s="51" t="inlineStr">
        <is>
          <t>Group20_Ttareungyi_2024-2025.csv.csv</t>
        </is>
      </c>
      <c r="D38" s="51" t="str"/>
    </row>
    <row r="39">
      <c r="A39" s="51" t="inlineStr">
        <is>
          <t>2024-02-07</t>
        </is>
      </c>
      <c r="B39" s="49" t="n">
        <v>83368</v>
      </c>
      <c r="C39" s="51" t="inlineStr">
        <is>
          <t>Group20_Ttareungyi_2024-2025.csv.csv</t>
        </is>
      </c>
      <c r="D39" s="51" t="str"/>
    </row>
    <row r="40">
      <c r="A40" s="51" t="inlineStr">
        <is>
          <t>2024-02-08</t>
        </is>
      </c>
      <c r="B40" s="49" t="n">
        <v>87764</v>
      </c>
      <c r="C40" s="51" t="inlineStr">
        <is>
          <t>Group20_Ttareungyi_2024-2025.csv.csv</t>
        </is>
      </c>
      <c r="D40" s="51" t="str"/>
    </row>
    <row r="41">
      <c r="A41" s="51" t="inlineStr">
        <is>
          <t>2024-02-09</t>
        </is>
      </c>
      <c r="B41" s="49" t="n">
        <v>46880</v>
      </c>
      <c r="C41" s="51" t="inlineStr">
        <is>
          <t>Group20_Ttareungyi_2024-2025.csv.csv</t>
        </is>
      </c>
      <c r="D41" s="51" t="str"/>
    </row>
    <row r="42">
      <c r="A42" s="51" t="inlineStr">
        <is>
          <t>2024-02-10</t>
        </is>
      </c>
      <c r="B42" s="49" t="n">
        <v>34184</v>
      </c>
      <c r="C42" s="51" t="inlineStr">
        <is>
          <t>Group20_Ttareungyi_2024-2025.csv.csv</t>
        </is>
      </c>
      <c r="D42" s="51" t="str"/>
    </row>
    <row r="43">
      <c r="A43" s="51" t="inlineStr">
        <is>
          <t>2024-02-11</t>
        </is>
      </c>
      <c r="B43" s="49" t="n">
        <v>42842</v>
      </c>
      <c r="C43" s="51" t="inlineStr">
        <is>
          <t>Group20_Ttareungyi_2024-2025.csv.csv</t>
        </is>
      </c>
      <c r="D43" s="51" t="str"/>
    </row>
    <row r="44">
      <c r="A44" s="51" t="inlineStr">
        <is>
          <t>2024-02-12</t>
        </is>
      </c>
      <c r="B44" s="49" t="n">
        <v>65446</v>
      </c>
      <c r="C44" s="51" t="inlineStr">
        <is>
          <t>Group20_Ttareungyi_2024-2025.csv.csv</t>
        </is>
      </c>
      <c r="D44" s="51" t="str"/>
    </row>
    <row r="45">
      <c r="A45" s="51" t="inlineStr">
        <is>
          <t>2024-02-13</t>
        </is>
      </c>
      <c r="B45" s="49" t="n">
        <v>105495</v>
      </c>
      <c r="C45" s="51" t="inlineStr">
        <is>
          <t>Group20_Ttareungyi_2024-2025.csv.csv</t>
        </is>
      </c>
      <c r="D45" s="51" t="str"/>
    </row>
    <row r="46">
      <c r="A46" s="51" t="inlineStr">
        <is>
          <t>2024-02-14</t>
        </is>
      </c>
      <c r="B46" s="49" t="n">
        <v>123154</v>
      </c>
      <c r="C46" s="51" t="inlineStr">
        <is>
          <t>Group20_Ttareungyi_2024-2025.csv.csv</t>
        </is>
      </c>
      <c r="D46" s="51" t="str"/>
    </row>
    <row r="47">
      <c r="A47" s="51" t="inlineStr">
        <is>
          <t>2024-02-15</t>
        </is>
      </c>
      <c r="B47" s="49" t="n">
        <v>56304</v>
      </c>
      <c r="C47" s="51" t="inlineStr">
        <is>
          <t>Group20_Ttareungyi_2024-2025.csv.csv</t>
        </is>
      </c>
      <c r="D47" s="51" t="str"/>
    </row>
    <row r="48">
      <c r="A48" s="51" t="inlineStr">
        <is>
          <t>2024-02-16</t>
        </is>
      </c>
      <c r="B48" s="49" t="n">
        <v>99952</v>
      </c>
      <c r="C48" s="51" t="inlineStr">
        <is>
          <t>Group20_Ttareungyi_2024-2025.csv.csv</t>
        </is>
      </c>
      <c r="D48" s="51" t="str"/>
    </row>
    <row r="49">
      <c r="A49" s="51" t="inlineStr">
        <is>
          <t>2024-02-17</t>
        </is>
      </c>
      <c r="B49" s="49" t="n">
        <v>89416</v>
      </c>
      <c r="C49" s="51" t="inlineStr">
        <is>
          <t>Group20_Ttareungyi_2024-2025.csv.csv</t>
        </is>
      </c>
      <c r="D49" s="51" t="str"/>
    </row>
    <row r="50">
      <c r="A50" s="51" t="inlineStr">
        <is>
          <t>2024-02-18</t>
        </is>
      </c>
      <c r="B50" s="49" t="n">
        <v>39094</v>
      </c>
      <c r="C50" s="51" t="inlineStr">
        <is>
          <t>Group20_Ttareungyi_2024-2025.csv.csv</t>
        </is>
      </c>
      <c r="D50" s="51" t="str"/>
    </row>
    <row r="51">
      <c r="A51" s="51" t="inlineStr">
        <is>
          <t>2024-02-19</t>
        </is>
      </c>
      <c r="B51" s="49" t="n">
        <v>39917</v>
      </c>
      <c r="C51" s="51" t="inlineStr">
        <is>
          <t>Group20_Ttareungyi_2024-2025.csv.csv</t>
        </is>
      </c>
      <c r="D51" s="51" t="str"/>
    </row>
    <row r="52">
      <c r="A52" s="51" t="inlineStr">
        <is>
          <t>2024-02-20</t>
        </is>
      </c>
      <c r="B52" s="49" t="n">
        <v>54433</v>
      </c>
      <c r="C52" s="51" t="inlineStr">
        <is>
          <t>Group20_Ttareungyi_2024-2025.csv.csv</t>
        </is>
      </c>
      <c r="D52" s="51" t="str"/>
    </row>
    <row r="53">
      <c r="A53" s="51" t="inlineStr">
        <is>
          <t>2024-02-21</t>
        </is>
      </c>
      <c r="B53" s="49" t="n">
        <v>9618</v>
      </c>
      <c r="C53" s="51" t="inlineStr">
        <is>
          <t>Group20_Ttareungyi_2024-2025.csv.csv</t>
        </is>
      </c>
      <c r="D53" s="51" t="str"/>
    </row>
    <row r="54">
      <c r="A54" s="51" t="inlineStr">
        <is>
          <t>2024-02-22</t>
        </is>
      </c>
      <c r="B54" s="49" t="n">
        <v>29137</v>
      </c>
      <c r="C54" s="51" t="inlineStr">
        <is>
          <t>Group20_Ttareungyi_2024-2025.csv.csv</t>
        </is>
      </c>
      <c r="D54" s="51" t="str"/>
    </row>
    <row r="55">
      <c r="A55" s="51" t="inlineStr">
        <is>
          <t>2024-02-23</t>
        </is>
      </c>
      <c r="B55" s="49" t="n">
        <v>75742</v>
      </c>
      <c r="C55" s="51" t="inlineStr">
        <is>
          <t>Group20_Ttareungyi_2024-2025.csv.csv</t>
        </is>
      </c>
      <c r="D55" s="51" t="str"/>
    </row>
    <row r="56">
      <c r="A56" s="51" t="inlineStr">
        <is>
          <t>2024-02-24</t>
        </is>
      </c>
      <c r="B56" s="49" t="n">
        <v>55704</v>
      </c>
      <c r="C56" s="51" t="inlineStr">
        <is>
          <t>Group20_Ttareungyi_2024-2025.csv.csv</t>
        </is>
      </c>
      <c r="D56" s="51" t="str"/>
    </row>
    <row r="57">
      <c r="A57" s="51" t="inlineStr">
        <is>
          <t>2024-02-25</t>
        </is>
      </c>
      <c r="B57" s="49" t="n">
        <v>49385</v>
      </c>
      <c r="C57" s="51" t="inlineStr">
        <is>
          <t>Group20_Ttareungyi_2024-2025.csv.csv</t>
        </is>
      </c>
      <c r="D57" s="51" t="str"/>
    </row>
    <row r="58">
      <c r="A58" s="51" t="inlineStr">
        <is>
          <t>2024-02-26</t>
        </is>
      </c>
      <c r="B58" s="49" t="n">
        <v>98018</v>
      </c>
      <c r="C58" s="51" t="inlineStr">
        <is>
          <t>Group20_Ttareungyi_2024-2025.csv.csv</t>
        </is>
      </c>
      <c r="D58" s="51" t="str"/>
    </row>
    <row r="59">
      <c r="A59" s="51" t="inlineStr">
        <is>
          <t>2024-02-27</t>
        </is>
      </c>
      <c r="B59" s="49" t="n">
        <v>104188</v>
      </c>
      <c r="C59" s="51" t="inlineStr">
        <is>
          <t>Group20_Ttareungyi_2024-2025.csv.csv</t>
        </is>
      </c>
      <c r="D59" s="51" t="str"/>
    </row>
    <row r="60">
      <c r="A60" s="51" t="inlineStr">
        <is>
          <t>2024-02-28</t>
        </is>
      </c>
      <c r="B60" s="49" t="n">
        <v>108932</v>
      </c>
      <c r="C60" s="51" t="inlineStr">
        <is>
          <t>Group20_Ttareungyi_2024-2025.csv.csv</t>
        </is>
      </c>
      <c r="D60" s="51" t="str"/>
    </row>
    <row r="61">
      <c r="A61" s="51" t="inlineStr">
        <is>
          <t>2024-02-29</t>
        </is>
      </c>
      <c r="B61" s="49" t="n">
        <v>102009</v>
      </c>
      <c r="C61" s="51" t="inlineStr">
        <is>
          <t>Group20_Ttareungyi_2024-2025.csv.csv</t>
        </is>
      </c>
      <c r="D61" s="51" t="str"/>
    </row>
    <row r="62">
      <c r="A62" s="51" t="inlineStr">
        <is>
          <t>2024-03-01</t>
        </is>
      </c>
      <c r="B62" s="49" t="n">
        <v>45201</v>
      </c>
      <c r="C62" s="51" t="inlineStr">
        <is>
          <t>Group20_Ttareungyi_2024-2025.csv.csv</t>
        </is>
      </c>
      <c r="D62" s="51" t="str"/>
    </row>
    <row r="63">
      <c r="A63" s="51" t="inlineStr">
        <is>
          <t>2024-03-02</t>
        </is>
      </c>
      <c r="B63" s="49" t="n">
        <v>54612</v>
      </c>
      <c r="C63" s="51" t="inlineStr">
        <is>
          <t>Group20_Ttareungyi_2024-2025.csv.csv</t>
        </is>
      </c>
      <c r="D63" s="51" t="str"/>
    </row>
    <row r="64">
      <c r="A64" s="51" t="inlineStr">
        <is>
          <t>2024-03-03</t>
        </is>
      </c>
      <c r="B64" s="49" t="n">
        <v>65370</v>
      </c>
      <c r="C64" s="51" t="inlineStr">
        <is>
          <t>Group20_Ttareungyi_2024-2025.csv.csv</t>
        </is>
      </c>
      <c r="D64" s="51" t="str"/>
    </row>
    <row r="65">
      <c r="A65" s="51" t="inlineStr">
        <is>
          <t>2024-03-04</t>
        </is>
      </c>
      <c r="B65" s="49" t="n">
        <v>108117</v>
      </c>
      <c r="C65" s="51" t="inlineStr">
        <is>
          <t>Group20_Ttareungyi_2024-2025.csv.csv</t>
        </is>
      </c>
      <c r="D65" s="51" t="str"/>
    </row>
    <row r="66">
      <c r="A66" s="51" t="inlineStr">
        <is>
          <t>2024-03-05</t>
        </is>
      </c>
      <c r="B66" s="49" t="n">
        <v>110776</v>
      </c>
      <c r="C66" s="51" t="inlineStr">
        <is>
          <t>Group20_Ttareungyi_2024-2025.csv.csv</t>
        </is>
      </c>
      <c r="D66" s="51" t="str"/>
    </row>
    <row r="67">
      <c r="A67" s="51" t="inlineStr">
        <is>
          <t>2024-03-06</t>
        </is>
      </c>
      <c r="B67" s="49" t="n">
        <v>116835</v>
      </c>
      <c r="C67" s="51" t="inlineStr">
        <is>
          <t>Group20_Ttareungyi_2024-2025.csv.csv</t>
        </is>
      </c>
      <c r="D67" s="51" t="str"/>
    </row>
    <row r="68">
      <c r="A68" s="51" t="inlineStr">
        <is>
          <t>2024-03-07</t>
        </is>
      </c>
      <c r="B68" s="49" t="n">
        <v>98080</v>
      </c>
      <c r="C68" s="51" t="inlineStr">
        <is>
          <t>Group20_Ttareungyi_2024-2025.csv.csv</t>
        </is>
      </c>
      <c r="D68" s="51" t="str"/>
    </row>
    <row r="69">
      <c r="A69" s="51" t="inlineStr">
        <is>
          <t>2024-03-08</t>
        </is>
      </c>
      <c r="B69" s="49" t="n">
        <v>99704</v>
      </c>
      <c r="C69" s="51" t="inlineStr">
        <is>
          <t>Group20_Ttareungyi_2024-2025.csv.csv</t>
        </is>
      </c>
      <c r="D69" s="51" t="str"/>
    </row>
    <row r="70">
      <c r="A70" s="51" t="inlineStr">
        <is>
          <t>2024-03-09</t>
        </is>
      </c>
      <c r="B70" s="49" t="n">
        <v>78185</v>
      </c>
      <c r="C70" s="51" t="inlineStr">
        <is>
          <t>Group20_Ttareungyi_2024-2025.csv.csv</t>
        </is>
      </c>
      <c r="D70" s="51" t="str"/>
    </row>
    <row r="71">
      <c r="A71" s="51" t="inlineStr">
        <is>
          <t>2024-03-10</t>
        </is>
      </c>
      <c r="B71" s="49" t="n">
        <v>81204</v>
      </c>
      <c r="C71" s="51" t="inlineStr">
        <is>
          <t>Group20_Ttareungyi_2024-2025.csv.csv</t>
        </is>
      </c>
      <c r="D71" s="51" t="str"/>
    </row>
    <row r="72">
      <c r="A72" s="51" t="inlineStr">
        <is>
          <t>2024-03-11</t>
        </is>
      </c>
      <c r="B72" s="49" t="n">
        <v>114631</v>
      </c>
      <c r="C72" s="51" t="inlineStr">
        <is>
          <t>Group20_Ttareungyi_2024-2025.csv.csv</t>
        </is>
      </c>
      <c r="D72" s="51" t="str"/>
    </row>
    <row r="73">
      <c r="A73" s="51" t="inlineStr">
        <is>
          <t>2024-03-12</t>
        </is>
      </c>
      <c r="B73" s="49" t="n">
        <v>79695</v>
      </c>
      <c r="C73" s="51" t="inlineStr">
        <is>
          <t>Group20_Ttareungyi_2024-2025.csv.csv</t>
        </is>
      </c>
      <c r="D73" s="51" t="str"/>
    </row>
    <row r="74">
      <c r="A74" s="51" t="inlineStr">
        <is>
          <t>2024-03-13</t>
        </is>
      </c>
      <c r="B74" s="49" t="n">
        <v>120866</v>
      </c>
      <c r="C74" s="51" t="inlineStr">
        <is>
          <t>Group20_Ttareungyi_2024-2025.csv.csv</t>
        </is>
      </c>
      <c r="D74" s="51" t="str"/>
    </row>
    <row r="75">
      <c r="A75" s="51" t="inlineStr">
        <is>
          <t>2024-03-14</t>
        </is>
      </c>
      <c r="B75" s="49" t="n">
        <v>126955</v>
      </c>
      <c r="C75" s="51" t="inlineStr">
        <is>
          <t>Group20_Ttareungyi_2024-2025.csv.csv</t>
        </is>
      </c>
      <c r="D75" s="51" t="str"/>
    </row>
    <row r="76">
      <c r="A76" s="51" t="inlineStr">
        <is>
          <t>2024-03-15</t>
        </is>
      </c>
      <c r="B76" s="49" t="n">
        <v>130981</v>
      </c>
      <c r="C76" s="51" t="inlineStr">
        <is>
          <t>Group20_Ttareungyi_2024-2025.csv.csv</t>
        </is>
      </c>
      <c r="D76" s="51" t="str"/>
    </row>
    <row r="77">
      <c r="A77" s="51" t="inlineStr">
        <is>
          <t>2024-03-16</t>
        </is>
      </c>
      <c r="B77" s="49" t="n">
        <v>118333</v>
      </c>
      <c r="C77" s="51" t="inlineStr">
        <is>
          <t>Group20_Ttareungyi_2024-2025.csv.csv</t>
        </is>
      </c>
      <c r="D77" s="51" t="str"/>
    </row>
    <row r="78">
      <c r="A78" s="51" t="inlineStr">
        <is>
          <t>2024-03-17</t>
        </is>
      </c>
      <c r="B78" s="49" t="n">
        <v>87951</v>
      </c>
      <c r="C78" s="51" t="inlineStr">
        <is>
          <t>Group20_Ttareungyi_2024-2025.csv.csv</t>
        </is>
      </c>
      <c r="D78" s="51" t="str"/>
    </row>
    <row r="79">
      <c r="A79" s="51" t="inlineStr">
        <is>
          <t>2024-03-18</t>
        </is>
      </c>
      <c r="B79" s="49" t="n">
        <v>123579</v>
      </c>
      <c r="C79" s="51" t="inlineStr">
        <is>
          <t>Group20_Ttareungyi_2024-2025.csv.csv</t>
        </is>
      </c>
      <c r="D79" s="51" t="str"/>
    </row>
    <row r="80">
      <c r="A80" s="51" t="inlineStr">
        <is>
          <t>2024-03-19</t>
        </is>
      </c>
      <c r="B80" s="49" t="n">
        <v>102640</v>
      </c>
      <c r="C80" s="51" t="inlineStr">
        <is>
          <t>Group20_Ttareungyi_2024-2025.csv.csv</t>
        </is>
      </c>
      <c r="D80" s="51" t="str"/>
    </row>
    <row r="81">
      <c r="A81" s="51" t="inlineStr">
        <is>
          <t>2024-03-20</t>
        </is>
      </c>
      <c r="B81" s="49" t="n">
        <v>112266</v>
      </c>
      <c r="C81" s="51" t="inlineStr">
        <is>
          <t>Group20_Ttareungyi_2024-2025.csv.csv</t>
        </is>
      </c>
      <c r="D81" s="51" t="str"/>
    </row>
    <row r="82">
      <c r="A82" s="51" t="inlineStr">
        <is>
          <t>2024-03-21</t>
        </is>
      </c>
      <c r="B82" s="49" t="n">
        <v>122101</v>
      </c>
      <c r="C82" s="51" t="inlineStr">
        <is>
          <t>Group20_Ttareungyi_2024-2025.csv.csv</t>
        </is>
      </c>
      <c r="D82" s="51" t="str"/>
    </row>
    <row r="83">
      <c r="A83" s="51" t="inlineStr">
        <is>
          <t>2024-03-22</t>
        </is>
      </c>
      <c r="B83" s="49" t="n">
        <v>81651</v>
      </c>
      <c r="C83" s="51" t="inlineStr">
        <is>
          <t>Group20_Ttareungyi_2024-2025.csv.csv</t>
        </is>
      </c>
      <c r="D83" s="51" t="str"/>
    </row>
    <row r="84">
      <c r="A84" s="51" t="inlineStr">
        <is>
          <t>2024-03-23</t>
        </is>
      </c>
      <c r="B84" s="49" t="n">
        <v>123500</v>
      </c>
      <c r="C84" s="51" t="inlineStr">
        <is>
          <t>Group20_Ttareungyi_2024-2025.csv.csv</t>
        </is>
      </c>
      <c r="D84" s="51" t="str"/>
    </row>
    <row r="85">
      <c r="A85" s="51" t="inlineStr">
        <is>
          <t>2024-03-24</t>
        </is>
      </c>
      <c r="B85" s="49" t="n">
        <v>142055</v>
      </c>
      <c r="C85" s="51" t="inlineStr">
        <is>
          <t>Group20_Ttareungyi_2024-2025.csv.csv</t>
        </is>
      </c>
      <c r="D85" s="51" t="str"/>
    </row>
    <row r="86">
      <c r="A86" s="51" t="inlineStr">
        <is>
          <t>2024-03-25</t>
        </is>
      </c>
      <c r="B86" s="49" t="n">
        <v>58723</v>
      </c>
      <c r="C86" s="51" t="inlineStr">
        <is>
          <t>Group20_Ttareungyi_2024-2025.csv.csv</t>
        </is>
      </c>
      <c r="D86" s="51" t="str"/>
    </row>
    <row r="87">
      <c r="A87" s="51" t="inlineStr">
        <is>
          <t>2024-03-26</t>
        </is>
      </c>
      <c r="B87" s="49" t="n">
        <v>87487</v>
      </c>
      <c r="C87" s="51" t="inlineStr">
        <is>
          <t>Group20_Ttareungyi_2024-2025.csv.csv</t>
        </is>
      </c>
      <c r="D87" s="51" t="str"/>
    </row>
    <row r="88">
      <c r="A88" s="51" t="inlineStr">
        <is>
          <t>2024-03-27</t>
        </is>
      </c>
      <c r="B88" s="49" t="n">
        <v>141391</v>
      </c>
      <c r="C88" s="51" t="inlineStr">
        <is>
          <t>Group20_Ttareungyi_2024-2025.csv.csv</t>
        </is>
      </c>
      <c r="D88" s="51" t="str"/>
    </row>
    <row r="89">
      <c r="A89" s="51" t="inlineStr">
        <is>
          <t>2024-03-28</t>
        </is>
      </c>
      <c r="B89" s="49" t="n">
        <v>88255</v>
      </c>
      <c r="C89" s="51" t="inlineStr">
        <is>
          <t>Group20_Ttareungyi_2024-2025.csv.csv</t>
        </is>
      </c>
      <c r="D89" s="51" t="str"/>
    </row>
    <row r="90">
      <c r="A90" s="51" t="inlineStr">
        <is>
          <t>2024-03-29</t>
        </is>
      </c>
      <c r="B90" s="49" t="n">
        <v>91980</v>
      </c>
      <c r="C90" s="51" t="inlineStr">
        <is>
          <t>Group20_Ttareungyi_2024-2025.csv.csv</t>
        </is>
      </c>
      <c r="D90" s="51" t="str"/>
    </row>
    <row r="91">
      <c r="A91" s="51" t="inlineStr">
        <is>
          <t>2024-03-30</t>
        </is>
      </c>
      <c r="B91" s="49" t="n">
        <v>111703</v>
      </c>
      <c r="C91" s="51" t="inlineStr">
        <is>
          <t>Group20_Ttareungyi_2024-2025.csv.csv</t>
        </is>
      </c>
      <c r="D91" s="51" t="str"/>
    </row>
    <row r="92">
      <c r="A92" s="51" t="inlineStr">
        <is>
          <t>2024-03-31</t>
        </is>
      </c>
      <c r="B92" s="49" t="n">
        <v>126238</v>
      </c>
      <c r="C92" s="51" t="inlineStr">
        <is>
          <t>Group20_Ttareungyi_2024-2025.csv.csv</t>
        </is>
      </c>
      <c r="D92" s="51" t="str"/>
    </row>
    <row r="93">
      <c r="A93" s="51" t="inlineStr">
        <is>
          <t>2024-04-01</t>
        </is>
      </c>
      <c r="B93" s="49" t="n">
        <v>149994</v>
      </c>
      <c r="C93" s="51" t="inlineStr">
        <is>
          <t>Group20_Ttareungyi_2024-2025.csv.csv</t>
        </is>
      </c>
      <c r="D93" s="51" t="str"/>
    </row>
    <row r="94">
      <c r="A94" s="51" t="inlineStr">
        <is>
          <t>2024-04-02</t>
        </is>
      </c>
      <c r="B94" s="49" t="n">
        <v>167897</v>
      </c>
      <c r="C94" s="51" t="inlineStr">
        <is>
          <t>Group20_Ttareungyi_2024-2025.csv.csv</t>
        </is>
      </c>
      <c r="D94" s="51" t="str"/>
    </row>
    <row r="95">
      <c r="A95" s="51" t="inlineStr">
        <is>
          <t>2024-04-03</t>
        </is>
      </c>
      <c r="B95" s="49" t="n">
        <v>152455</v>
      </c>
      <c r="C95" s="51" t="inlineStr">
        <is>
          <t>Group20_Ttareungyi_2024-2025.csv.csv</t>
        </is>
      </c>
      <c r="D95" s="51" t="str"/>
    </row>
    <row r="96">
      <c r="A96" s="51" t="inlineStr">
        <is>
          <t>2024-04-04</t>
        </is>
      </c>
      <c r="B96" s="49" t="n">
        <v>169109</v>
      </c>
      <c r="C96" s="51" t="inlineStr">
        <is>
          <t>Group20_Ttareungyi_2024-2025.csv.csv</t>
        </is>
      </c>
      <c r="D96" s="51" t="str"/>
    </row>
    <row r="97">
      <c r="A97" s="51" t="inlineStr">
        <is>
          <t>2024-04-05</t>
        </is>
      </c>
      <c r="B97" s="49" t="n">
        <v>175766</v>
      </c>
      <c r="C97" s="51" t="inlineStr">
        <is>
          <t>Group20_Ttareungyi_2024-2025.csv.csv</t>
        </is>
      </c>
      <c r="D97" s="51" t="str"/>
    </row>
    <row r="98">
      <c r="A98" s="51" t="inlineStr">
        <is>
          <t>2024-04-06</t>
        </is>
      </c>
      <c r="B98" s="49" t="n">
        <v>160688</v>
      </c>
      <c r="C98" s="51" t="inlineStr">
        <is>
          <t>Group20_Ttareungyi_2024-2025.csv.csv</t>
        </is>
      </c>
      <c r="D98" s="51" t="str"/>
    </row>
    <row r="99">
      <c r="A99" s="51" t="inlineStr">
        <is>
          <t>2024-04-07</t>
        </is>
      </c>
      <c r="B99" s="49" t="n">
        <v>155131</v>
      </c>
      <c r="C99" s="51" t="inlineStr">
        <is>
          <t>Group20_Ttareungyi_2024-2025.csv.csv</t>
        </is>
      </c>
      <c r="D99" s="51" t="str"/>
    </row>
    <row r="100">
      <c r="A100" s="51" t="inlineStr">
        <is>
          <t>2024-04-08</t>
        </is>
      </c>
      <c r="B100" s="49" t="n">
        <v>165751</v>
      </c>
      <c r="C100" s="51" t="inlineStr">
        <is>
          <t>Group20_Ttareungyi_2024-2025.csv.csv</t>
        </is>
      </c>
      <c r="D100" s="51" t="str"/>
    </row>
    <row r="101">
      <c r="A101" s="51" t="inlineStr">
        <is>
          <t>2024-04-09</t>
        </is>
      </c>
      <c r="B101" s="49" t="n">
        <v>175191</v>
      </c>
      <c r="C101" s="51" t="inlineStr">
        <is>
          <t>Group20_Ttareungyi_2024-2025.csv.csv</t>
        </is>
      </c>
      <c r="D101" s="51" t="str"/>
    </row>
    <row r="102">
      <c r="A102" s="51" t="inlineStr">
        <is>
          <t>2024-04-10</t>
        </is>
      </c>
      <c r="B102" s="49" t="n">
        <v>153280</v>
      </c>
      <c r="C102" s="51" t="inlineStr">
        <is>
          <t>Group20_Ttareungyi_2024-2025.csv.csv</t>
        </is>
      </c>
      <c r="D102" s="51" t="str"/>
    </row>
    <row r="103">
      <c r="A103" s="51" t="inlineStr">
        <is>
          <t>2024-04-11</t>
        </is>
      </c>
      <c r="B103" s="49" t="n">
        <v>159006</v>
      </c>
      <c r="C103" s="51" t="inlineStr">
        <is>
          <t>Group20_Ttareungyi_2024-2025.csv.csv</t>
        </is>
      </c>
      <c r="D103" s="51" t="str"/>
    </row>
    <row r="104">
      <c r="A104" s="51" t="inlineStr">
        <is>
          <t>2024-04-12</t>
        </is>
      </c>
      <c r="B104" s="49" t="n">
        <v>178578</v>
      </c>
      <c r="C104" s="51" t="inlineStr">
        <is>
          <t>Group20_Ttareungyi_2024-2025.csv.csv</t>
        </is>
      </c>
      <c r="D104" s="51" t="str"/>
    </row>
    <row r="105">
      <c r="A105" s="51" t="inlineStr">
        <is>
          <t>2024-04-13</t>
        </is>
      </c>
      <c r="B105" s="49" t="n">
        <v>162838</v>
      </c>
      <c r="C105" s="51" t="inlineStr">
        <is>
          <t>Group20_Ttareungyi_2024-2025.csv.csv</t>
        </is>
      </c>
      <c r="D105" s="51" t="str"/>
    </row>
    <row r="106">
      <c r="A106" s="51" t="inlineStr">
        <is>
          <t>2024-04-14</t>
        </is>
      </c>
      <c r="B106" s="49" t="n">
        <v>147693</v>
      </c>
      <c r="C106" s="51" t="inlineStr">
        <is>
          <t>Group20_Ttareungyi_2024-2025.csv.csv</t>
        </is>
      </c>
      <c r="D106" s="51" t="str"/>
    </row>
    <row r="107">
      <c r="A107" s="51" t="inlineStr">
        <is>
          <t>2024-04-15</t>
        </is>
      </c>
      <c r="B107" s="49" t="n">
        <v>62438</v>
      </c>
      <c r="C107" s="51" t="inlineStr">
        <is>
          <t>Group20_Ttareungyi_2024-2025.csv.csv</t>
        </is>
      </c>
      <c r="D107" s="51" t="str"/>
    </row>
    <row r="108">
      <c r="A108" s="51" t="inlineStr">
        <is>
          <t>2024-04-16</t>
        </is>
      </c>
      <c r="B108" s="49" t="n">
        <v>121305</v>
      </c>
      <c r="C108" s="51" t="inlineStr">
        <is>
          <t>Group20_Ttareungyi_2024-2025.csv.csv</t>
        </is>
      </c>
      <c r="D108" s="51" t="str"/>
    </row>
    <row r="109">
      <c r="A109" s="51" t="inlineStr">
        <is>
          <t>2024-04-17</t>
        </is>
      </c>
      <c r="B109" s="49" t="n">
        <v>163243</v>
      </c>
      <c r="C109" s="51" t="inlineStr">
        <is>
          <t>Group20_Ttareungyi_2024-2025.csv.csv</t>
        </is>
      </c>
      <c r="D109" s="51" t="str"/>
    </row>
    <row r="110">
      <c r="A110" s="51" t="inlineStr">
        <is>
          <t>2024-04-18</t>
        </is>
      </c>
      <c r="B110" s="49" t="n">
        <v>170392</v>
      </c>
      <c r="C110" s="51" t="inlineStr">
        <is>
          <t>Group20_Ttareungyi_2024-2025.csv.csv</t>
        </is>
      </c>
      <c r="D110" s="51" t="str"/>
    </row>
    <row r="111">
      <c r="A111" s="51" t="inlineStr">
        <is>
          <t>2024-04-19</t>
        </is>
      </c>
      <c r="B111" s="49" t="n">
        <v>176552</v>
      </c>
      <c r="C111" s="51" t="inlineStr">
        <is>
          <t>Group20_Ttareungyi_2024-2025.csv.csv</t>
        </is>
      </c>
      <c r="D111" s="51" t="str"/>
    </row>
    <row r="112">
      <c r="A112" s="51" t="inlineStr">
        <is>
          <t>2024-04-20</t>
        </is>
      </c>
      <c r="B112" s="49" t="n">
        <v>41454</v>
      </c>
      <c r="C112" s="51" t="inlineStr">
        <is>
          <t>Group20_Ttareungyi_2024-2025.csv.csv</t>
        </is>
      </c>
      <c r="D112" s="51" t="str"/>
    </row>
    <row r="113">
      <c r="A113" s="51" t="inlineStr">
        <is>
          <t>2024-04-21</t>
        </is>
      </c>
      <c r="B113" s="49" t="n">
        <v>129190</v>
      </c>
      <c r="C113" s="51" t="inlineStr">
        <is>
          <t>Group20_Ttareungyi_2024-2025.csv.csv</t>
        </is>
      </c>
      <c r="D113" s="51" t="str"/>
    </row>
    <row r="114">
      <c r="A114" s="51" t="inlineStr">
        <is>
          <t>2024-04-22</t>
        </is>
      </c>
      <c r="B114" s="49" t="n">
        <v>176570</v>
      </c>
      <c r="C114" s="51" t="inlineStr">
        <is>
          <t>Group20_Ttareungyi_2024-2025.csv.csv</t>
        </is>
      </c>
      <c r="D114" s="51" t="str"/>
    </row>
    <row r="115">
      <c r="A115" s="51" t="inlineStr">
        <is>
          <t>2024-04-23</t>
        </is>
      </c>
      <c r="B115" s="49" t="n">
        <v>151834</v>
      </c>
      <c r="C115" s="51" t="inlineStr">
        <is>
          <t>Group20_Ttareungyi_2024-2025.csv.csv</t>
        </is>
      </c>
      <c r="D115" s="51" t="str"/>
    </row>
    <row r="116">
      <c r="A116" s="51" t="inlineStr">
        <is>
          <t>2024-04-24</t>
        </is>
      </c>
      <c r="B116" s="49" t="n">
        <v>109241</v>
      </c>
      <c r="C116" s="51" t="inlineStr">
        <is>
          <t>Group20_Ttareungyi_2024-2025.csv.csv</t>
        </is>
      </c>
      <c r="D116" s="51" t="str"/>
    </row>
    <row r="117">
      <c r="A117" s="51" t="inlineStr">
        <is>
          <t>2024-04-25</t>
        </is>
      </c>
      <c r="B117" s="49" t="n">
        <v>170645</v>
      </c>
      <c r="C117" s="51" t="inlineStr">
        <is>
          <t>Group20_Ttareungyi_2024-2025.csv.csv</t>
        </is>
      </c>
      <c r="D117" s="51" t="str"/>
    </row>
    <row r="118">
      <c r="A118" s="51" t="inlineStr">
        <is>
          <t>2024-04-26</t>
        </is>
      </c>
      <c r="B118" s="49" t="n">
        <v>180694</v>
      </c>
      <c r="C118" s="51" t="inlineStr">
        <is>
          <t>Group20_Ttareungyi_2024-2025.csv.csv</t>
        </is>
      </c>
      <c r="D118" s="51" t="str"/>
    </row>
    <row r="119">
      <c r="A119" s="51" t="inlineStr">
        <is>
          <t>2024-04-27</t>
        </is>
      </c>
      <c r="B119" s="49" t="n">
        <v>161802</v>
      </c>
      <c r="C119" s="51" t="inlineStr">
        <is>
          <t>Group20_Ttareungyi_2024-2025.csv.csv</t>
        </is>
      </c>
      <c r="D119" s="51" t="str"/>
    </row>
    <row r="120">
      <c r="A120" s="51" t="inlineStr">
        <is>
          <t>2024-04-28</t>
        </is>
      </c>
      <c r="B120" s="49" t="n">
        <v>147977</v>
      </c>
      <c r="C120" s="51" t="inlineStr">
        <is>
          <t>Group20_Ttareungyi_2024-2025.csv.csv</t>
        </is>
      </c>
      <c r="D120" s="51" t="str"/>
    </row>
    <row r="121">
      <c r="A121" s="51" t="inlineStr">
        <is>
          <t>2024-04-29</t>
        </is>
      </c>
      <c r="B121" s="49" t="n">
        <v>180032</v>
      </c>
      <c r="C121" s="51" t="inlineStr">
        <is>
          <t>Group20_Ttareungyi_2024-2025.csv.csv</t>
        </is>
      </c>
      <c r="D121" s="51" t="str"/>
    </row>
    <row r="122">
      <c r="A122" s="51" t="inlineStr">
        <is>
          <t>2024-04-30</t>
        </is>
      </c>
      <c r="B122" s="49" t="n">
        <v>182952</v>
      </c>
      <c r="C122" s="51" t="inlineStr">
        <is>
          <t>Group20_Ttareungyi_2024-2025.csv.csv</t>
        </is>
      </c>
      <c r="D122" s="51" t="str"/>
    </row>
    <row r="123">
      <c r="A123" s="51" t="inlineStr">
        <is>
          <t>2024-05-01</t>
        </is>
      </c>
      <c r="B123" s="49" t="n">
        <v>181438</v>
      </c>
      <c r="C123" s="51" t="inlineStr">
        <is>
          <t>Group20_Ttareungyi_2024-2025.csv.csv</t>
        </is>
      </c>
      <c r="D123" s="51" t="str"/>
    </row>
    <row r="124">
      <c r="A124" s="51" t="inlineStr">
        <is>
          <t>2024-05-02</t>
        </is>
      </c>
      <c r="B124" s="49" t="n">
        <v>186102</v>
      </c>
      <c r="C124" s="51" t="inlineStr">
        <is>
          <t>Group20_Ttareungyi_2024-2025.csv.csv</t>
        </is>
      </c>
      <c r="D124" s="51" t="str"/>
    </row>
    <row r="125">
      <c r="A125" s="51" t="inlineStr">
        <is>
          <t>2024-05-03</t>
        </is>
      </c>
      <c r="B125" s="49" t="n">
        <v>190513</v>
      </c>
      <c r="C125" s="51" t="inlineStr">
        <is>
          <t>Group20_Ttareungyi_2024-2025.csv.csv</t>
        </is>
      </c>
      <c r="D125" s="51" t="str"/>
    </row>
    <row r="126">
      <c r="A126" s="51" t="inlineStr">
        <is>
          <t>2024-05-04</t>
        </is>
      </c>
      <c r="B126" s="49" t="n">
        <v>157012</v>
      </c>
      <c r="C126" s="51" t="inlineStr">
        <is>
          <t>Group20_Ttareungyi_2024-2025.csv.csv</t>
        </is>
      </c>
      <c r="D126" s="51" t="str"/>
    </row>
    <row r="127">
      <c r="A127" s="51" t="inlineStr">
        <is>
          <t>2024-05-05</t>
        </is>
      </c>
      <c r="B127" s="49" t="n">
        <v>14293</v>
      </c>
      <c r="C127" s="51" t="inlineStr">
        <is>
          <t>Group20_Ttareungyi_2024-2025.csv.csv</t>
        </is>
      </c>
      <c r="D127" s="51" t="str"/>
    </row>
    <row r="128">
      <c r="A128" s="51" t="inlineStr">
        <is>
          <t>2024-05-06</t>
        </is>
      </c>
      <c r="B128" s="49" t="n">
        <v>25673</v>
      </c>
      <c r="C128" s="51" t="inlineStr">
        <is>
          <t>Group20_Ttareungyi_2024-2025.csv.csv</t>
        </is>
      </c>
      <c r="D128" s="51" t="str"/>
    </row>
    <row r="129">
      <c r="A129" s="51" t="inlineStr">
        <is>
          <t>2024-05-07</t>
        </is>
      </c>
      <c r="B129" s="49" t="n">
        <v>73349</v>
      </c>
      <c r="C129" s="51" t="inlineStr">
        <is>
          <t>Group20_Ttareungyi_2024-2025.csv.csv</t>
        </is>
      </c>
      <c r="D129" s="51" t="str"/>
    </row>
    <row r="130">
      <c r="A130" s="51" t="inlineStr">
        <is>
          <t>2024-05-08</t>
        </is>
      </c>
      <c r="B130" s="49" t="n">
        <v>176782</v>
      </c>
      <c r="C130" s="51" t="inlineStr">
        <is>
          <t>Group20_Ttareungyi_2024-2025.csv.csv</t>
        </is>
      </c>
      <c r="D130" s="51" t="str"/>
    </row>
    <row r="131">
      <c r="A131" s="51" t="inlineStr">
        <is>
          <t>2024-05-09</t>
        </is>
      </c>
      <c r="B131" s="49" t="n">
        <v>177943</v>
      </c>
      <c r="C131" s="51" t="inlineStr">
        <is>
          <t>Group20_Ttareungyi_2024-2025.csv.csv</t>
        </is>
      </c>
      <c r="D131" s="51" t="str"/>
    </row>
    <row r="132">
      <c r="A132" s="51" t="inlineStr">
        <is>
          <t>2024-05-10</t>
        </is>
      </c>
      <c r="B132" s="49" t="n">
        <v>189085</v>
      </c>
      <c r="C132" s="51" t="inlineStr">
        <is>
          <t>Group20_Ttareungyi_2024-2025.csv.csv</t>
        </is>
      </c>
      <c r="D132" s="51" t="str"/>
    </row>
    <row r="133">
      <c r="A133" s="51" t="inlineStr">
        <is>
          <t>2024-05-11</t>
        </is>
      </c>
      <c r="B133" s="49" t="n">
        <v>62198</v>
      </c>
      <c r="C133" s="51" t="inlineStr">
        <is>
          <t>Group20_Ttareungyi_2024-2025.csv.csv</t>
        </is>
      </c>
      <c r="D133" s="51" t="str"/>
    </row>
    <row r="134">
      <c r="A134" s="51" t="inlineStr">
        <is>
          <t>2024-05-12</t>
        </is>
      </c>
      <c r="B134" s="49" t="n">
        <v>146930</v>
      </c>
      <c r="C134" s="51" t="inlineStr">
        <is>
          <t>Group20_Ttareungyi_2024-2025.csv.csv</t>
        </is>
      </c>
      <c r="D134" s="51" t="str"/>
    </row>
    <row r="135">
      <c r="A135" s="51" t="inlineStr">
        <is>
          <t>2024-05-13</t>
        </is>
      </c>
      <c r="B135" s="49" t="n">
        <v>182533</v>
      </c>
      <c r="C135" s="51" t="inlineStr">
        <is>
          <t>Group20_Ttareungyi_2024-2025.csv.csv</t>
        </is>
      </c>
      <c r="D135" s="51" t="str"/>
    </row>
    <row r="136">
      <c r="A136" s="51" t="inlineStr">
        <is>
          <t>2024-05-14</t>
        </is>
      </c>
      <c r="B136" s="49" t="n">
        <v>192259</v>
      </c>
      <c r="C136" s="51" t="inlineStr">
        <is>
          <t>Group20_Ttareungyi_2024-2025.csv.csv</t>
        </is>
      </c>
      <c r="D136" s="51" t="str"/>
    </row>
    <row r="137">
      <c r="A137" s="51" t="inlineStr">
        <is>
          <t>2024-05-15</t>
        </is>
      </c>
      <c r="B137" s="49" t="n">
        <v>54561</v>
      </c>
      <c r="C137" s="51" t="inlineStr">
        <is>
          <t>Group20_Ttareungyi_2024-2025.csv.csv</t>
        </is>
      </c>
      <c r="D137" s="51" t="str"/>
    </row>
    <row r="138">
      <c r="A138" s="51" t="inlineStr">
        <is>
          <t>2024-05-16</t>
        </is>
      </c>
      <c r="B138" s="49" t="n">
        <v>171716</v>
      </c>
      <c r="C138" s="51" t="inlineStr">
        <is>
          <t>Group20_Ttareungyi_2024-2025.csv.csv</t>
        </is>
      </c>
      <c r="D138" s="51" t="str"/>
    </row>
    <row r="139">
      <c r="A139" s="51" t="inlineStr">
        <is>
          <t>2024-05-17</t>
        </is>
      </c>
      <c r="B139" s="49" t="n">
        <v>190743</v>
      </c>
      <c r="C139" s="51" t="inlineStr">
        <is>
          <t>Group20_Ttareungyi_2024-2025.csv.csv</t>
        </is>
      </c>
      <c r="D139" s="51" t="str"/>
    </row>
    <row r="140">
      <c r="A140" s="51" t="inlineStr">
        <is>
          <t>2024-05-18</t>
        </is>
      </c>
      <c r="B140" s="49" t="n">
        <v>169965</v>
      </c>
      <c r="C140" s="51" t="inlineStr">
        <is>
          <t>Group20_Ttareungyi_2024-2025.csv.csv</t>
        </is>
      </c>
      <c r="D140" s="51" t="str"/>
    </row>
    <row r="141">
      <c r="A141" s="51" t="inlineStr">
        <is>
          <t>2024-05-19</t>
        </is>
      </c>
      <c r="B141" s="49" t="n">
        <v>152131</v>
      </c>
      <c r="C141" s="51" t="inlineStr">
        <is>
          <t>Group20_Ttareungyi_2024-2025.csv.csv</t>
        </is>
      </c>
      <c r="D141" s="51" t="str"/>
    </row>
    <row r="142">
      <c r="A142" s="51" t="inlineStr">
        <is>
          <t>2024-05-20</t>
        </is>
      </c>
      <c r="B142" s="49" t="n">
        <v>178251</v>
      </c>
      <c r="C142" s="51" t="inlineStr">
        <is>
          <t>Group20_Ttareungyi_2024-2025.csv.csv</t>
        </is>
      </c>
      <c r="D142" s="51" t="str"/>
    </row>
    <row r="143">
      <c r="A143" s="51" t="inlineStr">
        <is>
          <t>2024-05-21</t>
        </is>
      </c>
      <c r="B143" s="49" t="n">
        <v>186294</v>
      </c>
      <c r="C143" s="51" t="inlineStr">
        <is>
          <t>Group20_Ttareungyi_2024-2025.csv.csv</t>
        </is>
      </c>
      <c r="D143" s="51" t="str"/>
    </row>
    <row r="144">
      <c r="A144" s="51" t="inlineStr">
        <is>
          <t>2024-05-22</t>
        </is>
      </c>
      <c r="B144" s="49" t="n">
        <v>186670</v>
      </c>
      <c r="C144" s="51" t="inlineStr">
        <is>
          <t>Group20_Ttareungyi_2024-2025.csv.csv</t>
        </is>
      </c>
      <c r="D144" s="51" t="str"/>
    </row>
    <row r="145">
      <c r="A145" s="51" t="inlineStr">
        <is>
          <t>2024-05-23</t>
        </is>
      </c>
      <c r="B145" s="49" t="n">
        <v>185654</v>
      </c>
      <c r="C145" s="51" t="inlineStr">
        <is>
          <t>Group20_Ttareungyi_2024-2025.csv.csv</t>
        </is>
      </c>
      <c r="D145" s="51" t="str"/>
    </row>
    <row r="146">
      <c r="A146" s="51" t="inlineStr">
        <is>
          <t>2024-05-24</t>
        </is>
      </c>
      <c r="B146" s="49" t="n">
        <v>189912</v>
      </c>
      <c r="C146" s="51" t="inlineStr">
        <is>
          <t>Group20_Ttareungyi_2024-2025.csv.csv</t>
        </is>
      </c>
      <c r="D146" s="51" t="str"/>
    </row>
    <row r="147">
      <c r="A147" s="51" t="inlineStr">
        <is>
          <t>2024-05-25</t>
        </is>
      </c>
      <c r="B147" s="49" t="n">
        <v>167421</v>
      </c>
      <c r="C147" s="51" t="inlineStr">
        <is>
          <t>Group20_Ttareungyi_2024-2025.csv.csv</t>
        </is>
      </c>
      <c r="D147" s="51" t="str"/>
    </row>
    <row r="148">
      <c r="A148" s="51" t="inlineStr">
        <is>
          <t>2024-05-26</t>
        </is>
      </c>
      <c r="B148" s="49" t="n">
        <v>62694</v>
      </c>
      <c r="C148" s="51" t="inlineStr">
        <is>
          <t>Group20_Ttareungyi_2024-2025.csv.csv</t>
        </is>
      </c>
      <c r="D148" s="51" t="str"/>
    </row>
    <row r="149">
      <c r="A149" s="51" t="inlineStr">
        <is>
          <t>2024-05-27</t>
        </is>
      </c>
      <c r="B149" s="49" t="n">
        <v>179250</v>
      </c>
      <c r="C149" s="51" t="inlineStr">
        <is>
          <t>Group20_Ttareungyi_2024-2025.csv.csv</t>
        </is>
      </c>
      <c r="D149" s="51" t="str"/>
    </row>
    <row r="150">
      <c r="A150" s="51" t="inlineStr">
        <is>
          <t>2024-05-28</t>
        </is>
      </c>
      <c r="B150" s="49" t="n">
        <v>193341</v>
      </c>
      <c r="C150" s="51" t="inlineStr">
        <is>
          <t>Group20_Ttareungyi_2024-2025.csv.csv</t>
        </is>
      </c>
      <c r="D150" s="51" t="str"/>
    </row>
    <row r="151">
      <c r="A151" s="51" t="inlineStr">
        <is>
          <t>2024-05-29</t>
        </is>
      </c>
      <c r="B151" s="49" t="n">
        <v>189814</v>
      </c>
      <c r="C151" s="51" t="inlineStr">
        <is>
          <t>Group20_Ttareungyi_2024-2025.csv.csv</t>
        </is>
      </c>
      <c r="D151" s="51" t="str"/>
    </row>
    <row r="152">
      <c r="A152" s="51" t="inlineStr">
        <is>
          <t>2024-05-30</t>
        </is>
      </c>
      <c r="B152" s="49" t="n">
        <v>187446</v>
      </c>
      <c r="C152" s="51" t="inlineStr">
        <is>
          <t>Group20_Ttareungyi_2024-2025.csv.csv</t>
        </is>
      </c>
      <c r="D152" s="51" t="str"/>
    </row>
    <row r="153">
      <c r="A153" s="51" t="inlineStr">
        <is>
          <t>2024-05-31</t>
        </is>
      </c>
      <c r="B153" s="49" t="n">
        <v>186890</v>
      </c>
      <c r="C153" s="51" t="inlineStr">
        <is>
          <t>Group20_Ttareungyi_2024-2025.csv.csv</t>
        </is>
      </c>
      <c r="D153" s="51" t="str"/>
    </row>
    <row r="154">
      <c r="A154" s="51" t="inlineStr">
        <is>
          <t>2024-06-01</t>
        </is>
      </c>
      <c r="B154" s="49" t="n">
        <v>167882</v>
      </c>
      <c r="C154" s="51" t="inlineStr">
        <is>
          <t>Group20_Ttareungyi_2024-2025.csv.csv</t>
        </is>
      </c>
      <c r="D154" s="51" t="str"/>
    </row>
    <row r="155">
      <c r="A155" s="51" t="inlineStr">
        <is>
          <t>2024-06-02</t>
        </is>
      </c>
      <c r="B155" s="49" t="n">
        <v>154179</v>
      </c>
      <c r="C155" s="51" t="inlineStr">
        <is>
          <t>Group20_Ttareungyi_2024-2025.csv.csv</t>
        </is>
      </c>
      <c r="D155" s="51" t="str"/>
    </row>
    <row r="156">
      <c r="A156" s="51" t="inlineStr">
        <is>
          <t>2024-06-03</t>
        </is>
      </c>
      <c r="B156" s="49" t="n">
        <v>187320</v>
      </c>
      <c r="C156" s="51" t="inlineStr">
        <is>
          <t>Group20_Ttareungyi_2024-2025.csv.csv</t>
        </is>
      </c>
      <c r="D156" s="51" t="str"/>
    </row>
    <row r="157">
      <c r="A157" s="51" t="inlineStr">
        <is>
          <t>2024-06-04</t>
        </is>
      </c>
      <c r="B157" s="49" t="n">
        <v>194251</v>
      </c>
      <c r="C157" s="51" t="inlineStr">
        <is>
          <t>Group20_Ttareungyi_2024-2025.csv.csv</t>
        </is>
      </c>
      <c r="D157" s="51" t="str"/>
    </row>
    <row r="158">
      <c r="A158" s="51" t="inlineStr">
        <is>
          <t>2024-06-05</t>
        </is>
      </c>
      <c r="B158" s="49" t="n">
        <v>193161</v>
      </c>
      <c r="C158" s="51" t="inlineStr">
        <is>
          <t>Group20_Ttareungyi_2024-2025.csv.csv</t>
        </is>
      </c>
      <c r="D158" s="51" t="str"/>
    </row>
    <row r="159">
      <c r="A159" s="51" t="inlineStr">
        <is>
          <t>2024-06-06</t>
        </is>
      </c>
      <c r="B159" s="49" t="n">
        <v>150186</v>
      </c>
      <c r="C159" s="51" t="inlineStr">
        <is>
          <t>Group20_Ttareungyi_2024-2025.csv.csv</t>
        </is>
      </c>
      <c r="D159" s="51" t="str"/>
    </row>
    <row r="160">
      <c r="A160" s="51" t="inlineStr">
        <is>
          <t>2024-06-07</t>
        </is>
      </c>
      <c r="B160" s="49" t="n">
        <v>176149</v>
      </c>
      <c r="C160" s="51" t="inlineStr">
        <is>
          <t>Group20_Ttareungyi_2024-2025.csv.csv</t>
        </is>
      </c>
      <c r="D160" s="51" t="str"/>
    </row>
    <row r="161">
      <c r="A161" s="51" t="inlineStr">
        <is>
          <t>2024-06-08</t>
        </is>
      </c>
      <c r="B161" s="49" t="n">
        <v>108167</v>
      </c>
      <c r="C161" s="51" t="inlineStr">
        <is>
          <t>Group20_Ttareungyi_2024-2025.csv.csv</t>
        </is>
      </c>
      <c r="D161" s="51" t="str"/>
    </row>
    <row r="162">
      <c r="A162" s="51" t="inlineStr">
        <is>
          <t>2024-06-09</t>
        </is>
      </c>
      <c r="B162" s="49" t="n">
        <v>144223</v>
      </c>
      <c r="C162" s="51" t="inlineStr">
        <is>
          <t>Group20_Ttareungyi_2024-2025.csv.csv</t>
        </is>
      </c>
      <c r="D162" s="51" t="str"/>
    </row>
    <row r="163">
      <c r="A163" s="51" t="inlineStr">
        <is>
          <t>2024-06-10</t>
        </is>
      </c>
      <c r="B163" s="49" t="n">
        <v>184809</v>
      </c>
      <c r="C163" s="51" t="inlineStr">
        <is>
          <t>Group20_Ttareungyi_2024-2025.csv.csv</t>
        </is>
      </c>
      <c r="D163" s="51" t="str"/>
    </row>
    <row r="164">
      <c r="A164" s="51" t="inlineStr">
        <is>
          <t>2024-06-11</t>
        </is>
      </c>
      <c r="B164" s="49" t="n">
        <v>185339</v>
      </c>
      <c r="C164" s="51" t="inlineStr">
        <is>
          <t>Group20_Ttareungyi_2024-2025.csv.csv</t>
        </is>
      </c>
      <c r="D164" s="51" t="str"/>
    </row>
    <row r="165">
      <c r="A165" s="51" t="inlineStr">
        <is>
          <t>2024-06-12</t>
        </is>
      </c>
      <c r="B165" s="49" t="n">
        <v>185735</v>
      </c>
      <c r="C165" s="51" t="inlineStr">
        <is>
          <t>Group20_Ttareungyi_2024-2025.csv.csv</t>
        </is>
      </c>
      <c r="D165" s="51" t="str"/>
    </row>
    <row r="166">
      <c r="A166" s="51" t="inlineStr">
        <is>
          <t>2024-06-13</t>
        </is>
      </c>
      <c r="B166" s="49" t="n">
        <v>180565</v>
      </c>
      <c r="C166" s="51" t="inlineStr">
        <is>
          <t>Group20_Ttareungyi_2024-2025.csv.csv</t>
        </is>
      </c>
      <c r="D166" s="51" t="str"/>
    </row>
    <row r="167">
      <c r="A167" s="51" t="inlineStr">
        <is>
          <t>2024-06-14</t>
        </is>
      </c>
      <c r="B167" s="49" t="n">
        <v>184771</v>
      </c>
      <c r="C167" s="51" t="inlineStr">
        <is>
          <t>Group20_Ttareungyi_2024-2025.csv.csv</t>
        </is>
      </c>
      <c r="D167" s="51" t="str"/>
    </row>
    <row r="168">
      <c r="A168" s="51" t="inlineStr">
        <is>
          <t>2024-06-15</t>
        </is>
      </c>
      <c r="B168" s="49" t="n">
        <v>135545</v>
      </c>
      <c r="C168" s="51" t="inlineStr">
        <is>
          <t>Group20_Ttareungyi_2024-2025.csv.csv</t>
        </is>
      </c>
      <c r="D168" s="51" t="str"/>
    </row>
    <row r="169">
      <c r="A169" s="51" t="inlineStr">
        <is>
          <t>2024-06-16</t>
        </is>
      </c>
      <c r="B169" s="49" t="n">
        <v>138902</v>
      </c>
      <c r="C169" s="51" t="inlineStr">
        <is>
          <t>Group20_Ttareungyi_2024-2025.csv.csv</t>
        </is>
      </c>
      <c r="D169" s="51" t="str"/>
    </row>
    <row r="170">
      <c r="A170" s="51" t="inlineStr">
        <is>
          <t>2024-06-17</t>
        </is>
      </c>
      <c r="B170" s="49" t="n">
        <v>183972</v>
      </c>
      <c r="C170" s="51" t="inlineStr">
        <is>
          <t>Group20_Ttareungyi_2024-2025.csv.csv</t>
        </is>
      </c>
      <c r="D170" s="51" t="str"/>
    </row>
    <row r="171">
      <c r="A171" s="51" t="inlineStr">
        <is>
          <t>2024-06-18</t>
        </is>
      </c>
      <c r="B171" s="49" t="n">
        <v>185037</v>
      </c>
      <c r="C171" s="51" t="inlineStr">
        <is>
          <t>Group20_Ttareungyi_2024-2025.csv.csv</t>
        </is>
      </c>
      <c r="D171" s="51" t="str"/>
    </row>
    <row r="172">
      <c r="A172" s="51" t="inlineStr">
        <is>
          <t>2024-06-19</t>
        </is>
      </c>
      <c r="B172" s="49" t="n">
        <v>176976</v>
      </c>
      <c r="C172" s="51" t="inlineStr">
        <is>
          <t>Group20_Ttareungyi_2024-2025.csv.csv</t>
        </is>
      </c>
      <c r="D172" s="51" t="str"/>
    </row>
    <row r="173">
      <c r="A173" s="51" t="inlineStr">
        <is>
          <t>2024-06-20</t>
        </is>
      </c>
      <c r="B173" s="49" t="n">
        <v>176280</v>
      </c>
      <c r="C173" s="51" t="inlineStr">
        <is>
          <t>Group20_Ttareungyi_2024-2025.csv.csv</t>
        </is>
      </c>
      <c r="D173" s="51" t="str"/>
    </row>
    <row r="174">
      <c r="A174" s="51" t="inlineStr">
        <is>
          <t>2024-06-21</t>
        </is>
      </c>
      <c r="B174" s="49" t="n">
        <v>181228</v>
      </c>
      <c r="C174" s="51" t="inlineStr">
        <is>
          <t>Group20_Ttareungyi_2024-2025.csv.csv</t>
        </is>
      </c>
      <c r="D174" s="51" t="str"/>
    </row>
    <row r="175">
      <c r="A175" s="51" t="inlineStr">
        <is>
          <t>2024-06-22</t>
        </is>
      </c>
      <c r="B175" s="49" t="n">
        <v>60126</v>
      </c>
      <c r="C175" s="51" t="inlineStr">
        <is>
          <t>Group20_Ttareungyi_2024-2025.csv.csv</t>
        </is>
      </c>
      <c r="D175" s="51" t="str"/>
    </row>
    <row r="176">
      <c r="A176" s="51" t="inlineStr">
        <is>
          <t>2024-06-23</t>
        </is>
      </c>
      <c r="B176" s="49" t="n">
        <v>106449</v>
      </c>
      <c r="C176" s="51" t="inlineStr">
        <is>
          <t>Group20_Ttareungyi_2024-2025.csv.csv</t>
        </is>
      </c>
      <c r="D176" s="51" t="str"/>
    </row>
    <row r="177">
      <c r="A177" s="51" t="inlineStr">
        <is>
          <t>2024-06-24</t>
        </is>
      </c>
      <c r="B177" s="49" t="n">
        <v>176784</v>
      </c>
      <c r="C177" s="51" t="inlineStr">
        <is>
          <t>Group20_Ttareungyi_2024-2025.csv.csv</t>
        </is>
      </c>
      <c r="D177" s="51" t="str"/>
    </row>
    <row r="178">
      <c r="A178" s="51" t="inlineStr">
        <is>
          <t>2024-06-25</t>
        </is>
      </c>
      <c r="B178" s="49" t="n">
        <v>194241</v>
      </c>
      <c r="C178" s="51" t="inlineStr">
        <is>
          <t>Group20_Ttareungyi_2024-2025.csv.csv</t>
        </is>
      </c>
      <c r="D178" s="51" t="str"/>
    </row>
    <row r="179">
      <c r="A179" s="51" t="inlineStr">
        <is>
          <t>2024-06-26</t>
        </is>
      </c>
      <c r="B179" s="49" t="n">
        <v>186825</v>
      </c>
      <c r="C179" s="51" t="inlineStr">
        <is>
          <t>Group20_Ttareungyi_2024-2025.csv.csv</t>
        </is>
      </c>
      <c r="D179" s="51" t="str"/>
    </row>
    <row r="180">
      <c r="A180" s="51" t="inlineStr">
        <is>
          <t>2024-06-27</t>
        </is>
      </c>
      <c r="B180" s="49" t="n">
        <v>184932</v>
      </c>
      <c r="C180" s="51" t="inlineStr">
        <is>
          <t>Group20_Ttareungyi_2024-2025.csv.csv</t>
        </is>
      </c>
      <c r="D180" s="51" t="str"/>
    </row>
    <row r="181">
      <c r="A181" s="51" t="inlineStr">
        <is>
          <t>2024-06-28</t>
        </is>
      </c>
      <c r="B181" s="49" t="n">
        <v>178132</v>
      </c>
      <c r="C181" s="51" t="inlineStr">
        <is>
          <t>Group20_Ttareungyi_2024-2025.csv.csv</t>
        </is>
      </c>
      <c r="D181" s="51" t="str"/>
    </row>
    <row r="182">
      <c r="A182" s="51" t="inlineStr">
        <is>
          <t>2024-06-29</t>
        </is>
      </c>
      <c r="B182" s="49" t="n">
        <v>99995</v>
      </c>
      <c r="C182" s="51" t="inlineStr">
        <is>
          <t>Group20_Ttareungyi_2024-2025.csv.csv</t>
        </is>
      </c>
      <c r="D182" s="51" t="str"/>
    </row>
    <row r="183">
      <c r="A183" s="51" t="inlineStr">
        <is>
          <t>2024-06-30</t>
        </is>
      </c>
      <c r="B183" s="49" t="n">
        <v>95578</v>
      </c>
      <c r="C183" s="51" t="inlineStr">
        <is>
          <t>Group20_Ttareungyi_2024-2025.csv.csv</t>
        </is>
      </c>
      <c r="D183" s="51" t="str"/>
    </row>
    <row r="184">
      <c r="A184" s="51" t="inlineStr">
        <is>
          <t>2024-07-01</t>
        </is>
      </c>
      <c r="B184" s="49" t="n">
        <v>182407</v>
      </c>
      <c r="C184" s="51" t="inlineStr">
        <is>
          <t>Group20_Ttareungyi_2024-2025.csv.csv</t>
        </is>
      </c>
      <c r="D184" s="51" t="str"/>
    </row>
    <row r="185">
      <c r="A185" s="51" t="inlineStr">
        <is>
          <t>2024-07-02</t>
        </is>
      </c>
      <c r="B185" s="49" t="n">
        <v>39423</v>
      </c>
      <c r="C185" s="51" t="inlineStr">
        <is>
          <t>Group20_Ttareungyi_2024-2025.csv.csv</t>
        </is>
      </c>
      <c r="D185" s="51" t="str"/>
    </row>
    <row r="186">
      <c r="A186" s="51" t="inlineStr">
        <is>
          <t>2024-07-03</t>
        </is>
      </c>
      <c r="B186" s="49" t="n">
        <v>164914</v>
      </c>
      <c r="C186" s="51" t="inlineStr">
        <is>
          <t>Group20_Ttareungyi_2024-2025.csv.csv</t>
        </is>
      </c>
      <c r="D186" s="51" t="str"/>
    </row>
    <row r="187">
      <c r="A187" s="51" t="inlineStr">
        <is>
          <t>2024-07-04</t>
        </is>
      </c>
      <c r="B187" s="49" t="n">
        <v>158332</v>
      </c>
      <c r="C187" s="51" t="inlineStr">
        <is>
          <t>Group20_Ttareungyi_2024-2025.csv.csv</t>
        </is>
      </c>
      <c r="D187" s="51" t="str"/>
    </row>
    <row r="188">
      <c r="A188" s="51" t="inlineStr">
        <is>
          <t>2024-07-05</t>
        </is>
      </c>
      <c r="B188" s="49" t="n">
        <v>170990</v>
      </c>
      <c r="C188" s="51" t="inlineStr">
        <is>
          <t>Group20_Ttareungyi_2024-2025.csv.csv</t>
        </is>
      </c>
      <c r="D188" s="51" t="str"/>
    </row>
    <row r="189">
      <c r="A189" s="51" t="inlineStr">
        <is>
          <t>2024-07-06</t>
        </is>
      </c>
      <c r="B189" s="49" t="n">
        <v>95365</v>
      </c>
      <c r="C189" s="51" t="inlineStr">
        <is>
          <t>Group20_Ttareungyi_2024-2025.csv.csv</t>
        </is>
      </c>
      <c r="D189" s="51" t="str"/>
    </row>
    <row r="190">
      <c r="A190" s="51" t="inlineStr">
        <is>
          <t>2024-07-07</t>
        </is>
      </c>
      <c r="B190" s="49" t="n">
        <v>82458</v>
      </c>
      <c r="C190" s="51" t="inlineStr">
        <is>
          <t>Group20_Ttareungyi_2024-2025.csv.csv</t>
        </is>
      </c>
      <c r="D190" s="51" t="str"/>
    </row>
    <row r="191">
      <c r="A191" s="51" t="inlineStr">
        <is>
          <t>2024-07-08</t>
        </is>
      </c>
      <c r="B191" s="49" t="n">
        <v>49085</v>
      </c>
      <c r="C191" s="51" t="inlineStr">
        <is>
          <t>Group20_Ttareungyi_2024-2025.csv.csv</t>
        </is>
      </c>
      <c r="D191" s="51" t="str"/>
    </row>
    <row r="192">
      <c r="A192" s="51" t="inlineStr">
        <is>
          <t>2024-07-09</t>
        </is>
      </c>
      <c r="B192" s="49" t="n">
        <v>131039</v>
      </c>
      <c r="C192" s="51" t="inlineStr">
        <is>
          <t>Group20_Ttareungyi_2024-2025.csv.csv</t>
        </is>
      </c>
      <c r="D192" s="51" t="str"/>
    </row>
    <row r="193">
      <c r="A193" s="51" t="inlineStr">
        <is>
          <t>2024-07-10</t>
        </is>
      </c>
      <c r="B193" s="49" t="n">
        <v>157079</v>
      </c>
      <c r="C193" s="51" t="inlineStr">
        <is>
          <t>Group20_Ttareungyi_2024-2025.csv.csv</t>
        </is>
      </c>
      <c r="D193" s="51" t="str"/>
    </row>
    <row r="194">
      <c r="A194" s="51" t="inlineStr">
        <is>
          <t>2024-07-11</t>
        </is>
      </c>
      <c r="B194" s="49" t="n">
        <v>176877</v>
      </c>
      <c r="C194" s="51" t="inlineStr">
        <is>
          <t>Group20_Ttareungyi_2024-2025.csv.csv</t>
        </is>
      </c>
      <c r="D194" s="51" t="str"/>
    </row>
    <row r="195">
      <c r="A195" s="51" t="inlineStr">
        <is>
          <t>2024-07-12</t>
        </is>
      </c>
      <c r="B195" s="49" t="n">
        <v>178467</v>
      </c>
      <c r="C195" s="51" t="inlineStr">
        <is>
          <t>Group20_Ttareungyi_2024-2025.csv.csv</t>
        </is>
      </c>
      <c r="D195" s="51" t="str"/>
    </row>
    <row r="196">
      <c r="A196" s="51" t="inlineStr">
        <is>
          <t>2024-07-13</t>
        </is>
      </c>
      <c r="B196" s="49" t="n">
        <v>132042</v>
      </c>
      <c r="C196" s="51" t="inlineStr">
        <is>
          <t>Group20_Ttareungyi_2024-2025.csv.csv</t>
        </is>
      </c>
      <c r="D196" s="51" t="str"/>
    </row>
    <row r="197">
      <c r="A197" s="51" t="inlineStr">
        <is>
          <t>2024-07-14</t>
        </is>
      </c>
      <c r="B197" s="49" t="n">
        <v>116652</v>
      </c>
      <c r="C197" s="51" t="inlineStr">
        <is>
          <t>Group20_Ttareungyi_2024-2025.csv.csv</t>
        </is>
      </c>
      <c r="D197" s="51" t="str"/>
    </row>
    <row r="198">
      <c r="A198" s="51" t="inlineStr">
        <is>
          <t>2024-07-15</t>
        </is>
      </c>
      <c r="B198" s="49" t="n">
        <v>166488</v>
      </c>
      <c r="C198" s="51" t="inlineStr">
        <is>
          <t>Group20_Ttareungyi_2024-2025.csv.csv</t>
        </is>
      </c>
      <c r="D198" s="51" t="str"/>
    </row>
    <row r="199">
      <c r="A199" s="51" t="inlineStr">
        <is>
          <t>2024-07-16</t>
        </is>
      </c>
      <c r="B199" s="49" t="n">
        <v>93992</v>
      </c>
      <c r="C199" s="51" t="inlineStr">
        <is>
          <t>Group20_Ttareungyi_2024-2025.csv.csv</t>
        </is>
      </c>
      <c r="D199" s="51" t="str"/>
    </row>
    <row r="200">
      <c r="A200" s="51" t="inlineStr">
        <is>
          <t>2024-07-17</t>
        </is>
      </c>
      <c r="B200" s="49" t="n">
        <v>51997</v>
      </c>
      <c r="C200" s="51" t="inlineStr">
        <is>
          <t>Group20_Ttareungyi_2024-2025.csv.csv</t>
        </is>
      </c>
      <c r="D200" s="51" t="str"/>
    </row>
    <row r="201">
      <c r="A201" s="51" t="inlineStr">
        <is>
          <t>2024-07-18</t>
        </is>
      </c>
      <c r="B201" s="49" t="n">
        <v>42866</v>
      </c>
      <c r="C201" s="51" t="inlineStr">
        <is>
          <t>Group20_Ttareungyi_2024-2025.csv.csv</t>
        </is>
      </c>
      <c r="D201" s="51" t="str"/>
    </row>
    <row r="202">
      <c r="A202" s="51" t="inlineStr">
        <is>
          <t>2024-07-19</t>
        </is>
      </c>
      <c r="B202" s="49" t="n">
        <v>158608</v>
      </c>
      <c r="C202" s="51" t="inlineStr">
        <is>
          <t>Group20_Ttareungyi_2024-2025.csv.csv</t>
        </is>
      </c>
      <c r="D202" s="51" t="str"/>
    </row>
    <row r="203">
      <c r="A203" s="51" t="inlineStr">
        <is>
          <t>2024-07-20</t>
        </is>
      </c>
      <c r="B203" s="49" t="n">
        <v>84487</v>
      </c>
      <c r="C203" s="51" t="inlineStr">
        <is>
          <t>Group20_Ttareungyi_2024-2025.csv.csv</t>
        </is>
      </c>
      <c r="D203" s="51" t="str"/>
    </row>
    <row r="204">
      <c r="A204" s="51" t="inlineStr">
        <is>
          <t>2024-07-21</t>
        </is>
      </c>
      <c r="B204" s="49" t="n">
        <v>97476</v>
      </c>
      <c r="C204" s="51" t="inlineStr">
        <is>
          <t>Group20_Ttareungyi_2024-2025.csv.csv</t>
        </is>
      </c>
      <c r="D204" s="51" t="str"/>
    </row>
    <row r="205">
      <c r="A205" s="51" t="inlineStr">
        <is>
          <t>2024-07-22</t>
        </is>
      </c>
      <c r="B205" s="49" t="n">
        <v>85672</v>
      </c>
      <c r="C205" s="51" t="inlineStr">
        <is>
          <t>Group20_Ttareungyi_2024-2025.csv.csv</t>
        </is>
      </c>
      <c r="D205" s="51" t="str"/>
    </row>
    <row r="206">
      <c r="A206" s="51" t="inlineStr">
        <is>
          <t>2024-07-23</t>
        </is>
      </c>
      <c r="B206" s="49" t="n">
        <v>113308</v>
      </c>
      <c r="C206" s="51" t="inlineStr">
        <is>
          <t>Group20_Ttareungyi_2024-2025.csv.csv</t>
        </is>
      </c>
      <c r="D206" s="51" t="str"/>
    </row>
    <row r="207">
      <c r="A207" s="51" t="inlineStr">
        <is>
          <t>2024-07-24</t>
        </is>
      </c>
      <c r="B207" s="49" t="n">
        <v>126749</v>
      </c>
      <c r="C207" s="51" t="inlineStr">
        <is>
          <t>Group20_Ttareungyi_2024-2025.csv.csv</t>
        </is>
      </c>
      <c r="D207" s="51" t="str"/>
    </row>
    <row r="208">
      <c r="A208" s="51" t="inlineStr">
        <is>
          <t>2024-07-25</t>
        </is>
      </c>
      <c r="B208" s="49" t="n">
        <v>131191</v>
      </c>
      <c r="C208" s="51" t="inlineStr">
        <is>
          <t>Group20_Ttareungyi_2024-2025.csv.csv</t>
        </is>
      </c>
      <c r="D208" s="51" t="str"/>
    </row>
    <row r="209">
      <c r="A209" s="51" t="inlineStr">
        <is>
          <t>2024-07-26</t>
        </is>
      </c>
      <c r="B209" s="49" t="n">
        <v>117450</v>
      </c>
      <c r="C209" s="51" t="inlineStr">
        <is>
          <t>Group20_Ttareungyi_2024-2025.csv.csv</t>
        </is>
      </c>
      <c r="D209" s="51" t="str"/>
    </row>
    <row r="210">
      <c r="A210" s="51" t="inlineStr">
        <is>
          <t>2024-07-27</t>
        </is>
      </c>
      <c r="B210" s="49" t="n">
        <v>76392</v>
      </c>
      <c r="C210" s="51" t="inlineStr">
        <is>
          <t>Group20_Ttareungyi_2024-2025.csv.csv</t>
        </is>
      </c>
      <c r="D210" s="51" t="str"/>
    </row>
    <row r="211">
      <c r="A211" s="51" t="inlineStr">
        <is>
          <t>2024-07-28</t>
        </is>
      </c>
      <c r="B211" s="49" t="n">
        <v>102031</v>
      </c>
      <c r="C211" s="51" t="inlineStr">
        <is>
          <t>Group20_Ttareungyi_2024-2025.csv.csv</t>
        </is>
      </c>
      <c r="D211" s="51" t="str"/>
    </row>
    <row r="212">
      <c r="A212" s="51" t="inlineStr">
        <is>
          <t>2024-07-29</t>
        </is>
      </c>
      <c r="B212" s="49" t="n">
        <v>138811</v>
      </c>
      <c r="C212" s="51" t="inlineStr">
        <is>
          <t>Group20_Ttareungyi_2024-2025.csv.csv</t>
        </is>
      </c>
      <c r="D212" s="51" t="str"/>
    </row>
    <row r="213">
      <c r="A213" s="51" t="inlineStr">
        <is>
          <t>2024-07-30</t>
        </is>
      </c>
      <c r="B213" s="49" t="n">
        <v>150500</v>
      </c>
      <c r="C213" s="51" t="inlineStr">
        <is>
          <t>Group20_Ttareungyi_2024-2025.csv.csv</t>
        </is>
      </c>
      <c r="D213" s="51" t="str"/>
    </row>
    <row r="214">
      <c r="A214" s="51" t="inlineStr">
        <is>
          <t>2024-07-31</t>
        </is>
      </c>
      <c r="B214" s="49" t="n">
        <v>149858</v>
      </c>
      <c r="C214" s="51" t="inlineStr">
        <is>
          <t>Group20_Ttareungyi_2024-2025.csv.csv</t>
        </is>
      </c>
      <c r="D214" s="51" t="str"/>
    </row>
    <row r="215">
      <c r="A215" s="51" t="inlineStr">
        <is>
          <t>2024-08-01</t>
        </is>
      </c>
      <c r="B215" s="49" t="n">
        <v>145479</v>
      </c>
      <c r="C215" s="51" t="inlineStr">
        <is>
          <t>Group20_Ttareungyi_2024-2025.csv.csv</t>
        </is>
      </c>
      <c r="D215" s="51" t="str"/>
    </row>
    <row r="216">
      <c r="A216" s="51" t="inlineStr">
        <is>
          <t>2024-08-02</t>
        </is>
      </c>
      <c r="B216" s="49" t="n">
        <v>140142</v>
      </c>
      <c r="C216" s="51" t="inlineStr">
        <is>
          <t>Group20_Ttareungyi_2024-2025.csv.csv</t>
        </is>
      </c>
      <c r="D216" s="51" t="str"/>
    </row>
    <row r="217">
      <c r="A217" s="51" t="inlineStr">
        <is>
          <t>2024-08-03</t>
        </is>
      </c>
      <c r="B217" s="49" t="n">
        <v>105215</v>
      </c>
      <c r="C217" s="51" t="inlineStr">
        <is>
          <t>Group20_Ttareungyi_2024-2025.csv.csv</t>
        </is>
      </c>
      <c r="D217" s="51" t="str"/>
    </row>
    <row r="218">
      <c r="A218" s="51" t="inlineStr">
        <is>
          <t>2024-08-04</t>
        </is>
      </c>
      <c r="B218" s="49" t="n">
        <v>89606</v>
      </c>
      <c r="C218" s="51" t="inlineStr">
        <is>
          <t>Group20_Ttareungyi_2024-2025.csv.csv</t>
        </is>
      </c>
      <c r="D218" s="51" t="str"/>
    </row>
    <row r="219">
      <c r="A219" s="51" t="inlineStr">
        <is>
          <t>2024-08-05</t>
        </is>
      </c>
      <c r="B219" s="49" t="n">
        <v>123144</v>
      </c>
      <c r="C219" s="51" t="inlineStr">
        <is>
          <t>Group20_Ttareungyi_2024-2025.csv.csv</t>
        </is>
      </c>
      <c r="D219" s="51" t="str"/>
    </row>
    <row r="220">
      <c r="A220" s="51" t="inlineStr">
        <is>
          <t>2024-08-06</t>
        </is>
      </c>
      <c r="B220" s="49" t="n">
        <v>136536</v>
      </c>
      <c r="C220" s="51" t="inlineStr">
        <is>
          <t>Group20_Ttareungyi_2024-2025.csv.csv</t>
        </is>
      </c>
      <c r="D220" s="51" t="str"/>
    </row>
    <row r="221">
      <c r="A221" s="51" t="inlineStr">
        <is>
          <t>2024-08-07</t>
        </is>
      </c>
      <c r="B221" s="49" t="n">
        <v>141026</v>
      </c>
      <c r="C221" s="51" t="inlineStr">
        <is>
          <t>Group20_Ttareungyi_2024-2025.csv.csv</t>
        </is>
      </c>
      <c r="D221" s="51" t="str"/>
    </row>
    <row r="222">
      <c r="A222" s="51" t="inlineStr">
        <is>
          <t>2024-08-08</t>
        </is>
      </c>
      <c r="B222" s="49" t="n">
        <v>137386</v>
      </c>
      <c r="C222" s="51" t="inlineStr">
        <is>
          <t>Group20_Ttareungyi_2024-2025.csv.csv</t>
        </is>
      </c>
      <c r="D222" s="51" t="str"/>
    </row>
    <row r="223">
      <c r="A223" s="51" t="inlineStr">
        <is>
          <t>2024-08-09</t>
        </is>
      </c>
      <c r="B223" s="49" t="n">
        <v>139471</v>
      </c>
      <c r="C223" s="51" t="inlineStr">
        <is>
          <t>Group20_Ttareungyi_2024-2025.csv.csv</t>
        </is>
      </c>
      <c r="D223" s="51" t="str"/>
    </row>
    <row r="224">
      <c r="A224" s="51" t="inlineStr">
        <is>
          <t>2024-08-10</t>
        </is>
      </c>
      <c r="B224" s="49" t="n">
        <v>114522</v>
      </c>
      <c r="C224" s="51" t="inlineStr">
        <is>
          <t>Group20_Ttareungyi_2024-2025.csv.csv</t>
        </is>
      </c>
      <c r="D224" s="51" t="str"/>
    </row>
    <row r="225">
      <c r="A225" s="51" t="inlineStr">
        <is>
          <t>2024-08-11</t>
        </is>
      </c>
      <c r="B225" s="49" t="n">
        <v>99627</v>
      </c>
      <c r="C225" s="51" t="inlineStr">
        <is>
          <t>Group20_Ttareungyi_2024-2025.csv.csv</t>
        </is>
      </c>
      <c r="D225" s="51" t="str"/>
    </row>
    <row r="226">
      <c r="A226" s="51" t="inlineStr">
        <is>
          <t>2024-08-12</t>
        </is>
      </c>
      <c r="B226" s="49" t="n">
        <v>143220</v>
      </c>
      <c r="C226" s="51" t="inlineStr">
        <is>
          <t>Group20_Ttareungyi_2024-2025.csv.csv</t>
        </is>
      </c>
      <c r="D226" s="51" t="str"/>
    </row>
    <row r="227">
      <c r="A227" s="51" t="inlineStr">
        <is>
          <t>2024-08-13</t>
        </is>
      </c>
      <c r="B227" s="49" t="n">
        <v>134065</v>
      </c>
      <c r="C227" s="51" t="inlineStr">
        <is>
          <t>Group20_Ttareungyi_2024-2025.csv.csv</t>
        </is>
      </c>
      <c r="D227" s="51" t="str"/>
    </row>
    <row r="228">
      <c r="A228" s="51" t="inlineStr">
        <is>
          <t>2024-08-14</t>
        </is>
      </c>
      <c r="B228" s="49" t="n">
        <v>132723</v>
      </c>
      <c r="C228" s="51" t="inlineStr">
        <is>
          <t>Group20_Ttareungyi_2024-2025.csv.csv</t>
        </is>
      </c>
      <c r="D228" s="51" t="str"/>
    </row>
    <row r="229">
      <c r="A229" s="51" t="inlineStr">
        <is>
          <t>2024-08-15</t>
        </is>
      </c>
      <c r="B229" s="49" t="n">
        <v>102408</v>
      </c>
      <c r="C229" s="51" t="inlineStr">
        <is>
          <t>Group20_Ttareungyi_2024-2025.csv.csv</t>
        </is>
      </c>
      <c r="D229" s="51" t="str"/>
    </row>
    <row r="230">
      <c r="A230" s="51" t="inlineStr">
        <is>
          <t>2024-08-16</t>
        </is>
      </c>
      <c r="B230" s="49" t="n">
        <v>140840</v>
      </c>
      <c r="C230" s="51" t="inlineStr">
        <is>
          <t>Group20_Ttareungyi_2024-2025.csv.csv</t>
        </is>
      </c>
      <c r="D230" s="51" t="str"/>
    </row>
    <row r="231">
      <c r="A231" s="51" t="inlineStr">
        <is>
          <t>2024-08-17</t>
        </is>
      </c>
      <c r="B231" s="49" t="n">
        <v>105962</v>
      </c>
      <c r="C231" s="51" t="inlineStr">
        <is>
          <t>Group20_Ttareungyi_2024-2025.csv.csv</t>
        </is>
      </c>
      <c r="D231" s="51" t="str"/>
    </row>
    <row r="232">
      <c r="A232" s="51" t="inlineStr">
        <is>
          <t>2024-08-18</t>
        </is>
      </c>
      <c r="B232" s="49" t="n">
        <v>93504</v>
      </c>
      <c r="C232" s="51" t="inlineStr">
        <is>
          <t>Group20_Ttareungyi_2024-2025.csv.csv</t>
        </is>
      </c>
      <c r="D232" s="51" t="str"/>
    </row>
    <row r="233">
      <c r="A233" s="51" t="inlineStr">
        <is>
          <t>2024-08-19</t>
        </is>
      </c>
      <c r="B233" s="49" t="n">
        <v>142992</v>
      </c>
      <c r="C233" s="51" t="inlineStr">
        <is>
          <t>Group20_Ttareungyi_2024-2025.csv.csv</t>
        </is>
      </c>
      <c r="D233" s="51" t="str"/>
    </row>
    <row r="234">
      <c r="A234" s="51" t="inlineStr">
        <is>
          <t>2024-08-20</t>
        </is>
      </c>
      <c r="B234" s="49" t="n">
        <v>146658</v>
      </c>
      <c r="C234" s="51" t="inlineStr">
        <is>
          <t>Group20_Ttareungyi_2024-2025.csv.csv</t>
        </is>
      </c>
      <c r="D234" s="51" t="str"/>
    </row>
    <row r="235">
      <c r="A235" s="51" t="inlineStr">
        <is>
          <t>2024-08-21</t>
        </is>
      </c>
      <c r="B235" s="49" t="n">
        <v>73098</v>
      </c>
      <c r="C235" s="51" t="inlineStr">
        <is>
          <t>Group20_Ttareungyi_2024-2025.csv.csv</t>
        </is>
      </c>
      <c r="D235" s="51" t="str"/>
    </row>
    <row r="236">
      <c r="A236" s="51" t="inlineStr">
        <is>
          <t>2024-08-22</t>
        </is>
      </c>
      <c r="B236" s="49" t="n">
        <v>125868</v>
      </c>
      <c r="C236" s="51" t="inlineStr">
        <is>
          <t>Group20_Ttareungyi_2024-2025.csv.csv</t>
        </is>
      </c>
      <c r="D236" s="51" t="str"/>
    </row>
    <row r="237">
      <c r="A237" s="51" t="inlineStr">
        <is>
          <t>2024-08-23</t>
        </is>
      </c>
      <c r="B237" s="49" t="n">
        <v>151292</v>
      </c>
      <c r="C237" s="51" t="inlineStr">
        <is>
          <t>Group20_Ttareungyi_2024-2025.csv.csv</t>
        </is>
      </c>
      <c r="D237" s="51" t="str"/>
    </row>
    <row r="238">
      <c r="A238" s="51" t="inlineStr">
        <is>
          <t>2024-08-24</t>
        </is>
      </c>
      <c r="B238" s="49" t="n">
        <v>105509</v>
      </c>
      <c r="C238" s="51" t="inlineStr">
        <is>
          <t>Group20_Ttareungyi_2024-2025.csv.csv</t>
        </is>
      </c>
      <c r="D238" s="51" t="str"/>
    </row>
    <row r="239">
      <c r="A239" s="51" t="inlineStr">
        <is>
          <t>2024-08-25</t>
        </is>
      </c>
      <c r="B239" s="49" t="n">
        <v>101720</v>
      </c>
      <c r="C239" s="51" t="inlineStr">
        <is>
          <t>Group20_Ttareungyi_2024-2025.csv.csv</t>
        </is>
      </c>
      <c r="D239" s="51" t="str"/>
    </row>
    <row r="240">
      <c r="A240" s="51" t="inlineStr">
        <is>
          <t>2024-08-26</t>
        </is>
      </c>
      <c r="B240" s="49" t="n">
        <v>142224</v>
      </c>
      <c r="C240" s="51" t="inlineStr">
        <is>
          <t>Group20_Ttareungyi_2024-2025.csv.csv</t>
        </is>
      </c>
      <c r="D240" s="51" t="str"/>
    </row>
    <row r="241">
      <c r="A241" s="51" t="inlineStr">
        <is>
          <t>2024-08-27</t>
        </is>
      </c>
      <c r="B241" s="49" t="n">
        <v>149058</v>
      </c>
      <c r="C241" s="51" t="inlineStr">
        <is>
          <t>Group20_Ttareungyi_2024-2025.csv.csv</t>
        </is>
      </c>
      <c r="D241" s="51" t="str"/>
    </row>
    <row r="242">
      <c r="A242" s="51" t="inlineStr">
        <is>
          <t>2024-08-28</t>
        </is>
      </c>
      <c r="B242" s="49" t="n">
        <v>166233</v>
      </c>
      <c r="C242" s="51" t="inlineStr">
        <is>
          <t>Group20_Ttareungyi_2024-2025.csv.csv</t>
        </is>
      </c>
      <c r="D242" s="51" t="str"/>
    </row>
    <row r="243">
      <c r="A243" s="51" t="inlineStr">
        <is>
          <t>2024-08-29</t>
        </is>
      </c>
      <c r="B243" s="49" t="n">
        <v>166655</v>
      </c>
      <c r="C243" s="51" t="inlineStr">
        <is>
          <t>Group20_Ttareungyi_2024-2025.csv.csv</t>
        </is>
      </c>
      <c r="D243" s="51" t="str"/>
    </row>
    <row r="244">
      <c r="A244" s="51" t="inlineStr">
        <is>
          <t>2024-08-30</t>
        </is>
      </c>
      <c r="B244" s="49" t="n">
        <v>167324</v>
      </c>
      <c r="C244" s="51" t="inlineStr">
        <is>
          <t>Group20_Ttareungyi_2024-2025.csv.csv</t>
        </is>
      </c>
      <c r="D244" s="51" t="str"/>
    </row>
    <row r="245">
      <c r="A245" s="51" t="inlineStr">
        <is>
          <t>2024-08-31</t>
        </is>
      </c>
      <c r="B245" s="49" t="n">
        <v>134541</v>
      </c>
      <c r="C245" s="51" t="inlineStr">
        <is>
          <t>Group20_Ttareungyi_2024-2025.csv.csv</t>
        </is>
      </c>
      <c r="D245" s="51" t="str"/>
    </row>
    <row r="246">
      <c r="A246" s="51" t="inlineStr">
        <is>
          <t>2024-09-01</t>
        </is>
      </c>
      <c r="B246" s="49" t="n">
        <v>125165</v>
      </c>
      <c r="C246" s="51" t="inlineStr">
        <is>
          <t>Group20_Ttareungyi_2024-2025.csv.csv</t>
        </is>
      </c>
      <c r="D246" s="51" t="str"/>
    </row>
    <row r="247">
      <c r="A247" s="51" t="inlineStr">
        <is>
          <t>2024-09-02</t>
        </is>
      </c>
      <c r="B247" s="49" t="n">
        <v>153786</v>
      </c>
      <c r="C247" s="51" t="inlineStr">
        <is>
          <t>Group20_Ttareungyi_2024-2025.csv.csv</t>
        </is>
      </c>
      <c r="D247" s="51" t="str"/>
    </row>
    <row r="248">
      <c r="A248" s="51" t="inlineStr">
        <is>
          <t>2024-09-03</t>
        </is>
      </c>
      <c r="B248" s="49" t="n">
        <v>178899</v>
      </c>
      <c r="C248" s="51" t="inlineStr">
        <is>
          <t>Group20_Ttareungyi_2024-2025.csv.csv</t>
        </is>
      </c>
      <c r="D248" s="51" t="str"/>
    </row>
    <row r="249">
      <c r="A249" s="51" t="inlineStr">
        <is>
          <t>2024-09-04</t>
        </is>
      </c>
      <c r="B249" s="49" t="n">
        <v>176847</v>
      </c>
      <c r="C249" s="51" t="inlineStr">
        <is>
          <t>Group20_Ttareungyi_2024-2025.csv.csv</t>
        </is>
      </c>
      <c r="D249" s="51" t="str"/>
    </row>
    <row r="250">
      <c r="A250" s="51" t="inlineStr">
        <is>
          <t>2024-09-05</t>
        </is>
      </c>
      <c r="B250" s="49" t="n">
        <v>142465</v>
      </c>
      <c r="C250" s="51" t="inlineStr">
        <is>
          <t>Group20_Ttareungyi_2024-2025.csv.csv</t>
        </is>
      </c>
      <c r="D250" s="51" t="str"/>
    </row>
    <row r="251">
      <c r="A251" s="51" t="inlineStr">
        <is>
          <t>2024-09-06</t>
        </is>
      </c>
      <c r="B251" s="49" t="n">
        <v>150532</v>
      </c>
      <c r="C251" s="51" t="inlineStr">
        <is>
          <t>Group20_Ttareungyi_2024-2025.csv.csv</t>
        </is>
      </c>
      <c r="D251" s="51" t="str"/>
    </row>
    <row r="252">
      <c r="A252" s="51" t="inlineStr">
        <is>
          <t>2024-09-07</t>
        </is>
      </c>
      <c r="B252" s="49" t="n">
        <v>148975</v>
      </c>
      <c r="C252" s="51" t="inlineStr">
        <is>
          <t>Group20_Ttareungyi_2024-2025.csv.csv</t>
        </is>
      </c>
      <c r="D252" s="51" t="str"/>
    </row>
    <row r="253">
      <c r="A253" s="51" t="inlineStr">
        <is>
          <t>2024-09-08</t>
        </is>
      </c>
      <c r="B253" s="49" t="n">
        <v>131428</v>
      </c>
      <c r="C253" s="51" t="inlineStr">
        <is>
          <t>Group20_Ttareungyi_2024-2025.csv.csv</t>
        </is>
      </c>
      <c r="D253" s="51" t="str"/>
    </row>
    <row r="254">
      <c r="A254" s="51" t="inlineStr">
        <is>
          <t>2024-09-09</t>
        </is>
      </c>
      <c r="B254" s="49" t="n">
        <v>170520</v>
      </c>
      <c r="C254" s="51" t="inlineStr">
        <is>
          <t>Group20_Ttareungyi_2024-2025.csv.csv</t>
        </is>
      </c>
      <c r="D254" s="51" t="str"/>
    </row>
    <row r="255">
      <c r="A255" s="51" t="inlineStr">
        <is>
          <t>2024-09-10</t>
        </is>
      </c>
      <c r="B255" s="49" t="n">
        <v>169974</v>
      </c>
      <c r="C255" s="51" t="inlineStr">
        <is>
          <t>Group20_Ttareungyi_2024-2025.csv.csv</t>
        </is>
      </c>
      <c r="D255" s="51" t="str"/>
    </row>
    <row r="256">
      <c r="A256" s="51" t="inlineStr">
        <is>
          <t>2024-09-11</t>
        </is>
      </c>
      <c r="B256" s="49" t="n">
        <v>154072</v>
      </c>
      <c r="C256" s="51" t="inlineStr">
        <is>
          <t>Group20_Ttareungyi_2024-2025.csv.csv</t>
        </is>
      </c>
      <c r="D256" s="51" t="str"/>
    </row>
    <row r="257">
      <c r="A257" s="51" t="inlineStr">
        <is>
          <t>2024-09-12</t>
        </is>
      </c>
      <c r="B257" s="49" t="n">
        <v>62018</v>
      </c>
      <c r="C257" s="51" t="inlineStr">
        <is>
          <t>Group20_Ttareungyi_2024-2025.csv.csv</t>
        </is>
      </c>
      <c r="D257" s="51" t="str"/>
    </row>
    <row r="258">
      <c r="A258" s="51" t="inlineStr">
        <is>
          <t>2024-09-13</t>
        </is>
      </c>
      <c r="B258" s="49" t="n">
        <v>75820</v>
      </c>
      <c r="C258" s="51" t="inlineStr">
        <is>
          <t>Group20_Ttareungyi_2024-2025.csv.csv</t>
        </is>
      </c>
      <c r="D258" s="51" t="str"/>
    </row>
    <row r="259">
      <c r="A259" s="51" t="inlineStr">
        <is>
          <t>2024-09-14</t>
        </is>
      </c>
      <c r="B259" s="49" t="n">
        <v>115902</v>
      </c>
      <c r="C259" s="51" t="inlineStr">
        <is>
          <t>Group20_Ttareungyi_2024-2025.csv.csv</t>
        </is>
      </c>
      <c r="D259" s="51" t="str"/>
    </row>
    <row r="260">
      <c r="A260" s="51" t="inlineStr">
        <is>
          <t>2024-09-15</t>
        </is>
      </c>
      <c r="B260" s="49" t="n">
        <v>102885</v>
      </c>
      <c r="C260" s="51" t="inlineStr">
        <is>
          <t>Group20_Ttareungyi_2024-2025.csv.csv</t>
        </is>
      </c>
      <c r="D260" s="51" t="str"/>
    </row>
    <row r="261">
      <c r="A261" s="51" t="inlineStr">
        <is>
          <t>2024-09-16</t>
        </is>
      </c>
      <c r="B261" s="49" t="n">
        <v>89290</v>
      </c>
      <c r="C261" s="51" t="inlineStr">
        <is>
          <t>Group20_Ttareungyi_2024-2025.csv.csv</t>
        </is>
      </c>
      <c r="D261" s="51" t="str"/>
    </row>
    <row r="262">
      <c r="A262" s="51" t="inlineStr">
        <is>
          <t>2024-09-17</t>
        </is>
      </c>
      <c r="B262" s="49" t="n">
        <v>79398</v>
      </c>
      <c r="C262" s="51" t="inlineStr">
        <is>
          <t>Group20_Ttareungyi_2024-2025.csv.csv</t>
        </is>
      </c>
      <c r="D262" s="51" t="str"/>
    </row>
    <row r="263">
      <c r="A263" s="51" t="inlineStr">
        <is>
          <t>2024-09-18</t>
        </is>
      </c>
      <c r="B263" s="49" t="n">
        <v>101362</v>
      </c>
      <c r="C263" s="51" t="inlineStr">
        <is>
          <t>Group20_Ttareungyi_2024-2025.csv.csv</t>
        </is>
      </c>
      <c r="D263" s="51" t="str"/>
    </row>
    <row r="264">
      <c r="A264" s="51" t="inlineStr">
        <is>
          <t>2024-09-19</t>
        </is>
      </c>
      <c r="B264" s="49" t="n">
        <v>155480</v>
      </c>
      <c r="C264" s="51" t="inlineStr">
        <is>
          <t>Group20_Ttareungyi_2024-2025.csv.csv</t>
        </is>
      </c>
      <c r="D264" s="51" t="str"/>
    </row>
    <row r="265">
      <c r="A265" s="51" t="inlineStr">
        <is>
          <t>2024-09-20</t>
        </is>
      </c>
      <c r="B265" s="49" t="n">
        <v>49117</v>
      </c>
      <c r="C265" s="51" t="inlineStr">
        <is>
          <t>Group20_Ttareungyi_2024-2025.csv.csv</t>
        </is>
      </c>
      <c r="D265" s="51" t="str"/>
    </row>
    <row r="266">
      <c r="A266" s="51" t="inlineStr">
        <is>
          <t>2024-09-21</t>
        </is>
      </c>
      <c r="B266" s="49" t="n">
        <v>112108</v>
      </c>
      <c r="C266" s="51" t="inlineStr">
        <is>
          <t>Group20_Ttareungyi_2024-2025.csv.csv</t>
        </is>
      </c>
      <c r="D266" s="51" t="str"/>
    </row>
    <row r="267">
      <c r="A267" s="51" t="inlineStr">
        <is>
          <t>2024-09-22</t>
        </is>
      </c>
      <c r="B267" s="49" t="n">
        <v>159558</v>
      </c>
      <c r="C267" s="51" t="inlineStr">
        <is>
          <t>Group20_Ttareungyi_2024-2025.csv.csv</t>
        </is>
      </c>
      <c r="D267" s="51" t="str"/>
    </row>
    <row r="268">
      <c r="A268" s="51" t="inlineStr">
        <is>
          <t>2024-09-23</t>
        </is>
      </c>
      <c r="B268" s="49" t="n">
        <v>188292</v>
      </c>
      <c r="C268" s="51" t="inlineStr">
        <is>
          <t>Group20_Ttareungyi_2024-2025.csv.csv</t>
        </is>
      </c>
      <c r="D268" s="51" t="str"/>
    </row>
    <row r="269">
      <c r="A269" s="51" t="inlineStr">
        <is>
          <t>2024-09-24</t>
        </is>
      </c>
      <c r="B269" s="49" t="n">
        <v>191155</v>
      </c>
      <c r="C269" s="51" t="inlineStr">
        <is>
          <t>Group20_Ttareungyi_2024-2025.csv.csv</t>
        </is>
      </c>
      <c r="D269" s="51" t="str"/>
    </row>
    <row r="270">
      <c r="A270" s="51" t="inlineStr">
        <is>
          <t>2024-09-25</t>
        </is>
      </c>
      <c r="B270" s="49" t="n">
        <v>187724</v>
      </c>
      <c r="C270" s="51" t="inlineStr">
        <is>
          <t>Group20_Ttareungyi_2024-2025.csv.csv</t>
        </is>
      </c>
      <c r="D270" s="51" t="str"/>
    </row>
    <row r="271">
      <c r="A271" s="51" t="inlineStr">
        <is>
          <t>2024-09-26</t>
        </is>
      </c>
      <c r="B271" s="49" t="n">
        <v>176097</v>
      </c>
      <c r="C271" s="51" t="inlineStr">
        <is>
          <t>Group20_Ttareungyi_2024-2025.csv.csv</t>
        </is>
      </c>
      <c r="D271" s="51" t="str"/>
    </row>
    <row r="272">
      <c r="A272" s="51" t="inlineStr">
        <is>
          <t>2024-09-27</t>
        </is>
      </c>
      <c r="B272" s="49" t="n">
        <v>191564</v>
      </c>
      <c r="C272" s="51" t="inlineStr">
        <is>
          <t>Group20_Ttareungyi_2024-2025.csv.csv</t>
        </is>
      </c>
      <c r="D272" s="51" t="str"/>
    </row>
    <row r="273">
      <c r="A273" s="51" t="inlineStr">
        <is>
          <t>2024-09-28</t>
        </is>
      </c>
      <c r="B273" s="49" t="n">
        <v>168997</v>
      </c>
      <c r="C273" s="51" t="inlineStr">
        <is>
          <t>Group20_Ttareungyi_2024-2025.csv.csv</t>
        </is>
      </c>
      <c r="D273" s="51" t="str"/>
    </row>
    <row r="274">
      <c r="A274" s="51" t="inlineStr">
        <is>
          <t>2024-09-29</t>
        </is>
      </c>
      <c r="B274" s="49" t="n">
        <v>154567</v>
      </c>
      <c r="C274" s="51" t="inlineStr">
        <is>
          <t>Group20_Ttareungyi_2024-2025.csv.csv</t>
        </is>
      </c>
      <c r="D274" s="51" t="str"/>
    </row>
    <row r="275">
      <c r="A275" s="51" t="inlineStr">
        <is>
          <t>2024-09-30</t>
        </is>
      </c>
      <c r="B275" s="49" t="n">
        <v>186545</v>
      </c>
      <c r="C275" s="51" t="inlineStr">
        <is>
          <t>Group20_Ttareungyi_2024-2025.csv.csv</t>
        </is>
      </c>
      <c r="D275" s="51" t="str"/>
    </row>
    <row r="276">
      <c r="A276" s="51" t="inlineStr">
        <is>
          <t>2024-10-01</t>
        </is>
      </c>
      <c r="B276" s="49" t="n">
        <v>131743</v>
      </c>
      <c r="C276" s="51" t="inlineStr">
        <is>
          <t>Group20_Ttareungyi_2024-2025.csv.csv</t>
        </is>
      </c>
      <c r="D276" s="51" t="str"/>
    </row>
    <row r="277">
      <c r="A277" s="51" t="inlineStr">
        <is>
          <t>2024-10-02</t>
        </is>
      </c>
      <c r="B277" s="49" t="n">
        <v>176827</v>
      </c>
      <c r="C277" s="51" t="inlineStr">
        <is>
          <t>Group20_Ttareungyi_2024-2025.csv.csv</t>
        </is>
      </c>
      <c r="D277" s="51" t="str"/>
    </row>
    <row r="278">
      <c r="A278" s="51" t="inlineStr">
        <is>
          <t>2024-10-03</t>
        </is>
      </c>
      <c r="B278" s="49" t="n">
        <v>154005</v>
      </c>
      <c r="C278" s="51" t="inlineStr">
        <is>
          <t>Group20_Ttareungyi_2024-2025.csv.csv</t>
        </is>
      </c>
      <c r="D278" s="51" t="str"/>
    </row>
    <row r="279">
      <c r="A279" s="51" t="inlineStr">
        <is>
          <t>2024-10-04</t>
        </is>
      </c>
      <c r="B279" s="49" t="n">
        <v>181957</v>
      </c>
      <c r="C279" s="51" t="inlineStr">
        <is>
          <t>Group20_Ttareungyi_2024-2025.csv.csv</t>
        </is>
      </c>
      <c r="D279" s="51" t="str"/>
    </row>
    <row r="280">
      <c r="A280" s="51" t="inlineStr">
        <is>
          <t>2024-10-05</t>
        </is>
      </c>
      <c r="B280" s="49" t="n">
        <v>165474</v>
      </c>
      <c r="C280" s="51" t="inlineStr">
        <is>
          <t>Group20_Ttareungyi_2024-2025.csv.csv</t>
        </is>
      </c>
      <c r="D280" s="51" t="str"/>
    </row>
    <row r="281">
      <c r="A281" s="51" t="inlineStr">
        <is>
          <t>2024-10-06</t>
        </is>
      </c>
      <c r="B281" s="49" t="n">
        <v>108633</v>
      </c>
      <c r="C281" s="51" t="inlineStr">
        <is>
          <t>Group20_Ttareungyi_2024-2025.csv.csv</t>
        </is>
      </c>
      <c r="D281" s="51" t="str"/>
    </row>
    <row r="282">
      <c r="A282" s="51" t="inlineStr">
        <is>
          <t>2024-10-07</t>
        </is>
      </c>
      <c r="B282" s="49" t="n">
        <v>173882</v>
      </c>
      <c r="C282" s="51" t="inlineStr">
        <is>
          <t>Group20_Ttareungyi_2024-2025.csv.csv</t>
        </is>
      </c>
      <c r="D282" s="51" t="str"/>
    </row>
    <row r="283">
      <c r="A283" s="51" t="inlineStr">
        <is>
          <t>2024-10-08</t>
        </is>
      </c>
      <c r="B283" s="49" t="n">
        <v>182669</v>
      </c>
      <c r="C283" s="51" t="inlineStr">
        <is>
          <t>Group20_Ttareungyi_2024-2025.csv.csv</t>
        </is>
      </c>
      <c r="D283" s="51" t="str"/>
    </row>
    <row r="284">
      <c r="A284" s="51" t="inlineStr">
        <is>
          <t>2024-10-09</t>
        </is>
      </c>
      <c r="B284" s="49" t="n">
        <v>160337</v>
      </c>
      <c r="C284" s="51" t="inlineStr">
        <is>
          <t>Group20_Ttareungyi_2024-2025.csv.csv</t>
        </is>
      </c>
      <c r="D284" s="51" t="str"/>
    </row>
    <row r="285">
      <c r="A285" s="51" t="inlineStr">
        <is>
          <t>2024-10-10</t>
        </is>
      </c>
      <c r="B285" s="49" t="n">
        <v>180117</v>
      </c>
      <c r="C285" s="51" t="inlineStr">
        <is>
          <t>Group20_Ttareungyi_2024-2025.csv.csv</t>
        </is>
      </c>
      <c r="D285" s="51" t="str"/>
    </row>
    <row r="286">
      <c r="A286" s="51" t="inlineStr">
        <is>
          <t>2024-10-11</t>
        </is>
      </c>
      <c r="B286" s="49" t="n">
        <v>189277</v>
      </c>
      <c r="C286" s="51" t="inlineStr">
        <is>
          <t>Group20_Ttareungyi_2024-2025.csv.csv</t>
        </is>
      </c>
      <c r="D286" s="51" t="str"/>
    </row>
    <row r="287">
      <c r="A287" s="51" t="inlineStr">
        <is>
          <t>2024-10-12</t>
        </is>
      </c>
      <c r="B287" s="49" t="n">
        <v>161677</v>
      </c>
      <c r="C287" s="51" t="inlineStr">
        <is>
          <t>Group20_Ttareungyi_2024-2025.csv.csv</t>
        </is>
      </c>
      <c r="D287" s="51" t="str"/>
    </row>
    <row r="288">
      <c r="A288" s="51" t="inlineStr">
        <is>
          <t>2024-10-13</t>
        </is>
      </c>
      <c r="B288" s="49" t="n">
        <v>142161</v>
      </c>
      <c r="C288" s="51" t="inlineStr">
        <is>
          <t>Group20_Ttareungyi_2024-2025.csv.csv</t>
        </is>
      </c>
      <c r="D288" s="51" t="str"/>
    </row>
    <row r="289">
      <c r="A289" s="51" t="inlineStr">
        <is>
          <t>2024-10-14</t>
        </is>
      </c>
      <c r="B289" s="49" t="n">
        <v>171308</v>
      </c>
      <c r="C289" s="51" t="inlineStr">
        <is>
          <t>Group20_Ttareungyi_2024-2025.csv.csv</t>
        </is>
      </c>
      <c r="D289" s="51" t="str"/>
    </row>
    <row r="290">
      <c r="A290" s="51" t="inlineStr">
        <is>
          <t>2024-10-15</t>
        </is>
      </c>
      <c r="B290" s="49" t="n">
        <v>155610</v>
      </c>
      <c r="C290" s="51" t="inlineStr">
        <is>
          <t>Group20_Ttareungyi_2024-2025.csv.csv</t>
        </is>
      </c>
      <c r="D290" s="51" t="str"/>
    </row>
    <row r="291">
      <c r="A291" s="51" t="inlineStr">
        <is>
          <t>2024-10-16</t>
        </is>
      </c>
      <c r="B291" s="49" t="n">
        <v>181089</v>
      </c>
      <c r="C291" s="51" t="inlineStr">
        <is>
          <t>Group20_Ttareungyi_2024-2025.csv.csv</t>
        </is>
      </c>
      <c r="D291" s="51" t="str"/>
    </row>
    <row r="292">
      <c r="A292" s="51" t="inlineStr">
        <is>
          <t>2024-10-17</t>
        </is>
      </c>
      <c r="B292" s="49" t="n">
        <v>181158</v>
      </c>
      <c r="C292" s="51" t="inlineStr">
        <is>
          <t>Group20_Ttareungyi_2024-2025.csv.csv</t>
        </is>
      </c>
      <c r="D292" s="51" t="str"/>
    </row>
    <row r="293">
      <c r="A293" s="51" t="inlineStr">
        <is>
          <t>2024-10-18</t>
        </is>
      </c>
      <c r="B293" s="49" t="n">
        <v>78673</v>
      </c>
      <c r="C293" s="51" t="inlineStr">
        <is>
          <t>Group20_Ttareungyi_2024-2025.csv.csv</t>
        </is>
      </c>
      <c r="D293" s="51" t="str"/>
    </row>
    <row r="294">
      <c r="A294" s="51" t="inlineStr">
        <is>
          <t>2024-10-19</t>
        </is>
      </c>
      <c r="B294" s="49" t="n">
        <v>130839</v>
      </c>
      <c r="C294" s="51" t="inlineStr">
        <is>
          <t>Group20_Ttareungyi_2024-2025.csv.csv</t>
        </is>
      </c>
      <c r="D294" s="51" t="str"/>
    </row>
    <row r="295">
      <c r="A295" s="51" t="inlineStr">
        <is>
          <t>2024-10-20</t>
        </is>
      </c>
      <c r="B295" s="49" t="n">
        <v>122486</v>
      </c>
      <c r="C295" s="51" t="inlineStr">
        <is>
          <t>Group20_Ttareungyi_2024-2025.csv.csv</t>
        </is>
      </c>
      <c r="D295" s="51" t="str"/>
    </row>
    <row r="296">
      <c r="A296" s="51" t="inlineStr">
        <is>
          <t>2024-10-21</t>
        </is>
      </c>
      <c r="B296" s="49" t="n">
        <v>154399</v>
      </c>
      <c r="C296" s="51" t="inlineStr">
        <is>
          <t>Group20_Ttareungyi_2024-2025.csv.csv</t>
        </is>
      </c>
      <c r="D296" s="51" t="str"/>
    </row>
    <row r="297">
      <c r="A297" s="51" t="inlineStr">
        <is>
          <t>2024-10-22</t>
        </is>
      </c>
      <c r="B297" s="49" t="n">
        <v>26814</v>
      </c>
      <c r="C297" s="51" t="inlineStr">
        <is>
          <t>Group20_Ttareungyi_2024-2025.csv.csv</t>
        </is>
      </c>
      <c r="D297" s="51" t="str"/>
    </row>
    <row r="298">
      <c r="A298" s="51" t="inlineStr">
        <is>
          <t>2024-10-23</t>
        </is>
      </c>
      <c r="B298" s="49" t="n">
        <v>143675</v>
      </c>
      <c r="C298" s="51" t="inlineStr">
        <is>
          <t>Group20_Ttareungyi_2024-2025.csv.csv</t>
        </is>
      </c>
      <c r="D298" s="51" t="str"/>
    </row>
    <row r="299">
      <c r="A299" s="51" t="inlineStr">
        <is>
          <t>2024-10-24</t>
        </is>
      </c>
      <c r="B299" s="49" t="n">
        <v>159362</v>
      </c>
      <c r="C299" s="51" t="inlineStr">
        <is>
          <t>Group20_Ttareungyi_2024-2025.csv.csv</t>
        </is>
      </c>
      <c r="D299" s="51" t="str"/>
    </row>
    <row r="300">
      <c r="A300" s="51" t="inlineStr">
        <is>
          <t>2024-10-25</t>
        </is>
      </c>
      <c r="B300" s="49" t="n">
        <v>166443</v>
      </c>
      <c r="C300" s="51" t="inlineStr">
        <is>
          <t>Group20_Ttareungyi_2024-2025.csv.csv</t>
        </is>
      </c>
      <c r="D300" s="51" t="str"/>
    </row>
    <row r="301">
      <c r="A301" s="51" t="inlineStr">
        <is>
          <t>2024-10-26</t>
        </is>
      </c>
      <c r="B301" s="49" t="n">
        <v>145489</v>
      </c>
      <c r="C301" s="51" t="inlineStr">
        <is>
          <t>Group20_Ttareungyi_2024-2025.csv.csv</t>
        </is>
      </c>
      <c r="D301" s="51" t="str"/>
    </row>
    <row r="302">
      <c r="A302" s="51" t="inlineStr">
        <is>
          <t>2024-10-27</t>
        </is>
      </c>
      <c r="B302" s="49" t="n">
        <v>110955</v>
      </c>
      <c r="C302" s="51" t="inlineStr">
        <is>
          <t>Group20_Ttareungyi_2024-2025.csv.csv</t>
        </is>
      </c>
      <c r="D302" s="51" t="str"/>
    </row>
    <row r="303">
      <c r="A303" s="51" t="inlineStr">
        <is>
          <t>2024-10-28</t>
        </is>
      </c>
      <c r="B303" s="49" t="n">
        <v>159272</v>
      </c>
      <c r="C303" s="51" t="inlineStr">
        <is>
          <t>Group20_Ttareungyi_2024-2025.csv.csv</t>
        </is>
      </c>
      <c r="D303" s="51" t="str"/>
    </row>
    <row r="304">
      <c r="A304" s="51" t="inlineStr">
        <is>
          <t>2024-10-29</t>
        </is>
      </c>
      <c r="B304" s="49" t="n">
        <v>154496</v>
      </c>
      <c r="C304" s="51" t="inlineStr">
        <is>
          <t>Group20_Ttareungyi_2024-2025.csv.csv</t>
        </is>
      </c>
      <c r="D304" s="51" t="str"/>
    </row>
    <row r="305">
      <c r="A305" s="51" t="inlineStr">
        <is>
          <t>2024-10-30</t>
        </is>
      </c>
      <c r="B305" s="49" t="n">
        <v>167856</v>
      </c>
      <c r="C305" s="51" t="inlineStr">
        <is>
          <t>Group20_Ttareungyi_2024-2025.csv.csv</t>
        </is>
      </c>
      <c r="D305" s="51" t="str"/>
    </row>
    <row r="306">
      <c r="A306" s="51" t="inlineStr">
        <is>
          <t>2024-10-31</t>
        </is>
      </c>
      <c r="B306" s="49" t="n">
        <v>167806</v>
      </c>
      <c r="C306" s="51" t="inlineStr">
        <is>
          <t>Group20_Ttareungyi_2024-2025.csv.csv</t>
        </is>
      </c>
      <c r="D306" s="51" t="str"/>
    </row>
    <row r="307">
      <c r="A307" s="51" t="inlineStr">
        <is>
          <t>2024-11-01</t>
        </is>
      </c>
      <c r="B307" s="49" t="n">
        <v>166365</v>
      </c>
      <c r="C307" s="51" t="inlineStr">
        <is>
          <t>Group20_Ttareungyi_2024-2025.csv.csv</t>
        </is>
      </c>
      <c r="D307" s="51" t="str"/>
    </row>
    <row r="308">
      <c r="A308" s="51" t="inlineStr">
        <is>
          <t>2024-11-02</t>
        </is>
      </c>
      <c r="B308" s="49" t="n">
        <v>146372</v>
      </c>
      <c r="C308" s="51" t="inlineStr">
        <is>
          <t>Group20_Ttareungyi_2024-2025.csv.csv</t>
        </is>
      </c>
      <c r="D308" s="51" t="str"/>
    </row>
    <row r="309">
      <c r="A309" s="51" t="inlineStr">
        <is>
          <t>2024-11-03</t>
        </is>
      </c>
      <c r="B309" s="49" t="n">
        <v>132606</v>
      </c>
      <c r="C309" s="51" t="inlineStr">
        <is>
          <t>Group20_Ttareungyi_2024-2025.csv.csv</t>
        </is>
      </c>
      <c r="D309" s="51" t="str"/>
    </row>
    <row r="310">
      <c r="A310" s="51" t="inlineStr">
        <is>
          <t>2024-11-04</t>
        </is>
      </c>
      <c r="B310" s="49" t="n">
        <v>153220</v>
      </c>
      <c r="C310" s="51" t="inlineStr">
        <is>
          <t>Group20_Ttareungyi_2024-2025.csv.csv</t>
        </is>
      </c>
      <c r="D310" s="51" t="str"/>
    </row>
    <row r="311">
      <c r="A311" s="51" t="inlineStr">
        <is>
          <t>2024-11-05</t>
        </is>
      </c>
      <c r="B311" s="49" t="n">
        <v>145620</v>
      </c>
      <c r="C311" s="51" t="inlineStr">
        <is>
          <t>Group20_Ttareungyi_2024-2025.csv.csv</t>
        </is>
      </c>
      <c r="D311" s="51" t="str"/>
    </row>
    <row r="312">
      <c r="A312" s="51" t="inlineStr">
        <is>
          <t>2024-11-06</t>
        </is>
      </c>
      <c r="B312" s="49" t="n">
        <v>138896</v>
      </c>
      <c r="C312" s="51" t="inlineStr">
        <is>
          <t>Group20_Ttareungyi_2024-2025.csv.csv</t>
        </is>
      </c>
      <c r="D312" s="51" t="str"/>
    </row>
    <row r="313">
      <c r="A313" s="51" t="inlineStr">
        <is>
          <t>2024-11-07</t>
        </is>
      </c>
      <c r="B313" s="49" t="n">
        <v>140419</v>
      </c>
      <c r="C313" s="51" t="inlineStr">
        <is>
          <t>Group20_Ttareungyi_2024-2025.csv.csv</t>
        </is>
      </c>
      <c r="D313" s="51" t="str"/>
    </row>
    <row r="314">
      <c r="A314" s="51" t="inlineStr">
        <is>
          <t>2024-11-08</t>
        </is>
      </c>
      <c r="B314" s="49" t="n">
        <v>146625</v>
      </c>
      <c r="C314" s="51" t="inlineStr">
        <is>
          <t>Group20_Ttareungyi_2024-2025.csv.csv</t>
        </is>
      </c>
      <c r="D314" s="51" t="str"/>
    </row>
    <row r="315">
      <c r="A315" s="51" t="inlineStr">
        <is>
          <t>2024-11-09</t>
        </is>
      </c>
      <c r="B315" s="49" t="n">
        <v>125840</v>
      </c>
      <c r="C315" s="51" t="inlineStr">
        <is>
          <t>Group20_Ttareungyi_2024-2025.csv.csv</t>
        </is>
      </c>
      <c r="D315" s="51" t="str"/>
    </row>
    <row r="316">
      <c r="A316" s="51" t="inlineStr">
        <is>
          <t>2024-11-10</t>
        </is>
      </c>
      <c r="B316" s="49" t="n">
        <v>115684</v>
      </c>
      <c r="C316" s="51" t="inlineStr">
        <is>
          <t>Group20_Ttareungyi_2024-2025.csv.csv</t>
        </is>
      </c>
      <c r="D316" s="51" t="str"/>
    </row>
    <row r="317">
      <c r="A317" s="51" t="inlineStr">
        <is>
          <t>2024-11-11</t>
        </is>
      </c>
      <c r="B317" s="49" t="n">
        <v>155307</v>
      </c>
      <c r="C317" s="51" t="inlineStr">
        <is>
          <t>Group20_Ttareungyi_2024-2025.csv.csv</t>
        </is>
      </c>
      <c r="D317" s="51" t="str"/>
    </row>
    <row r="318">
      <c r="A318" s="51" t="inlineStr">
        <is>
          <t>2024-11-12</t>
        </is>
      </c>
      <c r="B318" s="49" t="n">
        <v>158282</v>
      </c>
      <c r="C318" s="51" t="inlineStr">
        <is>
          <t>Group20_Ttareungyi_2024-2025.csv.csv</t>
        </is>
      </c>
      <c r="D318" s="51" t="str"/>
    </row>
    <row r="319">
      <c r="A319" s="51" t="inlineStr">
        <is>
          <t>2024-11-13</t>
        </is>
      </c>
      <c r="B319" s="49" t="n">
        <v>162962</v>
      </c>
      <c r="C319" s="51" t="inlineStr">
        <is>
          <t>Group20_Ttareungyi_2024-2025.csv.csv</t>
        </is>
      </c>
      <c r="D319" s="51" t="str"/>
    </row>
    <row r="320">
      <c r="A320" s="51" t="inlineStr">
        <is>
          <t>2024-11-14</t>
        </is>
      </c>
      <c r="B320" s="49" t="n">
        <v>137465</v>
      </c>
      <c r="C320" s="51" t="inlineStr">
        <is>
          <t>Group20_Ttareungyi_2024-2025.csv.csv</t>
        </is>
      </c>
      <c r="D320" s="51" t="str"/>
    </row>
    <row r="321">
      <c r="A321" s="51" t="inlineStr">
        <is>
          <t>2024-11-15</t>
        </is>
      </c>
      <c r="B321" s="49" t="n">
        <v>158829</v>
      </c>
      <c r="C321" s="51" t="inlineStr">
        <is>
          <t>Group20_Ttareungyi_2024-2025.csv.csv</t>
        </is>
      </c>
      <c r="D321" s="51" t="str"/>
    </row>
    <row r="322">
      <c r="A322" s="51" t="inlineStr">
        <is>
          <t>2024-11-16</t>
        </is>
      </c>
      <c r="B322" s="49" t="n">
        <v>80370</v>
      </c>
      <c r="C322" s="51" t="inlineStr">
        <is>
          <t>Group20_Ttareungyi_2024-2025.csv.csv</t>
        </is>
      </c>
      <c r="D322" s="51" t="str"/>
    </row>
    <row r="323">
      <c r="A323" s="51" t="inlineStr">
        <is>
          <t>2024-11-17</t>
        </is>
      </c>
      <c r="B323" s="49" t="n">
        <v>78601</v>
      </c>
      <c r="C323" s="51" t="inlineStr">
        <is>
          <t>Group20_Ttareungyi_2024-2025.csv.csv</t>
        </is>
      </c>
      <c r="D323" s="51" t="str"/>
    </row>
    <row r="324">
      <c r="A324" s="51" t="inlineStr">
        <is>
          <t>2024-11-18</t>
        </is>
      </c>
      <c r="B324" s="49" t="n">
        <v>109664</v>
      </c>
      <c r="C324" s="51" t="inlineStr">
        <is>
          <t>Group20_Ttareungyi_2024-2025.csv.csv</t>
        </is>
      </c>
      <c r="D324" s="51" t="str"/>
    </row>
    <row r="325">
      <c r="A325" s="51" t="inlineStr">
        <is>
          <t>2024-11-19</t>
        </is>
      </c>
      <c r="B325" s="49" t="n">
        <v>124648</v>
      </c>
      <c r="C325" s="51" t="inlineStr">
        <is>
          <t>Group20_Ttareungyi_2024-2025.csv.csv</t>
        </is>
      </c>
      <c r="D325" s="51" t="str"/>
    </row>
    <row r="326">
      <c r="A326" s="51" t="inlineStr">
        <is>
          <t>2024-11-20</t>
        </is>
      </c>
      <c r="B326" s="49" t="n">
        <v>124089</v>
      </c>
      <c r="C326" s="51" t="inlineStr">
        <is>
          <t>Group20_Ttareungyi_2024-2025.csv.csv</t>
        </is>
      </c>
      <c r="D326" s="51" t="str"/>
    </row>
    <row r="327">
      <c r="A327" s="51" t="inlineStr">
        <is>
          <t>2024-11-21</t>
        </is>
      </c>
      <c r="B327" s="49" t="n">
        <v>127456</v>
      </c>
      <c r="C327" s="51" t="inlineStr">
        <is>
          <t>Group20_Ttareungyi_2024-2025.csv.csv</t>
        </is>
      </c>
      <c r="D327" s="51" t="str"/>
    </row>
    <row r="328">
      <c r="A328" s="51" t="inlineStr">
        <is>
          <t>2024-11-22</t>
        </is>
      </c>
      <c r="B328" s="49" t="n">
        <v>127408</v>
      </c>
      <c r="C328" s="51" t="inlineStr">
        <is>
          <t>Group20_Ttareungyi_2024-2025.csv.csv</t>
        </is>
      </c>
      <c r="D328" s="51" t="str"/>
    </row>
    <row r="329">
      <c r="A329" s="51" t="inlineStr">
        <is>
          <t>2024-11-23</t>
        </is>
      </c>
      <c r="B329" s="49" t="n">
        <v>95075</v>
      </c>
      <c r="C329" s="51" t="inlineStr">
        <is>
          <t>Group20_Ttareungyi_2024-2025.csv.csv</t>
        </is>
      </c>
      <c r="D329" s="51" t="str"/>
    </row>
    <row r="330">
      <c r="A330" s="51" t="inlineStr">
        <is>
          <t>2024-11-24</t>
        </is>
      </c>
      <c r="B330" s="49" t="n">
        <v>85897</v>
      </c>
      <c r="C330" s="51" t="inlineStr">
        <is>
          <t>Group20_Ttareungyi_2024-2025.csv.csv</t>
        </is>
      </c>
      <c r="D330" s="51" t="str"/>
    </row>
    <row r="331">
      <c r="A331" s="51" t="inlineStr">
        <is>
          <t>2024-11-25</t>
        </is>
      </c>
      <c r="B331" s="49" t="n">
        <v>130573</v>
      </c>
      <c r="C331" s="51" t="inlineStr">
        <is>
          <t>Group20_Ttareungyi_2024-2025.csv.csv</t>
        </is>
      </c>
      <c r="D331" s="51" t="str"/>
    </row>
    <row r="332">
      <c r="A332" s="51" t="inlineStr">
        <is>
          <t>2024-11-26</t>
        </is>
      </c>
      <c r="B332" s="49" t="n">
        <v>35379</v>
      </c>
      <c r="C332" s="51" t="inlineStr">
        <is>
          <t>Group20_Ttareungyi_2024-2025.csv.csv</t>
        </is>
      </c>
      <c r="D332" s="51" t="str"/>
    </row>
    <row r="333">
      <c r="A333" s="51" t="inlineStr">
        <is>
          <t>2024-11-27</t>
        </is>
      </c>
      <c r="B333" s="49" t="n">
        <v>20902</v>
      </c>
      <c r="C333" s="51" t="inlineStr">
        <is>
          <t>Group20_Ttareungyi_2024-2025.csv.csv</t>
        </is>
      </c>
      <c r="D333" s="51" t="str"/>
    </row>
    <row r="334">
      <c r="A334" s="51" t="inlineStr">
        <is>
          <t>2024-11-28</t>
        </is>
      </c>
      <c r="B334" s="49" t="n">
        <v>42954</v>
      </c>
      <c r="C334" s="51" t="inlineStr">
        <is>
          <t>Group20_Ttareungyi_2024-2025.csv.csv</t>
        </is>
      </c>
      <c r="D334" s="51" t="str"/>
    </row>
    <row r="335">
      <c r="A335" s="51" t="inlineStr">
        <is>
          <t>2024-11-29</t>
        </is>
      </c>
      <c r="B335" s="49" t="n">
        <v>73901</v>
      </c>
      <c r="C335" s="51" t="inlineStr">
        <is>
          <t>Group20_Ttareungyi_2024-2025.csv.csv</t>
        </is>
      </c>
      <c r="D335" s="51" t="str"/>
    </row>
    <row r="336">
      <c r="A336" s="51" t="inlineStr">
        <is>
          <t>2024-11-30</t>
        </is>
      </c>
      <c r="B336" s="49" t="n">
        <v>57419</v>
      </c>
      <c r="C336" s="51" t="inlineStr">
        <is>
          <t>Group20_Ttareungyi_2024-2025.csv.csv</t>
        </is>
      </c>
      <c r="D336" s="51" t="str"/>
    </row>
    <row r="337">
      <c r="A337" s="51" t="inlineStr">
        <is>
          <t>2024-12-01</t>
        </is>
      </c>
      <c r="B337" s="49" t="n">
        <v>58682</v>
      </c>
      <c r="C337" s="51" t="inlineStr">
        <is>
          <t>Group20_Ttareungyi_2024-2025.csv.csv</t>
        </is>
      </c>
      <c r="D337" s="51" t="str"/>
    </row>
    <row r="338">
      <c r="A338" s="51" t="inlineStr">
        <is>
          <t>2024-12-02</t>
        </is>
      </c>
      <c r="B338" s="49" t="n">
        <v>100402</v>
      </c>
      <c r="C338" s="51" t="inlineStr">
        <is>
          <t>Group20_Ttareungyi_2024-2025.csv.csv</t>
        </is>
      </c>
      <c r="D338" s="51" t="str"/>
    </row>
    <row r="339">
      <c r="A339" s="51" t="inlineStr">
        <is>
          <t>2024-12-03</t>
        </is>
      </c>
      <c r="B339" s="49" t="n">
        <v>94706</v>
      </c>
      <c r="C339" s="51" t="inlineStr">
        <is>
          <t>Group20_Ttareungyi_2024-2025.csv.csv</t>
        </is>
      </c>
      <c r="D339" s="51" t="str"/>
    </row>
    <row r="340">
      <c r="A340" s="51" t="inlineStr">
        <is>
          <t>2024-12-04</t>
        </is>
      </c>
      <c r="B340" s="49" t="n">
        <v>97362</v>
      </c>
      <c r="C340" s="51" t="inlineStr">
        <is>
          <t>Group20_Ttareungyi_2024-2025.csv.csv</t>
        </is>
      </c>
      <c r="D340" s="51" t="str"/>
    </row>
    <row r="341">
      <c r="A341" s="51" t="inlineStr">
        <is>
          <t>2024-12-05</t>
        </is>
      </c>
      <c r="B341" s="49" t="n">
        <v>83581</v>
      </c>
      <c r="C341" s="51" t="inlineStr">
        <is>
          <t>Group20_Ttareungyi_2024-2025.csv.csv</t>
        </is>
      </c>
      <c r="D341" s="51" t="str"/>
    </row>
    <row r="342">
      <c r="A342" s="51" t="inlineStr">
        <is>
          <t>2024-12-06</t>
        </is>
      </c>
      <c r="B342" s="49" t="n">
        <v>92777</v>
      </c>
      <c r="C342" s="51" t="inlineStr">
        <is>
          <t>Group20_Ttareungyi_2024-2025.csv.csv</t>
        </is>
      </c>
      <c r="D342" s="51" t="str"/>
    </row>
    <row r="343">
      <c r="A343" s="51" t="inlineStr">
        <is>
          <t>2024-12-07</t>
        </is>
      </c>
      <c r="B343" s="49" t="n">
        <v>66498</v>
      </c>
      <c r="C343" s="51" t="inlineStr">
        <is>
          <t>Group20_Ttareungyi_2024-2025.csv.csv</t>
        </is>
      </c>
      <c r="D343" s="51" t="str"/>
    </row>
    <row r="344">
      <c r="A344" s="51" t="inlineStr">
        <is>
          <t>2024-12-08</t>
        </is>
      </c>
      <c r="B344" s="49" t="n">
        <v>50136</v>
      </c>
      <c r="C344" s="51" t="inlineStr">
        <is>
          <t>Group20_Ttareungyi_2024-2025.csv.csv</t>
        </is>
      </c>
      <c r="D344" s="51" t="str"/>
    </row>
    <row r="345">
      <c r="A345" s="51" t="inlineStr">
        <is>
          <t>2024-12-09</t>
        </is>
      </c>
      <c r="B345" s="49" t="n">
        <v>89574</v>
      </c>
      <c r="C345" s="51" t="inlineStr">
        <is>
          <t>Group20_Ttareungyi_2024-2025.csv.csv</t>
        </is>
      </c>
      <c r="D345" s="51" t="str"/>
    </row>
    <row r="346">
      <c r="A346" s="51" t="inlineStr">
        <is>
          <t>2024-12-10</t>
        </is>
      </c>
      <c r="B346" s="49" t="n">
        <v>95363</v>
      </c>
      <c r="C346" s="51" t="inlineStr">
        <is>
          <t>Group20_Ttareungyi_2024-2025.csv.csv</t>
        </is>
      </c>
      <c r="D346" s="51" t="str"/>
    </row>
    <row r="347">
      <c r="A347" s="51" t="inlineStr">
        <is>
          <t>2024-12-11</t>
        </is>
      </c>
      <c r="B347" s="49" t="n">
        <v>98559</v>
      </c>
      <c r="C347" s="51" t="inlineStr">
        <is>
          <t>Group20_Ttareungyi_2024-2025.csv.csv</t>
        </is>
      </c>
      <c r="D347" s="51" t="str"/>
    </row>
    <row r="348">
      <c r="A348" s="51" t="inlineStr">
        <is>
          <t>2024-12-12</t>
        </is>
      </c>
      <c r="B348" s="49" t="n">
        <v>91964</v>
      </c>
      <c r="C348" s="51" t="inlineStr">
        <is>
          <t>Group20_Ttareungyi_2024-2025.csv.csv</t>
        </is>
      </c>
      <c r="D348" s="51" t="str"/>
    </row>
    <row r="349">
      <c r="A349" s="51" t="inlineStr">
        <is>
          <t>2024-12-13</t>
        </is>
      </c>
      <c r="B349" s="49" t="n">
        <v>89559</v>
      </c>
      <c r="C349" s="51" t="inlineStr">
        <is>
          <t>Group20_Ttareungyi_2024-2025.csv.csv</t>
        </is>
      </c>
      <c r="D349" s="51" t="str"/>
    </row>
    <row r="350">
      <c r="A350" s="51" t="inlineStr">
        <is>
          <t>2024-12-14</t>
        </is>
      </c>
      <c r="B350" s="49" t="n">
        <v>64501</v>
      </c>
      <c r="C350" s="51" t="inlineStr">
        <is>
          <t>Group20_Ttareungyi_2024-2025.csv.csv</t>
        </is>
      </c>
      <c r="D350" s="51" t="str"/>
    </row>
    <row r="351">
      <c r="A351" s="51" t="inlineStr">
        <is>
          <t>2024-12-15</t>
        </is>
      </c>
      <c r="B351" s="49" t="n">
        <v>51238</v>
      </c>
      <c r="C351" s="51" t="inlineStr">
        <is>
          <t>Group20_Ttareungyi_2024-2025.csv.csv</t>
        </is>
      </c>
      <c r="D351" s="51" t="str"/>
    </row>
    <row r="352">
      <c r="A352" s="51" t="inlineStr">
        <is>
          <t>2024-12-16</t>
        </is>
      </c>
      <c r="B352" s="49" t="n">
        <v>78056</v>
      </c>
      <c r="C352" s="51" t="inlineStr">
        <is>
          <t>Group20_Ttareungyi_2024-2025.csv.csv</t>
        </is>
      </c>
      <c r="D352" s="51" t="str"/>
    </row>
    <row r="353">
      <c r="A353" s="51" t="inlineStr">
        <is>
          <t>2024-12-17</t>
        </is>
      </c>
      <c r="B353" s="49" t="n">
        <v>83410</v>
      </c>
      <c r="C353" s="51" t="inlineStr">
        <is>
          <t>Group20_Ttareungyi_2024-2025.csv.csv</t>
        </is>
      </c>
      <c r="D353" s="51" t="str"/>
    </row>
    <row r="354">
      <c r="A354" s="51" t="inlineStr">
        <is>
          <t>2024-12-18</t>
        </is>
      </c>
      <c r="B354" s="49" t="n">
        <v>76127</v>
      </c>
      <c r="C354" s="51" t="inlineStr">
        <is>
          <t>Group20_Ttareungyi_2024-2025.csv.csv</t>
        </is>
      </c>
      <c r="D354" s="51" t="str"/>
    </row>
    <row r="355">
      <c r="A355" s="51" t="inlineStr">
        <is>
          <t>2024-12-19</t>
        </is>
      </c>
      <c r="B355" s="49" t="n">
        <v>79353</v>
      </c>
      <c r="C355" s="51" t="inlineStr">
        <is>
          <t>Group20_Ttareungyi_2024-2025.csv.csv</t>
        </is>
      </c>
      <c r="D355" s="51" t="str"/>
    </row>
    <row r="356">
      <c r="A356" s="51" t="inlineStr">
        <is>
          <t>2024-12-20</t>
        </is>
      </c>
      <c r="B356" s="49" t="n">
        <v>80200</v>
      </c>
      <c r="C356" s="51" t="inlineStr">
        <is>
          <t>Group20_Ttareungyi_2024-2025.csv.csv</t>
        </is>
      </c>
      <c r="D356" s="51" t="str"/>
    </row>
    <row r="357">
      <c r="A357" s="51" t="inlineStr">
        <is>
          <t>2024-12-21</t>
        </is>
      </c>
      <c r="B357" s="49" t="n">
        <v>39452</v>
      </c>
      <c r="C357" s="51" t="inlineStr">
        <is>
          <t>Group20_Ttareungyi_2024-2025.csv.csv</t>
        </is>
      </c>
      <c r="D357" s="51" t="str"/>
    </row>
    <row r="358">
      <c r="A358" s="51" t="inlineStr">
        <is>
          <t>2024-12-22</t>
        </is>
      </c>
      <c r="B358" s="49" t="n">
        <v>37978</v>
      </c>
      <c r="C358" s="51" t="inlineStr">
        <is>
          <t>Group20_Ttareungyi_2024-2025.csv.csv</t>
        </is>
      </c>
      <c r="D358" s="51" t="str"/>
    </row>
    <row r="359">
      <c r="A359" s="51" t="inlineStr">
        <is>
          <t>2024-12-23</t>
        </is>
      </c>
      <c r="B359" s="49" t="n">
        <v>76138</v>
      </c>
      <c r="C359" s="51" t="inlineStr">
        <is>
          <t>Group20_Ttareungyi_2024-2025.csv.csv</t>
        </is>
      </c>
      <c r="D359" s="51" t="str"/>
    </row>
    <row r="360">
      <c r="A360" s="51" t="inlineStr">
        <is>
          <t>2024-12-24</t>
        </is>
      </c>
      <c r="B360" s="49" t="n">
        <v>77776</v>
      </c>
      <c r="C360" s="51" t="inlineStr">
        <is>
          <t>Group20_Ttareungyi_2024-2025.csv.csv</t>
        </is>
      </c>
      <c r="D360" s="51" t="str"/>
    </row>
    <row r="361">
      <c r="A361" s="51" t="inlineStr">
        <is>
          <t>2024-12-25</t>
        </is>
      </c>
      <c r="B361" s="49" t="n">
        <v>45243</v>
      </c>
      <c r="C361" s="51" t="inlineStr">
        <is>
          <t>Group20_Ttareungyi_2024-2025.csv.csv</t>
        </is>
      </c>
      <c r="D361" s="51" t="str"/>
    </row>
    <row r="362">
      <c r="A362" s="51" t="inlineStr">
        <is>
          <t>2024-12-26</t>
        </is>
      </c>
      <c r="B362" s="49" t="n">
        <v>69106</v>
      </c>
      <c r="C362" s="51" t="inlineStr">
        <is>
          <t>Group20_Ttareungyi_2024-2025.csv.csv</t>
        </is>
      </c>
      <c r="D362" s="51" t="str"/>
    </row>
    <row r="363">
      <c r="A363" s="51" t="inlineStr">
        <is>
          <t>2024-12-27</t>
        </is>
      </c>
      <c r="B363" s="49" t="n">
        <v>68320</v>
      </c>
      <c r="C363" s="51" t="inlineStr">
        <is>
          <t>Group20_Ttareungyi_2024-2025.csv.csv</t>
        </is>
      </c>
      <c r="D363" s="51" t="str"/>
    </row>
    <row r="364">
      <c r="A364" s="51" t="inlineStr">
        <is>
          <t>2024-12-28</t>
        </is>
      </c>
      <c r="B364" s="49" t="n">
        <v>45723</v>
      </c>
      <c r="C364" s="51" t="inlineStr">
        <is>
          <t>Group20_Ttareungyi_2024-2025.csv.csv</t>
        </is>
      </c>
      <c r="D364" s="51" t="str"/>
    </row>
    <row r="365">
      <c r="A365" s="51" t="inlineStr">
        <is>
          <t>2024-12-29</t>
        </is>
      </c>
      <c r="B365" s="49" t="n">
        <v>43608</v>
      </c>
      <c r="C365" s="51" t="inlineStr">
        <is>
          <t>Group20_Ttareungyi_2024-2025.csv.csv</t>
        </is>
      </c>
      <c r="D365" s="51" t="str"/>
    </row>
    <row r="366">
      <c r="A366" s="51" t="inlineStr">
        <is>
          <t>2024-12-30</t>
        </is>
      </c>
      <c r="B366" s="49" t="n">
        <v>79477</v>
      </c>
      <c r="C366" s="51" t="inlineStr">
        <is>
          <t>Group20_Ttareungyi_2024-2025.csv.csv</t>
        </is>
      </c>
      <c r="D366" s="51" t="str"/>
    </row>
    <row r="367">
      <c r="A367" s="51" t="inlineStr">
        <is>
          <t>2024-12-31</t>
        </is>
      </c>
      <c r="B367" s="49" t="n">
        <v>72939</v>
      </c>
      <c r="C367" s="51" t="inlineStr">
        <is>
          <t>Group20_Ttareungyi_2024-2025.csv.csv</t>
        </is>
      </c>
      <c r="D367" s="51" t="str"/>
    </row>
    <row r="368">
      <c r="A368" s="51" t="inlineStr">
        <is>
          <t>2025-01-01</t>
        </is>
      </c>
      <c r="B368" s="49" t="n">
        <v>48639</v>
      </c>
      <c r="C368" s="51" t="inlineStr">
        <is>
          <t>Group20_Ttareungyi_2024-2025.csv.csv</t>
        </is>
      </c>
      <c r="D368" s="51" t="inlineStr">
        <is>
          <t>일치</t>
        </is>
      </c>
    </row>
    <row r="369">
      <c r="A369" s="51" t="inlineStr">
        <is>
          <t>2025-01-02</t>
        </is>
      </c>
      <c r="B369" s="49" t="n">
        <v>77709</v>
      </c>
      <c r="C369" s="51" t="inlineStr">
        <is>
          <t>Group20_Ttareungyi_2024-2025.csv.csv</t>
        </is>
      </c>
      <c r="D369" s="51" t="inlineStr">
        <is>
          <t>일치</t>
        </is>
      </c>
    </row>
    <row r="370">
      <c r="A370" s="51" t="inlineStr">
        <is>
          <t>2025-01-03</t>
        </is>
      </c>
      <c r="B370" s="49" t="n">
        <v>77046</v>
      </c>
      <c r="C370" s="51" t="inlineStr">
        <is>
          <t>Group20_Ttareungyi_2024-2025.csv.csv</t>
        </is>
      </c>
      <c r="D370" s="51" t="inlineStr">
        <is>
          <t>일치</t>
        </is>
      </c>
    </row>
    <row r="371">
      <c r="A371" s="51" t="inlineStr">
        <is>
          <t>2025-01-04</t>
        </is>
      </c>
      <c r="B371" s="49" t="n">
        <v>56590</v>
      </c>
      <c r="C371" s="51" t="inlineStr">
        <is>
          <t>Group20_Ttareungyi_2024-2025.csv.csv</t>
        </is>
      </c>
      <c r="D371" s="51" t="inlineStr">
        <is>
          <t>일치</t>
        </is>
      </c>
    </row>
    <row r="372">
      <c r="A372" s="51" t="inlineStr">
        <is>
          <t>2025-01-05</t>
        </is>
      </c>
      <c r="B372" s="49" t="n">
        <v>19711</v>
      </c>
      <c r="C372" s="51" t="inlineStr">
        <is>
          <t>Group20_Ttareungyi_2024-2025.csv.csv</t>
        </is>
      </c>
      <c r="D372" s="51" t="inlineStr">
        <is>
          <t>일치</t>
        </is>
      </c>
    </row>
    <row r="373">
      <c r="A373" s="51" t="inlineStr">
        <is>
          <t>2025-01-06</t>
        </is>
      </c>
      <c r="B373" s="49" t="n">
        <v>62519</v>
      </c>
      <c r="C373" s="51" t="inlineStr">
        <is>
          <t>Group20_Ttareungyi_2024-2025.csv.csv</t>
        </is>
      </c>
      <c r="D373" s="51" t="inlineStr">
        <is>
          <t>일치</t>
        </is>
      </c>
    </row>
    <row r="374">
      <c r="A374" s="51" t="inlineStr">
        <is>
          <t>2025-01-07</t>
        </is>
      </c>
      <c r="B374" s="49" t="n">
        <v>68396</v>
      </c>
      <c r="C374" s="51" t="inlineStr">
        <is>
          <t>Group20_Ttareungyi_2024-2025.csv.csv</t>
        </is>
      </c>
      <c r="D374" s="51" t="inlineStr">
        <is>
          <t>일치</t>
        </is>
      </c>
    </row>
    <row r="375">
      <c r="A375" s="51" t="inlineStr">
        <is>
          <t>2025-01-08</t>
        </is>
      </c>
      <c r="B375" s="49" t="n">
        <v>66707</v>
      </c>
      <c r="C375" s="51" t="inlineStr">
        <is>
          <t>Group20_Ttareungyi_2024-2025.csv.csv</t>
        </is>
      </c>
      <c r="D375" s="51" t="inlineStr">
        <is>
          <t>일치</t>
        </is>
      </c>
    </row>
    <row r="376">
      <c r="A376" s="51" t="inlineStr">
        <is>
          <t>2025-01-09</t>
        </is>
      </c>
      <c r="B376" s="49" t="n">
        <v>47963</v>
      </c>
      <c r="C376" s="51" t="inlineStr">
        <is>
          <t>Group20_Ttareungyi_2024-2025.csv.csv</t>
        </is>
      </c>
      <c r="D376" s="51" t="inlineStr">
        <is>
          <t>일치</t>
        </is>
      </c>
    </row>
    <row r="377">
      <c r="A377" s="51" t="inlineStr">
        <is>
          <t>2025-01-10</t>
        </is>
      </c>
      <c r="B377" s="49" t="n">
        <v>54563</v>
      </c>
      <c r="C377" s="51" t="inlineStr">
        <is>
          <t>Group20_Ttareungyi_2024-2025.csv.csv</t>
        </is>
      </c>
      <c r="D377" s="51" t="inlineStr">
        <is>
          <t>일치</t>
        </is>
      </c>
    </row>
    <row r="378">
      <c r="A378" s="51" t="inlineStr">
        <is>
          <t>2025-01-11</t>
        </is>
      </c>
      <c r="B378" s="49" t="n">
        <v>42547</v>
      </c>
      <c r="C378" s="51" t="inlineStr">
        <is>
          <t>Group20_Ttareungyi_2024-2025.csv.csv</t>
        </is>
      </c>
      <c r="D378" s="51" t="inlineStr">
        <is>
          <t>일치</t>
        </is>
      </c>
    </row>
    <row r="379">
      <c r="A379" s="51" t="inlineStr">
        <is>
          <t>2025-01-12</t>
        </is>
      </c>
      <c r="B379" s="49" t="n">
        <v>38305</v>
      </c>
      <c r="C379" s="51" t="inlineStr">
        <is>
          <t>Group20_Ttareungyi_2024-2025.csv.csv</t>
        </is>
      </c>
      <c r="D379" s="51" t="inlineStr">
        <is>
          <t>일치</t>
        </is>
      </c>
    </row>
    <row r="380">
      <c r="A380" s="51" t="inlineStr">
        <is>
          <t>2025-01-13</t>
        </is>
      </c>
      <c r="B380" s="49" t="n">
        <v>50939</v>
      </c>
      <c r="C380" s="51" t="inlineStr">
        <is>
          <t>Group20_Ttareungyi_2024-2025.csv.csv</t>
        </is>
      </c>
      <c r="D380" s="51" t="inlineStr">
        <is>
          <t>일치</t>
        </is>
      </c>
    </row>
    <row r="381">
      <c r="A381" s="51" t="inlineStr">
        <is>
          <t>2025-01-14</t>
        </is>
      </c>
      <c r="B381" s="49" t="n">
        <v>61048</v>
      </c>
      <c r="C381" s="51" t="inlineStr">
        <is>
          <t>Group20_Ttareungyi_2024-2025.csv.csv</t>
        </is>
      </c>
      <c r="D381" s="51" t="inlineStr">
        <is>
          <t>일치</t>
        </is>
      </c>
    </row>
    <row r="382">
      <c r="A382" s="51" t="inlineStr">
        <is>
          <t>2025-01-15</t>
        </is>
      </c>
      <c r="B382" s="49" t="n">
        <v>64297</v>
      </c>
      <c r="C382" s="51" t="inlineStr">
        <is>
          <t>Group20_Ttareungyi_2024-2025.csv.csv</t>
        </is>
      </c>
      <c r="D382" s="51" t="inlineStr">
        <is>
          <t>일치</t>
        </is>
      </c>
    </row>
    <row r="383">
      <c r="A383" s="51" t="inlineStr">
        <is>
          <t>2025-01-16</t>
        </is>
      </c>
      <c r="B383" s="49" t="n">
        <v>68289</v>
      </c>
      <c r="C383" s="51" t="inlineStr">
        <is>
          <t>Group20_Ttareungyi_2024-2025.csv.csv</t>
        </is>
      </c>
      <c r="D383" s="51" t="inlineStr">
        <is>
          <t>일치</t>
        </is>
      </c>
    </row>
    <row r="384">
      <c r="A384" s="51" t="inlineStr">
        <is>
          <t>2025-01-17</t>
        </is>
      </c>
      <c r="B384" s="49" t="n">
        <v>73506</v>
      </c>
      <c r="C384" s="51" t="inlineStr">
        <is>
          <t>Group20_Ttareungyi_2024-2025.csv.csv</t>
        </is>
      </c>
      <c r="D384" s="51" t="inlineStr">
        <is>
          <t>일치</t>
        </is>
      </c>
    </row>
    <row r="385">
      <c r="A385" s="51" t="inlineStr">
        <is>
          <t>2025-01-18</t>
        </is>
      </c>
      <c r="B385" s="49" t="n">
        <v>56924</v>
      </c>
      <c r="C385" s="51" t="inlineStr">
        <is>
          <t>Group20_Ttareungyi_2024-2025.csv.csv</t>
        </is>
      </c>
      <c r="D385" s="51" t="inlineStr">
        <is>
          <t>일치</t>
        </is>
      </c>
    </row>
    <row r="386">
      <c r="A386" s="51" t="inlineStr">
        <is>
          <t>2025-01-19</t>
        </is>
      </c>
      <c r="B386" s="49" t="n">
        <v>51394</v>
      </c>
      <c r="C386" s="51" t="inlineStr">
        <is>
          <t>Group20_Ttareungyi_2024-2025.csv.csv</t>
        </is>
      </c>
      <c r="D386" s="51" t="inlineStr">
        <is>
          <t>일치</t>
        </is>
      </c>
    </row>
    <row r="387">
      <c r="A387" s="51" t="inlineStr">
        <is>
          <t>2025-01-20</t>
        </is>
      </c>
      <c r="B387" s="49" t="n">
        <v>76898</v>
      </c>
      <c r="C387" s="51" t="inlineStr">
        <is>
          <t>Group20_Ttareungyi_2024-2025.csv.csv</t>
        </is>
      </c>
      <c r="D387" s="51" t="inlineStr">
        <is>
          <t>일치</t>
        </is>
      </c>
    </row>
    <row r="388">
      <c r="A388" s="51" t="inlineStr">
        <is>
          <t>2025-01-21</t>
        </is>
      </c>
      <c r="B388" s="49" t="n">
        <v>76557</v>
      </c>
      <c r="C388" s="51" t="inlineStr">
        <is>
          <t>Group20_Ttareungyi_2024-2025.csv.csv</t>
        </is>
      </c>
      <c r="D388" s="51" t="inlineStr">
        <is>
          <t>일치</t>
        </is>
      </c>
    </row>
    <row r="389">
      <c r="A389" s="51" t="inlineStr">
        <is>
          <t>2025-01-22</t>
        </is>
      </c>
      <c r="B389" s="49" t="n">
        <v>80515</v>
      </c>
      <c r="C389" s="51" t="inlineStr">
        <is>
          <t>Group20_Ttareungyi_2024-2025.csv.csv</t>
        </is>
      </c>
      <c r="D389" s="51" t="inlineStr">
        <is>
          <t>일치</t>
        </is>
      </c>
    </row>
    <row r="390">
      <c r="A390" s="51" t="inlineStr">
        <is>
          <t>2025-01-23</t>
        </is>
      </c>
      <c r="B390" s="49" t="n">
        <v>81294</v>
      </c>
      <c r="C390" s="51" t="inlineStr">
        <is>
          <t>Group20_Ttareungyi_2024-2025.csv.csv</t>
        </is>
      </c>
      <c r="D390" s="51" t="inlineStr">
        <is>
          <t>일치</t>
        </is>
      </c>
    </row>
    <row r="391">
      <c r="A391" s="51" t="inlineStr">
        <is>
          <t>2025-01-24</t>
        </is>
      </c>
      <c r="B391" s="49" t="n">
        <v>85262</v>
      </c>
      <c r="C391" s="51" t="inlineStr">
        <is>
          <t>Group20_Ttareungyi_2024-2025.csv.csv</t>
        </is>
      </c>
      <c r="D391" s="51" t="inlineStr">
        <is>
          <t>일치</t>
        </is>
      </c>
    </row>
    <row r="392">
      <c r="A392" s="51" t="inlineStr">
        <is>
          <t>2025-01-25</t>
        </is>
      </c>
      <c r="B392" s="49" t="n">
        <v>63693</v>
      </c>
      <c r="C392" s="51" t="inlineStr">
        <is>
          <t>Group20_Ttareungyi_2024-2025.csv.csv</t>
        </is>
      </c>
      <c r="D392" s="51" t="inlineStr">
        <is>
          <t>일치</t>
        </is>
      </c>
    </row>
    <row r="393">
      <c r="A393" s="51" t="inlineStr">
        <is>
          <t>2025-01-26</t>
        </is>
      </c>
      <c r="B393" s="49" t="n">
        <v>49381</v>
      </c>
      <c r="C393" s="51" t="inlineStr">
        <is>
          <t>Group20_Ttareungyi_2024-2025.csv.csv</t>
        </is>
      </c>
      <c r="D393" s="51" t="inlineStr">
        <is>
          <t>일치</t>
        </is>
      </c>
    </row>
    <row r="394">
      <c r="A394" s="51" t="inlineStr">
        <is>
          <t>2025-01-27</t>
        </is>
      </c>
      <c r="B394" s="49" t="n">
        <v>16744</v>
      </c>
      <c r="C394" s="51" t="inlineStr">
        <is>
          <t>Group20_Ttareungyi_2024-2025.csv.csv</t>
        </is>
      </c>
      <c r="D394" s="51" t="inlineStr">
        <is>
          <t>일치</t>
        </is>
      </c>
    </row>
    <row r="395">
      <c r="A395" s="51" t="inlineStr">
        <is>
          <t>2025-01-28</t>
        </is>
      </c>
      <c r="B395" s="49" t="n">
        <v>15070</v>
      </c>
      <c r="C395" s="51" t="inlineStr">
        <is>
          <t>Group20_Ttareungyi_2024-2025.csv.csv</t>
        </is>
      </c>
      <c r="D395" s="51" t="inlineStr">
        <is>
          <t>일치</t>
        </is>
      </c>
    </row>
    <row r="396">
      <c r="A396" s="51" t="inlineStr">
        <is>
          <t>2025-01-29</t>
        </is>
      </c>
      <c r="B396" s="49" t="n">
        <v>16396</v>
      </c>
      <c r="C396" s="51" t="inlineStr">
        <is>
          <t>Group20_Ttareungyi_2024-2025.csv.csv</t>
        </is>
      </c>
      <c r="D396" s="51" t="inlineStr">
        <is>
          <t>일치</t>
        </is>
      </c>
    </row>
    <row r="397">
      <c r="A397" s="51" t="inlineStr">
        <is>
          <t>2025-01-30</t>
        </is>
      </c>
      <c r="B397" s="49" t="n">
        <v>28782</v>
      </c>
      <c r="C397" s="51" t="inlineStr">
        <is>
          <t>Group20_Ttareungyi_2024-2025.csv.csv</t>
        </is>
      </c>
      <c r="D397" s="51" t="inlineStr">
        <is>
          <t>일치</t>
        </is>
      </c>
    </row>
    <row r="398">
      <c r="A398" s="51" t="inlineStr">
        <is>
          <t>2025-01-31</t>
        </is>
      </c>
      <c r="B398" s="49" t="n">
        <v>26433</v>
      </c>
      <c r="C398" s="51" t="inlineStr">
        <is>
          <t>Group20_Ttareungyi_2024-2025.csv.csv</t>
        </is>
      </c>
      <c r="D398" s="51" t="inlineStr">
        <is>
          <t>일치</t>
        </is>
      </c>
    </row>
    <row r="399">
      <c r="A399" s="51" t="inlineStr">
        <is>
          <t>2025-02-01</t>
        </is>
      </c>
      <c r="B399" s="49" t="n">
        <v>42900</v>
      </c>
      <c r="C399" s="51" t="inlineStr">
        <is>
          <t>Group20_Ttareungyi_2024-2025.csv.csv</t>
        </is>
      </c>
      <c r="D399" s="51" t="inlineStr">
        <is>
          <t>일치</t>
        </is>
      </c>
    </row>
    <row r="400">
      <c r="A400" s="51" t="inlineStr">
        <is>
          <t>2025-02-02</t>
        </is>
      </c>
      <c r="B400" s="49" t="n">
        <v>47224</v>
      </c>
      <c r="C400" s="51" t="inlineStr">
        <is>
          <t>Group20_Ttareungyi_2024-2025.csv.csv</t>
        </is>
      </c>
      <c r="D400" s="51" t="inlineStr">
        <is>
          <t>일치</t>
        </is>
      </c>
    </row>
    <row r="401">
      <c r="A401" s="51" t="inlineStr">
        <is>
          <t>2025-02-03</t>
        </is>
      </c>
      <c r="B401" s="49" t="n">
        <v>58096</v>
      </c>
      <c r="C401" s="51" t="inlineStr">
        <is>
          <t>Group20_Ttareungyi_2024-2025.csv.csv</t>
        </is>
      </c>
      <c r="D401" s="51" t="inlineStr">
        <is>
          <t>일치</t>
        </is>
      </c>
    </row>
    <row r="402">
      <c r="A402" s="51" t="inlineStr">
        <is>
          <t>2025-02-04</t>
        </is>
      </c>
      <c r="B402" s="49" t="n">
        <v>49323</v>
      </c>
      <c r="C402" s="51" t="inlineStr">
        <is>
          <t>Group20_Ttareungyi_2024-2025.csv.csv</t>
        </is>
      </c>
      <c r="D402" s="51" t="inlineStr">
        <is>
          <t>일치</t>
        </is>
      </c>
    </row>
    <row r="403">
      <c r="A403" s="51" t="inlineStr">
        <is>
          <t>2025-02-05</t>
        </is>
      </c>
      <c r="B403" s="49" t="n">
        <v>50827</v>
      </c>
      <c r="C403" s="51" t="inlineStr">
        <is>
          <t>Group20_Ttareungyi_2024-2025.csv.csv</t>
        </is>
      </c>
      <c r="D403" s="51" t="inlineStr">
        <is>
          <t>일치</t>
        </is>
      </c>
    </row>
    <row r="404">
      <c r="A404" s="51" t="inlineStr">
        <is>
          <t>2025-02-06</t>
        </is>
      </c>
      <c r="B404" s="49" t="n">
        <v>37900</v>
      </c>
      <c r="C404" s="51" t="inlineStr">
        <is>
          <t>Group20_Ttareungyi_2024-2025.csv.csv</t>
        </is>
      </c>
      <c r="D404" s="51" t="inlineStr">
        <is>
          <t>일치</t>
        </is>
      </c>
    </row>
    <row r="405">
      <c r="A405" s="51" t="inlineStr">
        <is>
          <t>2025-02-07</t>
        </is>
      </c>
      <c r="B405" s="49" t="n">
        <v>25537</v>
      </c>
      <c r="C405" s="51" t="inlineStr">
        <is>
          <t>Group20_Ttareungyi_2024-2025.csv.csv</t>
        </is>
      </c>
      <c r="D405" s="51" t="inlineStr">
        <is>
          <t>일치</t>
        </is>
      </c>
    </row>
    <row r="406">
      <c r="A406" s="51" t="inlineStr">
        <is>
          <t>2025-02-08</t>
        </is>
      </c>
      <c r="B406" s="49" t="n">
        <v>29052</v>
      </c>
      <c r="C406" s="51" t="inlineStr">
        <is>
          <t>Group20_Ttareungyi_2024-2025.csv.csv</t>
        </is>
      </c>
      <c r="D406" s="51" t="inlineStr">
        <is>
          <t>일치</t>
        </is>
      </c>
    </row>
    <row r="407">
      <c r="A407" s="51" t="inlineStr">
        <is>
          <t>2025-02-09</t>
        </is>
      </c>
      <c r="B407" s="49" t="n">
        <v>30720</v>
      </c>
      <c r="C407" s="51" t="inlineStr">
        <is>
          <t>Group20_Ttareungyi_2024-2025.csv.csv</t>
        </is>
      </c>
      <c r="D407" s="51" t="inlineStr">
        <is>
          <t>일치</t>
        </is>
      </c>
    </row>
    <row r="408">
      <c r="A408" s="51" t="inlineStr">
        <is>
          <t>2025-02-10</t>
        </is>
      </c>
      <c r="B408" s="49" t="n">
        <v>59298</v>
      </c>
      <c r="C408" s="51" t="inlineStr">
        <is>
          <t>Group20_Ttareungyi_2024-2025.csv.csv</t>
        </is>
      </c>
      <c r="D408" s="51" t="inlineStr">
        <is>
          <t>일치</t>
        </is>
      </c>
    </row>
    <row r="409">
      <c r="A409" s="51" t="inlineStr">
        <is>
          <t>2025-02-11</t>
        </is>
      </c>
      <c r="B409" s="49" t="n">
        <v>70882</v>
      </c>
      <c r="C409" s="51" t="inlineStr">
        <is>
          <t>Group20_Ttareungyi_2024-2025.csv.csv</t>
        </is>
      </c>
      <c r="D409" s="51" t="inlineStr">
        <is>
          <t>일치</t>
        </is>
      </c>
    </row>
    <row r="410">
      <c r="A410" s="51" t="inlineStr">
        <is>
          <t>2025-02-12</t>
        </is>
      </c>
      <c r="B410" s="49" t="n">
        <v>35466</v>
      </c>
      <c r="C410" s="51" t="inlineStr">
        <is>
          <t>Group20_Ttareungyi_2024-2025.csv.csv</t>
        </is>
      </c>
      <c r="D410" s="51" t="inlineStr">
        <is>
          <t>일치</t>
        </is>
      </c>
    </row>
    <row r="411">
      <c r="A411" s="51" t="inlineStr">
        <is>
          <t>2025-02-13</t>
        </is>
      </c>
      <c r="B411" s="49" t="n">
        <v>68731</v>
      </c>
      <c r="C411" s="51" t="inlineStr">
        <is>
          <t>Group20_Ttareungyi_2024-2025.csv.csv</t>
        </is>
      </c>
      <c r="D411" s="51" t="inlineStr">
        <is>
          <t>일치</t>
        </is>
      </c>
    </row>
    <row r="412">
      <c r="A412" s="51" t="inlineStr">
        <is>
          <t>2025-02-14</t>
        </is>
      </c>
      <c r="B412" s="49" t="n">
        <v>79241</v>
      </c>
      <c r="C412" s="51" t="inlineStr">
        <is>
          <t>Group20_Ttareungyi_2024-2025.csv.csv</t>
        </is>
      </c>
      <c r="D412" s="51" t="inlineStr">
        <is>
          <t>일치</t>
        </is>
      </c>
    </row>
    <row r="413">
      <c r="A413" s="51" t="inlineStr">
        <is>
          <t>2025-02-15</t>
        </is>
      </c>
      <c r="B413" s="49" t="n">
        <v>60406</v>
      </c>
      <c r="C413" s="51" t="inlineStr">
        <is>
          <t>Group20_Ttareungyi_2024-2025.csv.csv</t>
        </is>
      </c>
      <c r="D413" s="51" t="inlineStr">
        <is>
          <t>일치</t>
        </is>
      </c>
    </row>
    <row r="414">
      <c r="A414" s="51" t="inlineStr">
        <is>
          <t>2025-02-16</t>
        </is>
      </c>
      <c r="B414" s="49" t="n">
        <v>53209</v>
      </c>
      <c r="C414" s="51" t="inlineStr">
        <is>
          <t>Group20_Ttareungyi_2024-2025.csv.csv</t>
        </is>
      </c>
      <c r="D414" s="51" t="inlineStr">
        <is>
          <t>일치</t>
        </is>
      </c>
    </row>
    <row r="415">
      <c r="A415" s="51" t="inlineStr">
        <is>
          <t>2025-02-17</t>
        </is>
      </c>
      <c r="B415" s="49" t="n">
        <v>68686</v>
      </c>
      <c r="C415" s="51" t="inlineStr">
        <is>
          <t>Group20_Ttareungyi_2024-2025.csv.csv</t>
        </is>
      </c>
      <c r="D415" s="51" t="inlineStr">
        <is>
          <t>일치</t>
        </is>
      </c>
    </row>
    <row r="416">
      <c r="A416" s="51" t="inlineStr">
        <is>
          <t>2025-02-18</t>
        </is>
      </c>
      <c r="B416" s="49" t="n">
        <v>66559</v>
      </c>
      <c r="C416" s="51" t="inlineStr">
        <is>
          <t>Group20_Ttareungyi_2024-2025.csv.csv</t>
        </is>
      </c>
      <c r="D416" s="51" t="inlineStr">
        <is>
          <t>일치</t>
        </is>
      </c>
    </row>
    <row r="417">
      <c r="A417" s="51" t="inlineStr">
        <is>
          <t>2025-02-19</t>
        </is>
      </c>
      <c r="B417" s="49" t="n">
        <v>65341</v>
      </c>
      <c r="C417" s="51" t="inlineStr">
        <is>
          <t>Group20_Ttareungyi_2024-2025.csv.csv</t>
        </is>
      </c>
      <c r="D417" s="51" t="inlineStr">
        <is>
          <t>일치</t>
        </is>
      </c>
    </row>
    <row r="418">
      <c r="A418" s="51" t="inlineStr">
        <is>
          <t>2025-02-20</t>
        </is>
      </c>
      <c r="B418" s="49" t="n">
        <v>65449</v>
      </c>
      <c r="C418" s="51" t="inlineStr">
        <is>
          <t>Group20_Ttareungyi_2024-2025.csv.csv</t>
        </is>
      </c>
      <c r="D418" s="51" t="inlineStr">
        <is>
          <t>일치</t>
        </is>
      </c>
    </row>
    <row r="419">
      <c r="A419" s="51" t="inlineStr">
        <is>
          <t>2025-02-21</t>
        </is>
      </c>
      <c r="B419" s="49" t="n">
        <v>66488</v>
      </c>
      <c r="C419" s="51" t="inlineStr">
        <is>
          <t>Group20_Ttareungyi_2024-2025.csv.csv</t>
        </is>
      </c>
      <c r="D419" s="51" t="inlineStr">
        <is>
          <t>일치</t>
        </is>
      </c>
    </row>
    <row r="420">
      <c r="A420" s="51" t="inlineStr">
        <is>
          <t>2025-02-22</t>
        </is>
      </c>
      <c r="B420" s="49" t="n">
        <v>49411</v>
      </c>
      <c r="C420" s="51" t="inlineStr">
        <is>
          <t>Group20_Ttareungyi_2024-2025.csv.csv</t>
        </is>
      </c>
      <c r="D420" s="51" t="inlineStr">
        <is>
          <t>일치</t>
        </is>
      </c>
    </row>
    <row r="421">
      <c r="A421" s="51" t="inlineStr">
        <is>
          <t>2025-02-23</t>
        </is>
      </c>
      <c r="B421" s="49" t="n">
        <v>37830</v>
      </c>
      <c r="C421" s="51" t="inlineStr">
        <is>
          <t>Group20_Ttareungyi_2024-2025.csv.csv</t>
        </is>
      </c>
      <c r="D421" s="51" t="inlineStr">
        <is>
          <t>일치</t>
        </is>
      </c>
    </row>
    <row r="422">
      <c r="A422" s="51" t="inlineStr">
        <is>
          <t>2025-02-24</t>
        </is>
      </c>
      <c r="B422" s="49" t="n">
        <v>68740</v>
      </c>
      <c r="C422" s="51" t="inlineStr">
        <is>
          <t>Group20_Ttareungyi_2024-2025.csv.csv</t>
        </is>
      </c>
      <c r="D422" s="51" t="inlineStr">
        <is>
          <t>일치</t>
        </is>
      </c>
    </row>
    <row r="423">
      <c r="A423" s="51" t="inlineStr">
        <is>
          <t>2025-02-25</t>
        </is>
      </c>
      <c r="B423" s="49" t="n">
        <v>75269</v>
      </c>
      <c r="C423" s="51" t="inlineStr">
        <is>
          <t>Group20_Ttareungyi_2024-2025.csv.csv</t>
        </is>
      </c>
      <c r="D423" s="51" t="inlineStr">
        <is>
          <t>일치</t>
        </is>
      </c>
    </row>
    <row r="424">
      <c r="A424" s="51" t="inlineStr">
        <is>
          <t>2025-02-26</t>
        </is>
      </c>
      <c r="B424" s="49" t="n">
        <v>81377</v>
      </c>
      <c r="C424" s="51" t="inlineStr">
        <is>
          <t>Group20_Ttareungyi_2024-2025.csv.csv</t>
        </is>
      </c>
      <c r="D424" s="51" t="inlineStr">
        <is>
          <t>일치</t>
        </is>
      </c>
    </row>
    <row r="425">
      <c r="A425" s="51" t="inlineStr">
        <is>
          <t>2025-02-27</t>
        </is>
      </c>
      <c r="B425" s="49" t="n">
        <v>91202</v>
      </c>
      <c r="C425" s="51" t="inlineStr">
        <is>
          <t>Group20_Ttareungyi_2024-2025.csv.csv</t>
        </is>
      </c>
      <c r="D425" s="51" t="inlineStr">
        <is>
          <t>일치</t>
        </is>
      </c>
    </row>
    <row r="426">
      <c r="A426" s="51" t="inlineStr">
        <is>
          <t>2025-02-28</t>
        </is>
      </c>
      <c r="B426" s="49" t="n">
        <v>47221</v>
      </c>
      <c r="C426" s="51" t="inlineStr">
        <is>
          <t>Group20_Ttareungyi_2024-2025.csv.csv</t>
        </is>
      </c>
      <c r="D426" s="51" t="inlineStr">
        <is>
          <t>일치</t>
        </is>
      </c>
    </row>
    <row r="427">
      <c r="A427" s="51" t="inlineStr">
        <is>
          <t>2025-03-01</t>
        </is>
      </c>
      <c r="B427" s="49" t="n">
        <v>58921</v>
      </c>
      <c r="C427" s="51" t="inlineStr">
        <is>
          <t>Group20_Ttareungyi_2024-2025.csv.csv</t>
        </is>
      </c>
      <c r="D427" s="51" t="inlineStr">
        <is>
          <t>일치</t>
        </is>
      </c>
    </row>
    <row r="428">
      <c r="A428" s="51" t="inlineStr">
        <is>
          <t>2025-03-02</t>
        </is>
      </c>
      <c r="B428" s="49" t="n">
        <v>32851</v>
      </c>
      <c r="C428" s="51" t="inlineStr">
        <is>
          <t>Group20_Ttareungyi_2024-2025.csv.csv</t>
        </is>
      </c>
      <c r="D428" s="51" t="inlineStr">
        <is>
          <t>일치</t>
        </is>
      </c>
    </row>
    <row r="429">
      <c r="A429" s="51" t="inlineStr">
        <is>
          <t>2025-03-03</t>
        </is>
      </c>
      <c r="B429" s="49" t="n">
        <v>45444</v>
      </c>
      <c r="C429" s="51" t="inlineStr">
        <is>
          <t>Group20_Ttareungyi_2024-2025.csv.csv</t>
        </is>
      </c>
      <c r="D429" s="51" t="inlineStr">
        <is>
          <t>일치</t>
        </is>
      </c>
    </row>
    <row r="430">
      <c r="A430" s="51" t="inlineStr">
        <is>
          <t>2025-03-04</t>
        </is>
      </c>
      <c r="B430" s="49" t="n">
        <v>52214</v>
      </c>
      <c r="C430" s="51" t="inlineStr">
        <is>
          <t>Group20_Ttareungyi_2024-2025.csv.csv</t>
        </is>
      </c>
      <c r="D430" s="51" t="inlineStr">
        <is>
          <t>일치</t>
        </is>
      </c>
    </row>
    <row r="431">
      <c r="A431" s="51" t="inlineStr">
        <is>
          <t>2025-03-05</t>
        </is>
      </c>
      <c r="B431" s="49" t="n">
        <v>89885</v>
      </c>
      <c r="C431" s="51" t="inlineStr">
        <is>
          <t>Group20_Ttareungyi_2024-2025.csv.csv</t>
        </is>
      </c>
      <c r="D431" s="51" t="inlineStr">
        <is>
          <t>일치</t>
        </is>
      </c>
    </row>
    <row r="432">
      <c r="A432" s="51" t="inlineStr">
        <is>
          <t>2025-03-06</t>
        </is>
      </c>
      <c r="B432" s="49" t="n">
        <v>95222</v>
      </c>
      <c r="C432" s="51" t="inlineStr">
        <is>
          <t>Group20_Ttareungyi_2024-2025.csv.csv</t>
        </is>
      </c>
      <c r="D432" s="51" t="inlineStr">
        <is>
          <t>일치</t>
        </is>
      </c>
    </row>
    <row r="433">
      <c r="A433" s="51" t="inlineStr">
        <is>
          <t>2025-03-07</t>
        </is>
      </c>
      <c r="B433" s="49" t="n">
        <v>98679</v>
      </c>
      <c r="C433" s="51" t="inlineStr">
        <is>
          <t>Group20_Ttareungyi_2024-2025.csv.csv</t>
        </is>
      </c>
      <c r="D433" s="51" t="inlineStr">
        <is>
          <t>일치</t>
        </is>
      </c>
    </row>
    <row r="434">
      <c r="A434" s="51" t="inlineStr">
        <is>
          <t>2025-03-08</t>
        </is>
      </c>
      <c r="B434" s="49" t="n">
        <v>81479</v>
      </c>
      <c r="C434" s="51" t="inlineStr">
        <is>
          <t>Group20_Ttareungyi_2024-2025.csv.csv</t>
        </is>
      </c>
      <c r="D434" s="51" t="inlineStr">
        <is>
          <t>일치</t>
        </is>
      </c>
    </row>
    <row r="435">
      <c r="A435" s="51" t="inlineStr">
        <is>
          <t>2025-03-09</t>
        </is>
      </c>
      <c r="B435" s="49" t="n">
        <v>80197</v>
      </c>
      <c r="C435" s="51" t="inlineStr">
        <is>
          <t>Group20_Ttareungyi_2024-2025.csv.csv</t>
        </is>
      </c>
      <c r="D435" s="51" t="inlineStr">
        <is>
          <t>일치</t>
        </is>
      </c>
    </row>
    <row r="436">
      <c r="A436" s="51" t="inlineStr">
        <is>
          <t>2025-03-10</t>
        </is>
      </c>
      <c r="B436" s="49" t="n">
        <v>103846</v>
      </c>
      <c r="C436" s="51" t="inlineStr">
        <is>
          <t>Group20_Ttareungyi_2024-2025.csv.csv</t>
        </is>
      </c>
      <c r="D436" s="51" t="inlineStr">
        <is>
          <t>일치</t>
        </is>
      </c>
    </row>
    <row r="437">
      <c r="A437" s="51" t="inlineStr">
        <is>
          <t>2025-03-11</t>
        </is>
      </c>
      <c r="B437" s="49" t="n">
        <v>111512</v>
      </c>
      <c r="C437" s="51" t="inlineStr">
        <is>
          <t>Group20_Ttareungyi_2024-2025.csv.csv</t>
        </is>
      </c>
      <c r="D437" s="51" t="inlineStr">
        <is>
          <t>일치</t>
        </is>
      </c>
    </row>
    <row r="438">
      <c r="A438" s="51" t="inlineStr">
        <is>
          <t>2025-03-12</t>
        </is>
      </c>
      <c r="B438" s="49" t="n">
        <v>99718</v>
      </c>
      <c r="C438" s="51" t="inlineStr">
        <is>
          <t>Group20_Ttareungyi_2024-2025.csv.csv</t>
        </is>
      </c>
      <c r="D438" s="51" t="inlineStr">
        <is>
          <t>일치</t>
        </is>
      </c>
    </row>
    <row r="439">
      <c r="A439" s="51" t="inlineStr">
        <is>
          <t>2025-03-13</t>
        </is>
      </c>
      <c r="B439" s="49" t="n">
        <v>110367</v>
      </c>
      <c r="C439" s="51" t="inlineStr">
        <is>
          <t>Group20_Ttareungyi_2024-2025.csv.csv</t>
        </is>
      </c>
      <c r="D439" s="51" t="inlineStr">
        <is>
          <t>일치</t>
        </is>
      </c>
    </row>
    <row r="440">
      <c r="A440" s="51" t="inlineStr">
        <is>
          <t>2025-03-14</t>
        </is>
      </c>
      <c r="B440" s="49" t="n">
        <v>125129</v>
      </c>
      <c r="C440" s="51" t="inlineStr">
        <is>
          <t>Group20_Ttareungyi_2024-2025.csv.csv</t>
        </is>
      </c>
      <c r="D440" s="51" t="inlineStr">
        <is>
          <t>일치</t>
        </is>
      </c>
    </row>
    <row r="441">
      <c r="A441" s="51" t="inlineStr">
        <is>
          <t>2025-03-15</t>
        </is>
      </c>
      <c r="B441" s="49" t="n">
        <v>109746</v>
      </c>
      <c r="C441" s="51" t="inlineStr">
        <is>
          <t>Group20_Ttareungyi_2024-2025.csv.csv</t>
        </is>
      </c>
      <c r="D441" s="51" t="inlineStr">
        <is>
          <t>일치</t>
        </is>
      </c>
    </row>
    <row r="442">
      <c r="A442" s="51" t="inlineStr">
        <is>
          <t>2025-03-16</t>
        </is>
      </c>
      <c r="B442" s="49" t="n">
        <v>50203</v>
      </c>
      <c r="C442" s="51" t="inlineStr">
        <is>
          <t>Group20_Ttareungyi_2024-2025.csv.csv</t>
        </is>
      </c>
      <c r="D442" s="51" t="inlineStr">
        <is>
          <t>일치</t>
        </is>
      </c>
    </row>
    <row r="443">
      <c r="A443" s="51" t="inlineStr">
        <is>
          <t>2025-03-17</t>
        </is>
      </c>
      <c r="B443" s="49" t="n">
        <v>90117</v>
      </c>
      <c r="C443" s="51" t="inlineStr">
        <is>
          <t>Group20_Ttareungyi_2024-2025.csv.csv</t>
        </is>
      </c>
      <c r="D443" s="51" t="inlineStr">
        <is>
          <t>일치</t>
        </is>
      </c>
    </row>
    <row r="444">
      <c r="A444" s="51" t="inlineStr">
        <is>
          <t>2025-03-18</t>
        </is>
      </c>
      <c r="B444" s="49" t="n">
        <v>58999</v>
      </c>
      <c r="C444" s="51" t="inlineStr">
        <is>
          <t>Group20_Ttareungyi_2024-2025.csv.csv</t>
        </is>
      </c>
      <c r="D444" s="51" t="inlineStr">
        <is>
          <t>일치</t>
        </is>
      </c>
    </row>
    <row r="445">
      <c r="A445" s="51" t="inlineStr">
        <is>
          <t>2025-03-19</t>
        </is>
      </c>
      <c r="B445" s="49" t="n">
        <v>93998</v>
      </c>
      <c r="C445" s="51" t="inlineStr">
        <is>
          <t>Group20_Ttareungyi_2024-2025.csv.csv</t>
        </is>
      </c>
      <c r="D445" s="51" t="inlineStr">
        <is>
          <t>일치</t>
        </is>
      </c>
    </row>
    <row r="446">
      <c r="A446" s="51" t="inlineStr">
        <is>
          <t>2025-03-20</t>
        </is>
      </c>
      <c r="B446" s="49" t="n">
        <v>109733</v>
      </c>
      <c r="C446" s="51" t="inlineStr">
        <is>
          <t>Group20_Ttareungyi_2024-2025.csv.csv</t>
        </is>
      </c>
      <c r="D446" s="51" t="inlineStr">
        <is>
          <t>일치</t>
        </is>
      </c>
    </row>
    <row r="447">
      <c r="A447" s="51" t="inlineStr">
        <is>
          <t>2025-03-21</t>
        </is>
      </c>
      <c r="B447" s="49" t="n">
        <v>120512</v>
      </c>
      <c r="C447" s="51" t="inlineStr">
        <is>
          <t>Group20_Ttareungyi_2024-2025.csv.csv</t>
        </is>
      </c>
      <c r="D447" s="51" t="inlineStr">
        <is>
          <t>일치</t>
        </is>
      </c>
    </row>
    <row r="448">
      <c r="A448" s="51" t="inlineStr">
        <is>
          <t>2025-03-22</t>
        </is>
      </c>
      <c r="B448" s="49" t="n">
        <v>115084</v>
      </c>
      <c r="C448" s="51" t="inlineStr">
        <is>
          <t>Group20_Ttareungyi_2024-2025.csv.csv</t>
        </is>
      </c>
      <c r="D448" s="51" t="inlineStr">
        <is>
          <t>일치</t>
        </is>
      </c>
    </row>
    <row r="449">
      <c r="A449" s="51" t="inlineStr">
        <is>
          <t>2025-03-23</t>
        </is>
      </c>
      <c r="B449" s="49" t="n">
        <v>115859</v>
      </c>
      <c r="C449" s="51" t="inlineStr">
        <is>
          <t>Group20_Ttareungyi_2024-2025.csv.csv</t>
        </is>
      </c>
      <c r="D449" s="51" t="inlineStr">
        <is>
          <t>일치</t>
        </is>
      </c>
    </row>
    <row r="450">
      <c r="A450" s="51" t="inlineStr">
        <is>
          <t>2025-03-24</t>
        </is>
      </c>
      <c r="B450" s="49" t="n">
        <v>127282</v>
      </c>
      <c r="C450" s="51" t="inlineStr">
        <is>
          <t>Group20_Ttareungyi_2024-2025.csv.csv</t>
        </is>
      </c>
      <c r="D450" s="51" t="inlineStr">
        <is>
          <t>일치</t>
        </is>
      </c>
    </row>
    <row r="451">
      <c r="A451" s="51" t="inlineStr">
        <is>
          <t>2025-03-25</t>
        </is>
      </c>
      <c r="B451" s="49" t="n">
        <v>115456</v>
      </c>
      <c r="C451" s="51" t="inlineStr">
        <is>
          <t>Group20_Ttareungyi_2024-2025.csv.csv</t>
        </is>
      </c>
      <c r="D451" s="51" t="inlineStr">
        <is>
          <t>일치</t>
        </is>
      </c>
    </row>
    <row r="452">
      <c r="A452" s="51" t="inlineStr">
        <is>
          <t>2025-03-26</t>
        </is>
      </c>
      <c r="B452" s="49" t="n">
        <v>134700</v>
      </c>
      <c r="C452" s="51" t="inlineStr">
        <is>
          <t>Group20_Ttareungyi_2024-2025.csv.csv</t>
        </is>
      </c>
      <c r="D452" s="51" t="inlineStr">
        <is>
          <t>일치</t>
        </is>
      </c>
    </row>
    <row r="453">
      <c r="A453" s="51" t="inlineStr">
        <is>
          <t>2025-03-27</t>
        </is>
      </c>
      <c r="B453" s="49" t="n">
        <v>101742</v>
      </c>
      <c r="C453" s="51" t="inlineStr">
        <is>
          <t>Group20_Ttareungyi_2024-2025.csv.csv</t>
        </is>
      </c>
      <c r="D453" s="51" t="inlineStr">
        <is>
          <t>일치</t>
        </is>
      </c>
    </row>
    <row r="454">
      <c r="A454" s="51" t="inlineStr">
        <is>
          <t>2025-03-28</t>
        </is>
      </c>
      <c r="B454" s="49" t="n">
        <v>112105</v>
      </c>
      <c r="C454" s="51" t="inlineStr">
        <is>
          <t>Group20_Ttareungyi_2024-2025.csv.csv</t>
        </is>
      </c>
      <c r="D454" s="51" t="inlineStr">
        <is>
          <t>일치</t>
        </is>
      </c>
    </row>
    <row r="455">
      <c r="A455" s="51" t="inlineStr">
        <is>
          <t>2025-03-29</t>
        </is>
      </c>
      <c r="B455" s="49" t="n">
        <v>63569</v>
      </c>
      <c r="C455" s="51" t="inlineStr">
        <is>
          <t>Group20_Ttareungyi_2024-2025.csv.csv</t>
        </is>
      </c>
      <c r="D455" s="51" t="inlineStr">
        <is>
          <t>일치</t>
        </is>
      </c>
    </row>
    <row r="456">
      <c r="A456" s="51" t="inlineStr">
        <is>
          <t>2025-03-30</t>
        </is>
      </c>
      <c r="B456" s="49" t="n">
        <v>57013</v>
      </c>
      <c r="C456" s="51" t="inlineStr">
        <is>
          <t>Group20_Ttareungyi_2024-2025.csv.csv</t>
        </is>
      </c>
      <c r="D456" s="51" t="inlineStr">
        <is>
          <t>일치</t>
        </is>
      </c>
    </row>
    <row r="457">
      <c r="A457" s="51" t="inlineStr">
        <is>
          <t>2025-03-31</t>
        </is>
      </c>
      <c r="B457" s="49" t="n">
        <v>115322</v>
      </c>
      <c r="C457" s="51" t="inlineStr">
        <is>
          <t>Group20_Ttareungyi_2024-2025.csv.csv</t>
        </is>
      </c>
      <c r="D457" s="51" t="inlineStr">
        <is>
          <t>일치</t>
        </is>
      </c>
    </row>
    <row r="458">
      <c r="A458" s="51" t="inlineStr">
        <is>
          <t>2025-04-01</t>
        </is>
      </c>
      <c r="B458" s="49" t="n">
        <v>128599</v>
      </c>
      <c r="C458" s="51" t="inlineStr">
        <is>
          <t>Group20_Ttareungyi_2024-2025.csv.csv</t>
        </is>
      </c>
      <c r="D458" s="51" t="inlineStr">
        <is>
          <t>일치</t>
        </is>
      </c>
    </row>
    <row r="459">
      <c r="A459" s="51" t="inlineStr">
        <is>
          <t>2025-04-02</t>
        </is>
      </c>
      <c r="B459" s="49" t="n">
        <v>113270</v>
      </c>
      <c r="C459" s="51" t="inlineStr">
        <is>
          <t>Group20_Ttareungyi_2024-2025.csv.csv</t>
        </is>
      </c>
      <c r="D459" s="51" t="inlineStr">
        <is>
          <t>일치</t>
        </is>
      </c>
    </row>
    <row r="460">
      <c r="A460" s="51" t="inlineStr">
        <is>
          <t>2025-04-03</t>
        </is>
      </c>
      <c r="B460" s="49" t="n">
        <v>127763</v>
      </c>
      <c r="C460" s="51" t="inlineStr">
        <is>
          <t>Group20_Ttareungyi_2024-2025.csv.csv</t>
        </is>
      </c>
      <c r="D460" s="51" t="inlineStr">
        <is>
          <t>일치</t>
        </is>
      </c>
    </row>
    <row r="461">
      <c r="A461" s="51" t="inlineStr">
        <is>
          <t>2025-04-04</t>
        </is>
      </c>
      <c r="B461" s="49" t="n">
        <v>130771</v>
      </c>
      <c r="C461" s="51" t="inlineStr">
        <is>
          <t>Group20_Ttareungyi_2024-2025.csv.csv</t>
        </is>
      </c>
      <c r="D461" s="51" t="inlineStr">
        <is>
          <t>일치</t>
        </is>
      </c>
    </row>
    <row r="462">
      <c r="A462" s="51" t="inlineStr">
        <is>
          <t>2025-04-05</t>
        </is>
      </c>
      <c r="B462" s="49" t="n">
        <v>17053</v>
      </c>
      <c r="C462" s="51" t="inlineStr">
        <is>
          <t>Group20_Ttareungyi_2024-2025.csv.csv</t>
        </is>
      </c>
      <c r="D462" s="51" t="inlineStr">
        <is>
          <t>일치</t>
        </is>
      </c>
    </row>
    <row r="463">
      <c r="A463" s="51" t="inlineStr">
        <is>
          <t>2025-04-06</t>
        </is>
      </c>
      <c r="B463" s="49" t="n">
        <v>104881</v>
      </c>
      <c r="C463" s="51" t="inlineStr">
        <is>
          <t>Group20_Ttareungyi_2024-2025.csv.csv</t>
        </is>
      </c>
      <c r="D463" s="51" t="inlineStr">
        <is>
          <t>일치</t>
        </is>
      </c>
    </row>
    <row r="464">
      <c r="A464" s="51" t="inlineStr">
        <is>
          <t>2025-04-07</t>
        </is>
      </c>
      <c r="B464" s="49" t="n">
        <v>139288</v>
      </c>
      <c r="C464" s="51" t="inlineStr">
        <is>
          <t>Group20_Ttareungyi_2024-2025.csv.csv</t>
        </is>
      </c>
      <c r="D464" s="51" t="inlineStr">
        <is>
          <t>일치</t>
        </is>
      </c>
    </row>
    <row r="465">
      <c r="A465" s="51" t="inlineStr">
        <is>
          <t>2025-04-08</t>
        </is>
      </c>
      <c r="B465" s="49" t="n">
        <v>147585</v>
      </c>
      <c r="C465" s="51" t="inlineStr">
        <is>
          <t>Group20_Ttareungyi_2024-2025.csv.csv</t>
        </is>
      </c>
      <c r="D465" s="51" t="inlineStr">
        <is>
          <t>일치</t>
        </is>
      </c>
    </row>
    <row r="466">
      <c r="A466" s="51" t="inlineStr">
        <is>
          <t>2025-04-09</t>
        </is>
      </c>
      <c r="B466" s="49" t="n">
        <v>124364</v>
      </c>
      <c r="C466" s="51" t="inlineStr">
        <is>
          <t>Group20_Ttareungyi_2024-2025.csv.csv</t>
        </is>
      </c>
      <c r="D466" s="51" t="inlineStr">
        <is>
          <t>일치</t>
        </is>
      </c>
    </row>
    <row r="467">
      <c r="A467" s="51" t="inlineStr">
        <is>
          <t>2025-04-10</t>
        </is>
      </c>
      <c r="B467" s="49" t="n">
        <v>149693</v>
      </c>
      <c r="C467" s="51" t="inlineStr">
        <is>
          <t>Group20_Ttareungyi_2024-2025.csv.csv</t>
        </is>
      </c>
      <c r="D467" s="51" t="inlineStr">
        <is>
          <t>일치</t>
        </is>
      </c>
    </row>
    <row r="468">
      <c r="A468" s="51" t="inlineStr">
        <is>
          <t>2025-04-11</t>
        </is>
      </c>
      <c r="B468" s="49" t="n">
        <v>167343</v>
      </c>
      <c r="C468" s="51" t="inlineStr">
        <is>
          <t>Group20_Ttareungyi_2024-2025.csv.csv</t>
        </is>
      </c>
      <c r="D468" s="51" t="inlineStr">
        <is>
          <t>일치</t>
        </is>
      </c>
    </row>
    <row r="469">
      <c r="A469" s="51" t="inlineStr">
        <is>
          <t>2025-04-12</t>
        </is>
      </c>
      <c r="B469" s="49" t="n">
        <v>53027</v>
      </c>
      <c r="C469" s="51" t="inlineStr">
        <is>
          <t>Group20_Ttareungyi_2024-2025.csv.csv</t>
        </is>
      </c>
      <c r="D469" s="51" t="inlineStr">
        <is>
          <t>일치</t>
        </is>
      </c>
    </row>
    <row r="470">
      <c r="A470" s="51" t="inlineStr">
        <is>
          <t>2025-04-13</t>
        </is>
      </c>
      <c r="B470" s="49" t="n">
        <v>41925</v>
      </c>
      <c r="C470" s="51" t="inlineStr">
        <is>
          <t>Group20_Ttareungyi_2024-2025.csv.csv</t>
        </is>
      </c>
      <c r="D470" s="51" t="inlineStr">
        <is>
          <t>일치</t>
        </is>
      </c>
    </row>
    <row r="471">
      <c r="A471" s="51" t="inlineStr">
        <is>
          <t>2025-04-14</t>
        </is>
      </c>
      <c r="B471" s="49" t="n">
        <v>41889</v>
      </c>
      <c r="C471" s="51" t="inlineStr">
        <is>
          <t>Group20_Ttareungyi_2024-2025.csv.csv</t>
        </is>
      </c>
      <c r="D471" s="51" t="inlineStr">
        <is>
          <t>일치</t>
        </is>
      </c>
    </row>
    <row r="472">
      <c r="A472" s="51" t="inlineStr">
        <is>
          <t>2025-04-15</t>
        </is>
      </c>
      <c r="B472" s="49" t="n">
        <v>124284</v>
      </c>
      <c r="C472" s="51" t="inlineStr">
        <is>
          <t>Group20_Ttareungyi_2024-2025.csv.csv</t>
        </is>
      </c>
      <c r="D472" s="51" t="inlineStr">
        <is>
          <t>일치</t>
        </is>
      </c>
    </row>
    <row r="473">
      <c r="A473" s="51" t="inlineStr">
        <is>
          <t>2025-04-16</t>
        </is>
      </c>
      <c r="B473" s="49" t="n">
        <v>148385</v>
      </c>
      <c r="C473" s="51" t="inlineStr">
        <is>
          <t>Group20_Ttareungyi_2024-2025.csv.csv</t>
        </is>
      </c>
      <c r="D473" s="51" t="inlineStr">
        <is>
          <t>일치</t>
        </is>
      </c>
    </row>
    <row r="474">
      <c r="A474" s="51" t="inlineStr">
        <is>
          <t>2025-04-17</t>
        </is>
      </c>
      <c r="B474" s="49" t="n">
        <v>152474</v>
      </c>
      <c r="C474" s="51" t="inlineStr">
        <is>
          <t>Group20_Ttareungyi_2024-2025.csv.csv</t>
        </is>
      </c>
      <c r="D474" s="51" t="inlineStr">
        <is>
          <t>일치</t>
        </is>
      </c>
    </row>
    <row r="475">
      <c r="A475" s="51" t="inlineStr">
        <is>
          <t>2025-04-18</t>
        </is>
      </c>
      <c r="B475" s="49" t="n">
        <v>154988</v>
      </c>
      <c r="C475" s="51" t="inlineStr">
        <is>
          <t>Group20_Ttareungyi_2024-2025.csv.csv</t>
        </is>
      </c>
      <c r="D475" s="51" t="inlineStr">
        <is>
          <t>일치</t>
        </is>
      </c>
    </row>
    <row r="476">
      <c r="A476" s="51" t="inlineStr">
        <is>
          <t>2025-04-19</t>
        </is>
      </c>
      <c r="B476" s="49" t="n">
        <v>41988</v>
      </c>
      <c r="C476" s="51" t="inlineStr">
        <is>
          <t>Group20_Ttareungyi_2024-2025.csv.csv</t>
        </is>
      </c>
      <c r="D476" s="51" t="inlineStr">
        <is>
          <t>일치</t>
        </is>
      </c>
    </row>
    <row r="477">
      <c r="A477" s="51" t="inlineStr">
        <is>
          <t>2025-04-20</t>
        </is>
      </c>
      <c r="B477" s="49" t="n">
        <v>136745</v>
      </c>
      <c r="C477" s="51" t="inlineStr">
        <is>
          <t>Group20_Ttareungyi_2024-2025.csv.csv</t>
        </is>
      </c>
      <c r="D477" s="51" t="inlineStr">
        <is>
          <t>일치</t>
        </is>
      </c>
    </row>
    <row r="478">
      <c r="A478" s="51" t="inlineStr">
        <is>
          <t>2025-04-21</t>
        </is>
      </c>
      <c r="B478" s="49" t="n">
        <v>158263</v>
      </c>
      <c r="C478" s="51" t="inlineStr">
        <is>
          <t>Group20_Ttareungyi_2024-2025.csv.csv</t>
        </is>
      </c>
      <c r="D478" s="51" t="inlineStr">
        <is>
          <t>일치</t>
        </is>
      </c>
    </row>
    <row r="479">
      <c r="A479" s="51" t="inlineStr">
        <is>
          <t>2025-04-22</t>
        </is>
      </c>
      <c r="B479" s="49" t="n">
        <v>45307</v>
      </c>
      <c r="C479" s="51" t="inlineStr">
        <is>
          <t>Group20_Ttareungyi_2024-2025.csv.csv</t>
        </is>
      </c>
      <c r="D479" s="51" t="inlineStr">
        <is>
          <t>일치</t>
        </is>
      </c>
    </row>
    <row r="480">
      <c r="A480" s="51" t="inlineStr">
        <is>
          <t>2025-04-23</t>
        </is>
      </c>
      <c r="B480" s="49" t="n">
        <v>158598</v>
      </c>
      <c r="C480" s="51" t="inlineStr">
        <is>
          <t>Group20_Ttareungyi_2024-2025.csv.csv</t>
        </is>
      </c>
      <c r="D480" s="51" t="inlineStr">
        <is>
          <t>일치</t>
        </is>
      </c>
    </row>
    <row r="481">
      <c r="A481" s="51" t="inlineStr">
        <is>
          <t>2025-04-24</t>
        </is>
      </c>
      <c r="B481" s="49" t="n">
        <v>150523</v>
      </c>
      <c r="C481" s="51" t="inlineStr">
        <is>
          <t>Group20_Ttareungyi_2024-2025.csv.csv</t>
        </is>
      </c>
      <c r="D481" s="51" t="inlineStr">
        <is>
          <t>일치</t>
        </is>
      </c>
    </row>
    <row r="482">
      <c r="A482" s="51" t="inlineStr">
        <is>
          <t>2025-04-25</t>
        </is>
      </c>
      <c r="B482" s="49" t="n">
        <v>148019</v>
      </c>
      <c r="C482" s="51" t="inlineStr">
        <is>
          <t>Group20_Ttareungyi_2024-2025.csv.csv</t>
        </is>
      </c>
      <c r="D482" s="51" t="inlineStr">
        <is>
          <t>일치</t>
        </is>
      </c>
    </row>
    <row r="483">
      <c r="A483" s="51" t="inlineStr">
        <is>
          <t>2025-04-26</t>
        </is>
      </c>
      <c r="B483" s="49" t="n">
        <v>133576</v>
      </c>
      <c r="C483" s="51" t="inlineStr">
        <is>
          <t>Group20_Ttareungyi_2024-2025.csv.csv</t>
        </is>
      </c>
      <c r="D483" s="51" t="inlineStr">
        <is>
          <t>일치</t>
        </is>
      </c>
    </row>
    <row r="484">
      <c r="A484" s="51" t="inlineStr">
        <is>
          <t>2025-04-27</t>
        </is>
      </c>
      <c r="B484" s="49" t="n">
        <v>116046</v>
      </c>
      <c r="C484" s="51" t="inlineStr">
        <is>
          <t>Group20_Ttareungyi_2024-2025.csv.csv</t>
        </is>
      </c>
      <c r="D484" s="51" t="inlineStr">
        <is>
          <t>일치</t>
        </is>
      </c>
    </row>
    <row r="485">
      <c r="A485" s="51" t="inlineStr">
        <is>
          <t>2025-04-28</t>
        </is>
      </c>
      <c r="B485" s="49" t="n">
        <v>151257</v>
      </c>
      <c r="C485" s="51" t="inlineStr">
        <is>
          <t>Group20_Ttareungyi_2024-2025.csv.csv</t>
        </is>
      </c>
      <c r="D485" s="51" t="inlineStr">
        <is>
          <t>일치</t>
        </is>
      </c>
    </row>
    <row r="486">
      <c r="A486" s="51" t="inlineStr">
        <is>
          <t>2025-04-29</t>
        </is>
      </c>
      <c r="B486" s="49" t="n">
        <v>157192</v>
      </c>
      <c r="C486" s="51" t="inlineStr">
        <is>
          <t>Group20_Ttareungyi_2024-2025.csv.csv</t>
        </is>
      </c>
      <c r="D486" s="51" t="inlineStr">
        <is>
          <t>일치</t>
        </is>
      </c>
    </row>
    <row r="487">
      <c r="A487" s="51" t="inlineStr">
        <is>
          <t>2025-04-30</t>
        </is>
      </c>
      <c r="B487" s="49" t="n">
        <v>165631</v>
      </c>
      <c r="C487" s="51" t="inlineStr">
        <is>
          <t>Group20_Ttareungyi_2024-2025.csv.csv</t>
        </is>
      </c>
      <c r="D487" s="51" t="inlineStr">
        <is>
          <t>일치</t>
        </is>
      </c>
    </row>
    <row r="488">
      <c r="A488" s="51" t="inlineStr">
        <is>
          <t>2025-05-01</t>
        </is>
      </c>
      <c r="B488" s="49" t="n">
        <v>53546</v>
      </c>
      <c r="C488" s="51" t="inlineStr">
        <is>
          <t>Group20_Ttareungyi_2024-2025.csv.csv</t>
        </is>
      </c>
      <c r="D488" s="51" t="inlineStr">
        <is>
          <t>일치</t>
        </is>
      </c>
    </row>
    <row r="489">
      <c r="A489" s="51" t="inlineStr">
        <is>
          <t>2025-05-02</t>
        </is>
      </c>
      <c r="B489" s="49" t="n">
        <v>144932</v>
      </c>
      <c r="C489" s="51" t="inlineStr">
        <is>
          <t>Group20_Ttareungyi_2024-2025.csv.csv</t>
        </is>
      </c>
      <c r="D489" s="51" t="inlineStr">
        <is>
          <t>일치</t>
        </is>
      </c>
    </row>
    <row r="490">
      <c r="A490" s="51" t="inlineStr">
        <is>
          <t>2025-05-03</t>
        </is>
      </c>
      <c r="B490" s="49" t="n">
        <v>62746</v>
      </c>
      <c r="C490" s="51" t="inlineStr">
        <is>
          <t>Group20_Ttareungyi_2024-2025.csv.csv</t>
        </is>
      </c>
      <c r="D490" s="51" t="inlineStr">
        <is>
          <t>일치</t>
        </is>
      </c>
    </row>
    <row r="491">
      <c r="A491" s="51" t="inlineStr">
        <is>
          <t>2025-05-04</t>
        </is>
      </c>
      <c r="B491" s="49" t="n">
        <v>111340</v>
      </c>
      <c r="C491" s="51" t="inlineStr">
        <is>
          <t>Group20_Ttareungyi_2024-2025.csv.csv</t>
        </is>
      </c>
      <c r="D491" s="51" t="inlineStr">
        <is>
          <t>일치</t>
        </is>
      </c>
    </row>
    <row r="492">
      <c r="A492" s="51" t="inlineStr">
        <is>
          <t>2025-05-05</t>
        </is>
      </c>
      <c r="B492" s="49" t="n">
        <v>88946</v>
      </c>
      <c r="C492" s="51" t="inlineStr">
        <is>
          <t>Group20_Ttareungyi_2024-2025.csv.csv</t>
        </is>
      </c>
      <c r="D492" s="51" t="inlineStr">
        <is>
          <t>일치</t>
        </is>
      </c>
    </row>
    <row r="493">
      <c r="A493" s="51" t="inlineStr">
        <is>
          <t>2025-05-06</t>
        </is>
      </c>
      <c r="B493" s="49" t="n">
        <v>121891</v>
      </c>
      <c r="C493" s="51" t="inlineStr">
        <is>
          <t>Group20_Ttareungyi_2024-2025.csv.csv</t>
        </is>
      </c>
      <c r="D493" s="51" t="inlineStr">
        <is>
          <t>일치</t>
        </is>
      </c>
    </row>
    <row r="494">
      <c r="A494" s="51" t="inlineStr">
        <is>
          <t>2025-05-07</t>
        </is>
      </c>
      <c r="B494" s="49" t="n">
        <v>153648</v>
      </c>
      <c r="C494" s="51" t="inlineStr">
        <is>
          <t>Group20_Ttareungyi_2024-2025.csv.csv</t>
        </is>
      </c>
      <c r="D494" s="51" t="inlineStr">
        <is>
          <t>일치</t>
        </is>
      </c>
    </row>
    <row r="495">
      <c r="A495" s="51" t="inlineStr">
        <is>
          <t>2025-05-08</t>
        </is>
      </c>
      <c r="B495" s="49" t="n">
        <v>160258</v>
      </c>
      <c r="C495" s="51" t="inlineStr">
        <is>
          <t>Group20_Ttareungyi_2024-2025.csv.csv</t>
        </is>
      </c>
      <c r="D495" s="51" t="inlineStr">
        <is>
          <t>일치</t>
        </is>
      </c>
    </row>
    <row r="496">
      <c r="A496" s="51" t="inlineStr">
        <is>
          <t>2025-05-09</t>
        </is>
      </c>
      <c r="B496" s="49" t="n">
        <v>24263</v>
      </c>
      <c r="C496" s="51" t="inlineStr">
        <is>
          <t>Group20_Ttareungyi_2024-2025.csv.csv</t>
        </is>
      </c>
      <c r="D496" s="51" t="inlineStr">
        <is>
          <t>일치</t>
        </is>
      </c>
    </row>
    <row r="497">
      <c r="A497" s="51" t="inlineStr">
        <is>
          <t>2025-05-10</t>
        </is>
      </c>
      <c r="B497" s="49" t="n">
        <v>27823</v>
      </c>
      <c r="C497" s="51" t="inlineStr">
        <is>
          <t>Group20_Ttareungyi_2024-2025.csv.csv</t>
        </is>
      </c>
      <c r="D497" s="51" t="inlineStr">
        <is>
          <t>일치</t>
        </is>
      </c>
    </row>
    <row r="498">
      <c r="A498" s="51" t="inlineStr">
        <is>
          <t>2025-05-11</t>
        </is>
      </c>
      <c r="B498" s="49" t="n">
        <v>118903</v>
      </c>
      <c r="C498" s="51" t="inlineStr">
        <is>
          <t>Group20_Ttareungyi_2024-2025.csv.csv</t>
        </is>
      </c>
      <c r="D498" s="51" t="inlineStr">
        <is>
          <t>일치</t>
        </is>
      </c>
    </row>
    <row r="499">
      <c r="A499" s="51" t="inlineStr">
        <is>
          <t>2025-05-12</t>
        </is>
      </c>
      <c r="B499" s="49" t="n">
        <v>157203</v>
      </c>
      <c r="C499" s="51" t="inlineStr">
        <is>
          <t>Group20_Ttareungyi_2024-2025.csv.csv</t>
        </is>
      </c>
      <c r="D499" s="51" t="inlineStr">
        <is>
          <t>일치</t>
        </is>
      </c>
    </row>
    <row r="500">
      <c r="A500" s="51" t="inlineStr">
        <is>
          <t>2025-05-13</t>
        </is>
      </c>
      <c r="B500" s="49" t="n">
        <v>162770</v>
      </c>
      <c r="C500" s="51" t="inlineStr">
        <is>
          <t>Group20_Ttareungyi_2024-2025.csv.csv</t>
        </is>
      </c>
      <c r="D500" s="51" t="inlineStr">
        <is>
          <t>일치</t>
        </is>
      </c>
    </row>
    <row r="501">
      <c r="A501" s="51" t="inlineStr">
        <is>
          <t>2025-05-14</t>
        </is>
      </c>
      <c r="B501" s="49" t="n">
        <v>165177</v>
      </c>
      <c r="C501" s="51" t="inlineStr">
        <is>
          <t>Group20_Ttareungyi_2024-2025.csv.csv</t>
        </is>
      </c>
      <c r="D501" s="51" t="inlineStr">
        <is>
          <t>일치</t>
        </is>
      </c>
    </row>
    <row r="502">
      <c r="A502" s="51" t="inlineStr">
        <is>
          <t>2025-05-15</t>
        </is>
      </c>
      <c r="B502" s="49" t="n">
        <v>113325</v>
      </c>
      <c r="C502" s="51" t="inlineStr">
        <is>
          <t>Group20_Ttareungyi_2024-2025.csv.csv</t>
        </is>
      </c>
      <c r="D502" s="51" t="inlineStr">
        <is>
          <t>일치</t>
        </is>
      </c>
    </row>
    <row r="503">
      <c r="A503" s="51" t="inlineStr">
        <is>
          <t>2025-05-16</t>
        </is>
      </c>
      <c r="B503" s="49" t="n">
        <v>40766</v>
      </c>
      <c r="C503" s="51" t="inlineStr">
        <is>
          <t>Group20_Ttareungyi_2024-2025.csv.csv</t>
        </is>
      </c>
      <c r="D503" s="51" t="inlineStr">
        <is>
          <t>일치</t>
        </is>
      </c>
    </row>
    <row r="504">
      <c r="A504" s="51" t="inlineStr">
        <is>
          <t>2025-05-17</t>
        </is>
      </c>
      <c r="B504" s="49" t="n">
        <v>88198</v>
      </c>
      <c r="C504" s="51" t="inlineStr">
        <is>
          <t>Group20_Ttareungyi_2024-2025.csv.csv</t>
        </is>
      </c>
      <c r="D504" s="51" t="inlineStr">
        <is>
          <t>일치</t>
        </is>
      </c>
    </row>
    <row r="505">
      <c r="A505" s="51" t="inlineStr">
        <is>
          <t>2025-05-18</t>
        </is>
      </c>
      <c r="B505" s="49" t="n">
        <v>134941</v>
      </c>
      <c r="C505" s="51" t="inlineStr">
        <is>
          <t>Group20_Ttareungyi_2024-2025.csv.csv</t>
        </is>
      </c>
      <c r="D505" s="51" t="inlineStr">
        <is>
          <t>일치</t>
        </is>
      </c>
    </row>
    <row r="506">
      <c r="A506" s="51" t="inlineStr">
        <is>
          <t>2025-05-19</t>
        </is>
      </c>
      <c r="B506" s="49" t="n">
        <v>118346</v>
      </c>
      <c r="C506" s="51" t="inlineStr">
        <is>
          <t>Group20_Ttareungyi_2024-2025.csv.csv</t>
        </is>
      </c>
      <c r="D506" s="51" t="inlineStr">
        <is>
          <t>일치</t>
        </is>
      </c>
    </row>
    <row r="507">
      <c r="A507" s="51" t="inlineStr">
        <is>
          <t>2025-05-20</t>
        </is>
      </c>
      <c r="B507" s="49" t="n">
        <v>144464</v>
      </c>
      <c r="C507" s="51" t="inlineStr">
        <is>
          <t>Group20_Ttareungyi_2024-2025.csv.csv</t>
        </is>
      </c>
      <c r="D507" s="51" t="inlineStr">
        <is>
          <t>일치</t>
        </is>
      </c>
    </row>
    <row r="508">
      <c r="A508" s="51" t="inlineStr">
        <is>
          <t>2025-05-21</t>
        </is>
      </c>
      <c r="B508" s="49" t="n">
        <v>157490</v>
      </c>
      <c r="C508" s="51" t="inlineStr">
        <is>
          <t>Group20_Ttareungyi_2024-2025.csv.csv</t>
        </is>
      </c>
      <c r="D508" s="51" t="inlineStr">
        <is>
          <t>일치</t>
        </is>
      </c>
    </row>
    <row r="509">
      <c r="A509" s="51" t="inlineStr">
        <is>
          <t>2025-05-22</t>
        </is>
      </c>
      <c r="B509" s="49" t="n">
        <v>149233</v>
      </c>
      <c r="C509" s="51" t="inlineStr">
        <is>
          <t>Group20_Ttareungyi_2024-2025.csv.csv</t>
        </is>
      </c>
      <c r="D509" s="51" t="inlineStr">
        <is>
          <t>일치</t>
        </is>
      </c>
    </row>
    <row r="510">
      <c r="A510" s="51" t="inlineStr">
        <is>
          <t>2025-05-23</t>
        </is>
      </c>
      <c r="B510" s="49" t="n">
        <v>137430</v>
      </c>
      <c r="C510" s="51" t="inlineStr">
        <is>
          <t>Group20_Ttareungyi_2024-2025.csv.csv</t>
        </is>
      </c>
      <c r="D510" s="51" t="inlineStr">
        <is>
          <t>일치</t>
        </is>
      </c>
    </row>
    <row r="511">
      <c r="A511" s="51" t="inlineStr">
        <is>
          <t>2025-05-24</t>
        </is>
      </c>
      <c r="B511" s="49" t="n">
        <v>113916</v>
      </c>
      <c r="C511" s="51" t="inlineStr">
        <is>
          <t>Group20_Ttareungyi_2024-2025.csv.csv</t>
        </is>
      </c>
      <c r="D511" s="51" t="inlineStr">
        <is>
          <t>일치</t>
        </is>
      </c>
    </row>
    <row r="512">
      <c r="A512" s="51" t="inlineStr">
        <is>
          <t>2025-05-25</t>
        </is>
      </c>
      <c r="B512" s="49" t="n">
        <v>137711</v>
      </c>
      <c r="C512" s="51" t="inlineStr">
        <is>
          <t>Group20_Ttareungyi_2024-2025.csv.csv</t>
        </is>
      </c>
      <c r="D512" s="51" t="inlineStr">
        <is>
          <t>일치</t>
        </is>
      </c>
    </row>
    <row r="513">
      <c r="A513" s="51" t="inlineStr">
        <is>
          <t>2025-05-26</t>
        </is>
      </c>
      <c r="B513" s="49" t="n">
        <v>160643</v>
      </c>
      <c r="C513" s="51" t="inlineStr">
        <is>
          <t>Group20_Ttareungyi_2024-2025.csv.csv</t>
        </is>
      </c>
      <c r="D513" s="51" t="inlineStr">
        <is>
          <t>일치</t>
        </is>
      </c>
    </row>
    <row r="514">
      <c r="A514" s="51" t="inlineStr">
        <is>
          <t>2025-05-27</t>
        </is>
      </c>
      <c r="B514" s="49" t="n">
        <v>163259</v>
      </c>
      <c r="C514" s="51" t="inlineStr">
        <is>
          <t>Group20_Ttareungyi_2024-2025.csv.csv</t>
        </is>
      </c>
      <c r="D514" s="51" t="inlineStr">
        <is>
          <t>일치</t>
        </is>
      </c>
    </row>
    <row r="515">
      <c r="A515" s="51" t="inlineStr">
        <is>
          <t>2025-05-28</t>
        </is>
      </c>
      <c r="B515" s="49" t="n">
        <v>162825</v>
      </c>
      <c r="C515" s="51" t="inlineStr">
        <is>
          <t>Group20_Ttareungyi_2024-2025.csv.csv</t>
        </is>
      </c>
      <c r="D515" s="51" t="inlineStr">
        <is>
          <t>일치</t>
        </is>
      </c>
    </row>
    <row r="516">
      <c r="A516" s="51" t="inlineStr">
        <is>
          <t>2025-05-29</t>
        </is>
      </c>
      <c r="B516" s="49" t="n">
        <v>164642</v>
      </c>
      <c r="C516" s="51" t="inlineStr">
        <is>
          <t>Group20_Ttareungyi_2024-2025.csv.csv</t>
        </is>
      </c>
      <c r="D516" s="51" t="inlineStr">
        <is>
          <t>일치</t>
        </is>
      </c>
    </row>
    <row r="517">
      <c r="A517" s="51" t="inlineStr">
        <is>
          <t>2025-05-30</t>
        </is>
      </c>
      <c r="B517" s="49" t="n">
        <v>173914</v>
      </c>
      <c r="C517" s="51" t="inlineStr">
        <is>
          <t>Group20_Ttareungyi_2024-2025.csv.csv</t>
        </is>
      </c>
      <c r="D517" s="51" t="inlineStr">
        <is>
          <t>일치</t>
        </is>
      </c>
    </row>
    <row r="518">
      <c r="A518" s="51" t="inlineStr">
        <is>
          <t>2025-05-31</t>
        </is>
      </c>
      <c r="B518" s="49" t="n">
        <v>144789</v>
      </c>
      <c r="C518" s="51" t="inlineStr">
        <is>
          <t>Group20_Ttareungyi_2024-2025.csv.csv</t>
        </is>
      </c>
      <c r="D518" s="51" t="inlineStr">
        <is>
          <t>일치</t>
        </is>
      </c>
    </row>
    <row r="519">
      <c r="A519" s="51" t="inlineStr">
        <is>
          <t>2025-06-01</t>
        </is>
      </c>
      <c r="B519" s="49" t="n">
        <v>130285</v>
      </c>
      <c r="C519" s="51" t="inlineStr">
        <is>
          <t>Group20_Ttareungyi_2024-2025.csv.csv</t>
        </is>
      </c>
      <c r="D519" s="51" t="inlineStr">
        <is>
          <t>일치</t>
        </is>
      </c>
    </row>
    <row r="520">
      <c r="A520" s="51" t="inlineStr">
        <is>
          <t>2025-06-02</t>
        </is>
      </c>
      <c r="B520" s="49" t="n">
        <v>148773</v>
      </c>
      <c r="C520" s="51" t="inlineStr">
        <is>
          <t>Group20_Ttareungyi_2024-2025.csv.csv</t>
        </is>
      </c>
      <c r="D520" s="51" t="inlineStr">
        <is>
          <t>일치</t>
        </is>
      </c>
    </row>
    <row r="521">
      <c r="A521" s="51" t="inlineStr">
        <is>
          <t>2025-06-03</t>
        </is>
      </c>
      <c r="B521" s="49" t="n">
        <v>154910</v>
      </c>
      <c r="C521" s="51" t="inlineStr">
        <is>
          <t>Group20_Ttareungyi_2024-2025.csv.csv</t>
        </is>
      </c>
      <c r="D521" s="51" t="inlineStr">
        <is>
          <t>일치</t>
        </is>
      </c>
    </row>
    <row r="522">
      <c r="A522" s="51" t="inlineStr">
        <is>
          <t>2025-06-04</t>
        </is>
      </c>
      <c r="B522" s="49" t="n">
        <v>167578</v>
      </c>
      <c r="C522" s="51" t="inlineStr">
        <is>
          <t>Group20_Ttareungyi_2024-2025.csv.csv</t>
        </is>
      </c>
      <c r="D522" s="51" t="inlineStr">
        <is>
          <t>일치</t>
        </is>
      </c>
    </row>
    <row r="523">
      <c r="A523" s="51" t="inlineStr">
        <is>
          <t>2025-06-05</t>
        </is>
      </c>
      <c r="B523" s="49" t="n">
        <v>172650</v>
      </c>
      <c r="C523" s="51" t="inlineStr">
        <is>
          <t>Group20_Ttareungyi_2024-2025.csv.csv</t>
        </is>
      </c>
      <c r="D523" s="51" t="inlineStr">
        <is>
          <t>일치</t>
        </is>
      </c>
    </row>
    <row r="524">
      <c r="A524" s="51" t="inlineStr">
        <is>
          <t>2025-06-06</t>
        </is>
      </c>
      <c r="B524" s="49" t="n">
        <v>137914</v>
      </c>
      <c r="C524" s="51" t="inlineStr">
        <is>
          <t>Group20_Ttareungyi_2024-2025.csv.csv</t>
        </is>
      </c>
      <c r="D524" s="51" t="inlineStr">
        <is>
          <t>일치</t>
        </is>
      </c>
    </row>
    <row r="525">
      <c r="A525" s="51" t="inlineStr">
        <is>
          <t>2025-06-07</t>
        </is>
      </c>
      <c r="B525" s="49" t="n">
        <v>135697</v>
      </c>
      <c r="C525" s="51" t="inlineStr">
        <is>
          <t>Group20_Ttareungyi_2024-2025.csv.csv</t>
        </is>
      </c>
      <c r="D525" s="51" t="inlineStr">
        <is>
          <t>일치</t>
        </is>
      </c>
    </row>
    <row r="526">
      <c r="A526" s="51" t="inlineStr">
        <is>
          <t>2025-06-08</t>
        </is>
      </c>
      <c r="B526" s="49" t="n">
        <v>122267</v>
      </c>
      <c r="C526" s="51" t="inlineStr">
        <is>
          <t>Group20_Ttareungyi_2024-2025.csv.csv</t>
        </is>
      </c>
      <c r="D526" s="51" t="inlineStr">
        <is>
          <t>일치</t>
        </is>
      </c>
    </row>
    <row r="527">
      <c r="A527" s="51" t="inlineStr">
        <is>
          <t>2025-06-09</t>
        </is>
      </c>
      <c r="B527" s="49" t="n">
        <v>161721</v>
      </c>
      <c r="C527" s="51" t="inlineStr">
        <is>
          <t>Group20_Ttareungyi_2024-2025.csv.csv</t>
        </is>
      </c>
      <c r="D527" s="51" t="inlineStr">
        <is>
          <t>일치</t>
        </is>
      </c>
    </row>
    <row r="528">
      <c r="A528" s="51" t="inlineStr">
        <is>
          <t>2025-06-10</t>
        </is>
      </c>
      <c r="B528" s="49" t="n">
        <v>169011</v>
      </c>
      <c r="C528" s="51" t="inlineStr">
        <is>
          <t>Group20_Ttareungyi_2024-2025.csv.csv</t>
        </is>
      </c>
      <c r="D528" s="51" t="inlineStr">
        <is>
          <t>일치</t>
        </is>
      </c>
    </row>
    <row r="529">
      <c r="A529" s="51" t="inlineStr">
        <is>
          <t>2025-06-11</t>
        </is>
      </c>
      <c r="B529" s="49" t="n">
        <v>168452</v>
      </c>
      <c r="C529" s="51" t="inlineStr">
        <is>
          <t>Group20_Ttareungyi_2024-2025.csv.csv</t>
        </is>
      </c>
      <c r="D529" s="51" t="inlineStr">
        <is>
          <t>일치</t>
        </is>
      </c>
    </row>
    <row r="530">
      <c r="A530" s="51" t="inlineStr">
        <is>
          <t>2025-06-12</t>
        </is>
      </c>
      <c r="B530" s="49" t="n">
        <v>164821</v>
      </c>
      <c r="C530" s="51" t="inlineStr">
        <is>
          <t>Group20_Ttareungyi_2024-2025.csv.csv</t>
        </is>
      </c>
      <c r="D530" s="51" t="inlineStr">
        <is>
          <t>일치</t>
        </is>
      </c>
    </row>
    <row r="531">
      <c r="A531" s="51" t="inlineStr">
        <is>
          <t>2025-06-13</t>
        </is>
      </c>
      <c r="B531" s="49" t="n">
        <v>115906</v>
      </c>
      <c r="C531" s="51" t="inlineStr">
        <is>
          <t>Group20_Ttareungyi_2024-2025.csv.csv</t>
        </is>
      </c>
      <c r="D531" s="51" t="inlineStr">
        <is>
          <t>일치</t>
        </is>
      </c>
    </row>
    <row r="532">
      <c r="A532" s="51" t="inlineStr">
        <is>
          <t>2025-06-14</t>
        </is>
      </c>
      <c r="B532" s="49" t="n">
        <v>131389</v>
      </c>
      <c r="C532" s="51" t="inlineStr">
        <is>
          <t>Group20_Ttareungyi_2024-2025.csv.csv</t>
        </is>
      </c>
      <c r="D532" s="51" t="inlineStr">
        <is>
          <t>일치</t>
        </is>
      </c>
    </row>
    <row r="533">
      <c r="A533" s="51" t="inlineStr">
        <is>
          <t>2025-06-15</t>
        </is>
      </c>
      <c r="B533" s="49" t="n">
        <v>88162</v>
      </c>
      <c r="C533" s="51" t="inlineStr">
        <is>
          <t>Group20_Ttareungyi_2024-2025.csv.csv</t>
        </is>
      </c>
      <c r="D533" s="51" t="inlineStr">
        <is>
          <t>일치</t>
        </is>
      </c>
    </row>
    <row r="534">
      <c r="A534" s="51" t="inlineStr">
        <is>
          <t>2025-06-16</t>
        </is>
      </c>
      <c r="B534" s="49" t="n">
        <v>111001</v>
      </c>
      <c r="C534" s="51" t="inlineStr">
        <is>
          <t>Group20_Ttareungyi_2024-2025.csv.csv</t>
        </is>
      </c>
      <c r="D534" s="51" t="inlineStr">
        <is>
          <t>일치</t>
        </is>
      </c>
    </row>
    <row r="535">
      <c r="A535" s="51" t="inlineStr">
        <is>
          <t>2025-06-17</t>
        </is>
      </c>
      <c r="B535" s="49" t="n">
        <v>164921</v>
      </c>
      <c r="C535" s="51" t="inlineStr">
        <is>
          <t>Group20_Ttareungyi_2024-2025.csv.csv</t>
        </is>
      </c>
      <c r="D535" s="51" t="inlineStr">
        <is>
          <t>일치</t>
        </is>
      </c>
    </row>
    <row r="536">
      <c r="A536" s="51" t="inlineStr">
        <is>
          <t>2025-06-18</t>
        </is>
      </c>
      <c r="B536" s="49" t="n">
        <v>165123</v>
      </c>
      <c r="C536" s="51" t="inlineStr">
        <is>
          <t>Group20_Ttareungyi_2024-2025.csv.csv</t>
        </is>
      </c>
      <c r="D536" s="51" t="inlineStr">
        <is>
          <t>일치</t>
        </is>
      </c>
    </row>
    <row r="537">
      <c r="A537" s="51" t="inlineStr">
        <is>
          <t>2025-06-19</t>
        </is>
      </c>
      <c r="B537" s="49" t="n">
        <v>156768</v>
      </c>
      <c r="C537" s="51" t="inlineStr">
        <is>
          <t>Group20_Ttareungyi_2024-2025.csv.csv</t>
        </is>
      </c>
      <c r="D537" s="51" t="inlineStr">
        <is>
          <t>일치</t>
        </is>
      </c>
    </row>
    <row r="538">
      <c r="A538" s="51" t="inlineStr">
        <is>
          <t>2025-06-20</t>
        </is>
      </c>
      <c r="B538" s="49" t="n">
        <v>13179</v>
      </c>
      <c r="C538" s="51" t="inlineStr">
        <is>
          <t>Group20_Ttareungyi_2024-2025.csv.csv</t>
        </is>
      </c>
      <c r="D538" s="51" t="inlineStr">
        <is>
          <t>일치</t>
        </is>
      </c>
    </row>
    <row r="539">
      <c r="A539" s="51" t="inlineStr">
        <is>
          <t>2025-06-21</t>
        </is>
      </c>
      <c r="B539" s="49" t="n">
        <v>108852</v>
      </c>
      <c r="C539" s="51" t="inlineStr">
        <is>
          <t>Group20_Ttareungyi_2024-2025.csv.csv</t>
        </is>
      </c>
      <c r="D539" s="51" t="inlineStr">
        <is>
          <t>일치</t>
        </is>
      </c>
    </row>
    <row r="540">
      <c r="A540" s="51" t="inlineStr">
        <is>
          <t>2025-06-22</t>
        </is>
      </c>
      <c r="B540" s="49" t="n">
        <v>124126</v>
      </c>
      <c r="C540" s="51" t="inlineStr">
        <is>
          <t>Group20_Ttareungyi_2024-2025.csv.csv</t>
        </is>
      </c>
      <c r="D540" s="51" t="inlineStr">
        <is>
          <t>일치</t>
        </is>
      </c>
    </row>
    <row r="541">
      <c r="A541" s="51" t="inlineStr">
        <is>
          <t>2025-06-23</t>
        </is>
      </c>
      <c r="B541" s="49" t="n">
        <v>159484</v>
      </c>
      <c r="C541" s="51" t="inlineStr">
        <is>
          <t>Group20_Ttareungyi_2024-2025.csv.csv</t>
        </is>
      </c>
      <c r="D541" s="51" t="inlineStr">
        <is>
          <t>일치</t>
        </is>
      </c>
    </row>
    <row r="542">
      <c r="A542" s="51" t="inlineStr">
        <is>
          <t>2025-06-24</t>
        </is>
      </c>
      <c r="B542" s="49" t="n">
        <v>136676</v>
      </c>
      <c r="C542" s="51" t="inlineStr">
        <is>
          <t>Group20_Ttareungyi_2024-2025.csv.csv</t>
        </is>
      </c>
      <c r="D542" s="51" t="inlineStr">
        <is>
          <t>일치</t>
        </is>
      </c>
    </row>
    <row r="543">
      <c r="A543" s="51" t="inlineStr">
        <is>
          <t>2025-06-25</t>
        </is>
      </c>
      <c r="B543" s="49" t="n">
        <v>51322</v>
      </c>
      <c r="C543" s="51" t="inlineStr">
        <is>
          <t>Group20_Ttareungyi_2024-2025.csv.csv</t>
        </is>
      </c>
      <c r="D543" s="51" t="inlineStr">
        <is>
          <t>일치</t>
        </is>
      </c>
    </row>
    <row r="544">
      <c r="A544" s="51" t="inlineStr">
        <is>
          <t>2025-06-26</t>
        </is>
      </c>
      <c r="B544" s="49" t="n">
        <v>146464</v>
      </c>
      <c r="C544" s="51" t="inlineStr">
        <is>
          <t>Group20_Ttareungyi_2024-2025.csv.csv</t>
        </is>
      </c>
      <c r="D544" s="51" t="inlineStr">
        <is>
          <t>일치</t>
        </is>
      </c>
    </row>
    <row r="545">
      <c r="A545" s="51" t="inlineStr">
        <is>
          <t>2025-06-27</t>
        </is>
      </c>
      <c r="B545" s="49" t="n">
        <v>154648</v>
      </c>
      <c r="C545" s="51" t="inlineStr">
        <is>
          <t>Group20_Ttareungyi_2024-2025.csv.csv</t>
        </is>
      </c>
      <c r="D545" s="51" t="inlineStr">
        <is>
          <t>일치</t>
        </is>
      </c>
    </row>
    <row r="546">
      <c r="A546" s="51" t="inlineStr">
        <is>
          <t>2025-06-28</t>
        </is>
      </c>
      <c r="B546" s="49" t="n">
        <v>100480</v>
      </c>
      <c r="C546" s="51" t="inlineStr">
        <is>
          <t>Group20_Ttareungyi_2024-2025.csv.csv</t>
        </is>
      </c>
      <c r="D546" s="51" t="inlineStr">
        <is>
          <t>일치</t>
        </is>
      </c>
    </row>
    <row r="547">
      <c r="A547" s="51" t="inlineStr">
        <is>
          <t>2025-06-29</t>
        </is>
      </c>
      <c r="B547" s="49" t="n">
        <v>111429</v>
      </c>
      <c r="C547" s="51" t="inlineStr">
        <is>
          <t>Group20_Ttareungyi_2024-2025.csv.csv</t>
        </is>
      </c>
      <c r="D547" s="51" t="inlineStr">
        <is>
          <t>일치</t>
        </is>
      </c>
    </row>
    <row r="548">
      <c r="A548" s="51" t="inlineStr">
        <is>
          <t>2025-06-30</t>
        </is>
      </c>
      <c r="B548" s="49" t="n">
        <v>150277</v>
      </c>
      <c r="C548" s="51" t="inlineStr">
        <is>
          <t>Group20_Ttareungyi_2024-2025.csv.csv</t>
        </is>
      </c>
      <c r="D548" s="51" t="inlineStr">
        <is>
          <t>일치</t>
        </is>
      </c>
    </row>
    <row r="549">
      <c r="A549" s="51" t="inlineStr">
        <is>
          <t>2025-07-01</t>
        </is>
      </c>
      <c r="B549" s="49" t="n">
        <v>132912</v>
      </c>
      <c r="C549" s="51" t="inlineStr">
        <is>
          <t>Group20_Ttareungyi_2024-2025.csv.csv</t>
        </is>
      </c>
      <c r="D549" s="51" t="inlineStr">
        <is>
          <t>일치</t>
        </is>
      </c>
    </row>
    <row r="550">
      <c r="A550" s="51" t="inlineStr">
        <is>
          <t>2025-07-02</t>
        </is>
      </c>
      <c r="B550" s="49" t="n">
        <v>151651</v>
      </c>
      <c r="C550" s="51" t="inlineStr">
        <is>
          <t>Group20_Ttareungyi_2024-2025.csv.csv</t>
        </is>
      </c>
      <c r="D550" s="51" t="inlineStr">
        <is>
          <t>일치</t>
        </is>
      </c>
    </row>
    <row r="551">
      <c r="A551" s="51" t="inlineStr">
        <is>
          <t>2025-07-03</t>
        </is>
      </c>
      <c r="B551" s="49" t="n">
        <v>151091</v>
      </c>
      <c r="C551" s="51" t="inlineStr">
        <is>
          <t>Group20_Ttareungyi_2024-2025.csv.csv</t>
        </is>
      </c>
      <c r="D551" s="51" t="inlineStr">
        <is>
          <t>일치</t>
        </is>
      </c>
    </row>
    <row r="552">
      <c r="A552" s="51" t="inlineStr">
        <is>
          <t>2025-07-04</t>
        </is>
      </c>
      <c r="B552" s="49" t="n">
        <v>151365</v>
      </c>
      <c r="C552" s="51" t="inlineStr">
        <is>
          <t>Group20_Ttareungyi_2024-2025.csv.csv</t>
        </is>
      </c>
      <c r="D552" s="51" t="inlineStr">
        <is>
          <t>일치</t>
        </is>
      </c>
    </row>
    <row r="553">
      <c r="A553" s="51" t="inlineStr">
        <is>
          <t>2025-07-05</t>
        </is>
      </c>
      <c r="B553" s="49" t="n">
        <v>118353</v>
      </c>
      <c r="C553" s="51" t="inlineStr">
        <is>
          <t>Group20_Ttareungyi_2024-2025.csv.csv</t>
        </is>
      </c>
      <c r="D553" s="51" t="inlineStr">
        <is>
          <t>일치</t>
        </is>
      </c>
    </row>
    <row r="554">
      <c r="A554" s="51" t="inlineStr">
        <is>
          <t>2025-07-06</t>
        </is>
      </c>
      <c r="B554" s="49" t="n">
        <v>106785</v>
      </c>
      <c r="C554" s="51" t="inlineStr">
        <is>
          <t>Group20_Ttareungyi_2024-2025.csv.csv</t>
        </is>
      </c>
      <c r="D554" s="51" t="inlineStr">
        <is>
          <t>일치</t>
        </is>
      </c>
    </row>
    <row r="555">
      <c r="A555" s="51" t="inlineStr">
        <is>
          <t>2025-07-07</t>
        </is>
      </c>
      <c r="B555" s="49" t="n">
        <v>146663</v>
      </c>
      <c r="C555" s="51" t="inlineStr">
        <is>
          <t>Group20_Ttareungyi_2024-2025.csv.csv</t>
        </is>
      </c>
      <c r="D555" s="51" t="inlineStr">
        <is>
          <t>일치</t>
        </is>
      </c>
    </row>
    <row r="556">
      <c r="A556" s="51" t="inlineStr">
        <is>
          <t>2025-07-08</t>
        </is>
      </c>
      <c r="B556" s="49" t="n">
        <v>115370</v>
      </c>
      <c r="C556" s="51" t="inlineStr">
        <is>
          <t>Group20_Ttareungyi_2024-2025.csv.csv</t>
        </is>
      </c>
      <c r="D556" s="51" t="inlineStr">
        <is>
          <t>일치</t>
        </is>
      </c>
    </row>
    <row r="557">
      <c r="A557" s="51" t="inlineStr">
        <is>
          <t>2025-07-09</t>
        </is>
      </c>
      <c r="B557" s="49" t="n">
        <v>136302</v>
      </c>
      <c r="C557" s="51" t="inlineStr">
        <is>
          <t>Group20_Ttareungyi_2024-2025.csv.csv</t>
        </is>
      </c>
      <c r="D557" s="51" t="inlineStr">
        <is>
          <t>일치</t>
        </is>
      </c>
    </row>
    <row r="558">
      <c r="A558" s="51" t="inlineStr">
        <is>
          <t>2025-07-10</t>
        </is>
      </c>
      <c r="B558" s="49" t="n">
        <v>139732</v>
      </c>
      <c r="C558" s="51" t="inlineStr">
        <is>
          <t>Group20_Ttareungyi_2024-2025.csv.csv</t>
        </is>
      </c>
      <c r="D558" s="51" t="inlineStr">
        <is>
          <t>일치</t>
        </is>
      </c>
    </row>
    <row r="559">
      <c r="A559" s="51" t="inlineStr">
        <is>
          <t>2025-07-11</t>
        </is>
      </c>
      <c r="B559" s="49" t="n">
        <v>144181</v>
      </c>
      <c r="C559" s="51" t="inlineStr">
        <is>
          <t>Group20_Ttareungyi_2024-2025.csv.csv</t>
        </is>
      </c>
      <c r="D559" s="51" t="inlineStr">
        <is>
          <t>일치</t>
        </is>
      </c>
    </row>
    <row r="560">
      <c r="A560" s="51" t="inlineStr">
        <is>
          <t>2025-07-12</t>
        </is>
      </c>
      <c r="B560" s="49" t="n">
        <v>109929</v>
      </c>
      <c r="C560" s="51" t="inlineStr">
        <is>
          <t>Group20_Ttareungyi_2024-2025.csv.csv</t>
        </is>
      </c>
      <c r="D560" s="51" t="inlineStr">
        <is>
          <t>일치</t>
        </is>
      </c>
    </row>
    <row r="561">
      <c r="A561" s="51" t="inlineStr">
        <is>
          <t>2025-07-13</t>
        </is>
      </c>
      <c r="B561" s="49" t="n">
        <v>90889</v>
      </c>
      <c r="C561" s="51" t="inlineStr">
        <is>
          <t>Group20_Ttareungyi_2024-2025.csv.csv</t>
        </is>
      </c>
      <c r="D561" s="51" t="inlineStr">
        <is>
          <t>일치</t>
        </is>
      </c>
    </row>
    <row r="562">
      <c r="A562" s="51" t="inlineStr">
        <is>
          <t>2025-07-14</t>
        </is>
      </c>
      <c r="B562" s="49" t="n">
        <v>67420</v>
      </c>
      <c r="C562" s="51" t="inlineStr">
        <is>
          <t>Group20_Ttareungyi_2024-2025.csv.csv</t>
        </is>
      </c>
      <c r="D562" s="51" t="inlineStr">
        <is>
          <t>일치</t>
        </is>
      </c>
    </row>
    <row r="563">
      <c r="A563" s="51" t="inlineStr">
        <is>
          <t>2025-07-15</t>
        </is>
      </c>
      <c r="B563" s="49" t="n">
        <v>109498</v>
      </c>
      <c r="C563" s="51" t="inlineStr">
        <is>
          <t>Group20_Ttareungyi_2024-2025.csv.csv</t>
        </is>
      </c>
      <c r="D563" s="51" t="inlineStr">
        <is>
          <t>일치</t>
        </is>
      </c>
    </row>
    <row r="564">
      <c r="A564" s="51" t="inlineStr">
        <is>
          <t>2025-07-16</t>
        </is>
      </c>
      <c r="B564" s="49" t="n">
        <v>51408</v>
      </c>
      <c r="C564" s="51" t="inlineStr">
        <is>
          <t>Group20_Ttareungyi_2024-2025.csv.csv</t>
        </is>
      </c>
      <c r="D564" s="51" t="inlineStr">
        <is>
          <t>일치</t>
        </is>
      </c>
    </row>
    <row r="565">
      <c r="A565" s="51" t="inlineStr">
        <is>
          <t>2025-07-17</t>
        </is>
      </c>
      <c r="B565" s="49" t="n">
        <v>30839</v>
      </c>
      <c r="C565" s="51" t="inlineStr">
        <is>
          <t>Group20_Ttareungyi_2024-2025.csv.csv</t>
        </is>
      </c>
      <c r="D565" s="51" t="inlineStr">
        <is>
          <t>일치</t>
        </is>
      </c>
    </row>
    <row r="566">
      <c r="A566" s="51" t="inlineStr">
        <is>
          <t>2025-07-18</t>
        </is>
      </c>
      <c r="B566" s="49" t="n">
        <v>83541</v>
      </c>
      <c r="C566" s="51" t="inlineStr">
        <is>
          <t>Group20_Ttareungyi_2024-2025.csv.csv</t>
        </is>
      </c>
      <c r="D566" s="51" t="inlineStr">
        <is>
          <t>일치</t>
        </is>
      </c>
    </row>
    <row r="567">
      <c r="A567" s="51" t="inlineStr">
        <is>
          <t>2025-07-19</t>
        </is>
      </c>
      <c r="B567" s="49" t="n">
        <v>37126</v>
      </c>
      <c r="C567" s="51" t="inlineStr">
        <is>
          <t>Group20_Ttareungyi_2024-2025.csv.csv</t>
        </is>
      </c>
      <c r="D567" s="51" t="inlineStr">
        <is>
          <t>일치</t>
        </is>
      </c>
    </row>
    <row r="568">
      <c r="A568" s="51" t="inlineStr">
        <is>
          <t>2025-07-20</t>
        </is>
      </c>
      <c r="B568" s="49" t="n">
        <v>90404</v>
      </c>
      <c r="C568" s="51" t="inlineStr">
        <is>
          <t>Group20_Ttareungyi_2024-2025.csv.csv</t>
        </is>
      </c>
      <c r="D568" s="51" t="inlineStr">
        <is>
          <t>일치</t>
        </is>
      </c>
    </row>
    <row r="569">
      <c r="A569" s="51" t="inlineStr">
        <is>
          <t>2025-07-21</t>
        </is>
      </c>
      <c r="B569" s="49" t="n">
        <v>140597</v>
      </c>
      <c r="C569" s="51" t="inlineStr">
        <is>
          <t>Group20_Ttareungyi_2024-2025.csv.csv</t>
        </is>
      </c>
      <c r="D569" s="51" t="inlineStr">
        <is>
          <t>일치</t>
        </is>
      </c>
    </row>
    <row r="570">
      <c r="A570" s="51" t="inlineStr">
        <is>
          <t>2025-07-22</t>
        </is>
      </c>
      <c r="B570" s="49" t="n">
        <v>143954</v>
      </c>
      <c r="C570" s="51" t="inlineStr">
        <is>
          <t>Group20_Ttareungyi_2024-2025.csv.csv</t>
        </is>
      </c>
      <c r="D570" s="51" t="inlineStr">
        <is>
          <t>일치</t>
        </is>
      </c>
    </row>
    <row r="571">
      <c r="A571" s="51" t="inlineStr">
        <is>
          <t>2025-07-23</t>
        </is>
      </c>
      <c r="B571" s="49" t="n">
        <v>144386</v>
      </c>
      <c r="C571" s="51" t="inlineStr">
        <is>
          <t>Group20_Ttareungyi_2024-2025.csv.csv</t>
        </is>
      </c>
      <c r="D571" s="51" t="inlineStr">
        <is>
          <t>일치</t>
        </is>
      </c>
    </row>
    <row r="572">
      <c r="A572" s="51" t="inlineStr">
        <is>
          <t>2025-07-24</t>
        </is>
      </c>
      <c r="B572" s="49" t="n">
        <v>138903</v>
      </c>
      <c r="C572" s="51" t="inlineStr">
        <is>
          <t>Group20_Ttareungyi_2024-2025.csv.csv</t>
        </is>
      </c>
      <c r="D572" s="51" t="inlineStr">
        <is>
          <t>일치</t>
        </is>
      </c>
    </row>
    <row r="573">
      <c r="A573" s="51" t="inlineStr">
        <is>
          <t>2025-07-25</t>
        </is>
      </c>
      <c r="B573" s="49" t="n">
        <v>130671</v>
      </c>
      <c r="C573" s="51" t="inlineStr">
        <is>
          <t>Group20_Ttareungyi_2024-2025.csv.csv</t>
        </is>
      </c>
      <c r="D573" s="51" t="inlineStr">
        <is>
          <t>일치</t>
        </is>
      </c>
    </row>
    <row r="574">
      <c r="A574" s="51" t="inlineStr">
        <is>
          <t>2025-07-26</t>
        </is>
      </c>
      <c r="B574" s="49" t="n">
        <v>92788</v>
      </c>
      <c r="C574" s="51" t="inlineStr">
        <is>
          <t>Group20_Ttareungyi_2024-2025.csv.csv</t>
        </is>
      </c>
      <c r="D574" s="51" t="inlineStr">
        <is>
          <t>일치</t>
        </is>
      </c>
    </row>
    <row r="575">
      <c r="A575" s="51" t="inlineStr">
        <is>
          <t>2025-07-27</t>
        </is>
      </c>
      <c r="B575" s="49" t="n">
        <v>79637</v>
      </c>
      <c r="C575" s="51" t="inlineStr">
        <is>
          <t>Group20_Ttareungyi_2024-2025.csv.csv</t>
        </is>
      </c>
      <c r="D575" s="51" t="inlineStr">
        <is>
          <t>일치</t>
        </is>
      </c>
    </row>
    <row r="576">
      <c r="A576" s="51" t="inlineStr">
        <is>
          <t>2025-07-28</t>
        </is>
      </c>
      <c r="B576" s="49" t="n">
        <v>119819</v>
      </c>
      <c r="C576" s="51" t="inlineStr">
        <is>
          <t>Group20_Ttareungyi_2024-2025.csv.csv</t>
        </is>
      </c>
      <c r="D576" s="51" t="inlineStr">
        <is>
          <t>일치</t>
        </is>
      </c>
    </row>
    <row r="577">
      <c r="A577" s="51" t="inlineStr">
        <is>
          <t>2025-07-29</t>
        </is>
      </c>
      <c r="B577" s="49" t="n">
        <v>122990</v>
      </c>
      <c r="C577" s="51" t="inlineStr">
        <is>
          <t>Group20_Ttareungyi_2024-2025.csv.csv</t>
        </is>
      </c>
      <c r="D577" s="51" t="inlineStr">
        <is>
          <t>일치</t>
        </is>
      </c>
    </row>
    <row r="578">
      <c r="A578" s="51" t="inlineStr">
        <is>
          <t>2025-07-30</t>
        </is>
      </c>
      <c r="B578" s="49" t="n">
        <v>126207</v>
      </c>
      <c r="C578" s="51" t="inlineStr">
        <is>
          <t>Group20_Ttareungyi_2024-2025.csv.csv</t>
        </is>
      </c>
      <c r="D578" s="51" t="inlineStr">
        <is>
          <t>일치</t>
        </is>
      </c>
    </row>
    <row r="579">
      <c r="A579" s="51" t="inlineStr">
        <is>
          <t>2025-07-31</t>
        </is>
      </c>
      <c r="B579" s="49" t="n">
        <v>130746</v>
      </c>
      <c r="C579" s="51" t="inlineStr">
        <is>
          <t>Group20_Ttareungyi_2024-2025.csv.csv</t>
        </is>
      </c>
      <c r="D579" s="51" t="inlineStr">
        <is>
          <t>일치</t>
        </is>
      </c>
    </row>
    <row r="580">
      <c r="A580" s="51" t="inlineStr">
        <is>
          <t>2025-08-01</t>
        </is>
      </c>
      <c r="B580" s="49" t="n">
        <v>125616</v>
      </c>
      <c r="C580" s="51" t="inlineStr">
        <is>
          <t>Group20_Ttareungyi_2024-2025.csv.csv</t>
        </is>
      </c>
      <c r="D580" s="51" t="inlineStr">
        <is>
          <t>일치</t>
        </is>
      </c>
    </row>
    <row r="581">
      <c r="A581" s="51" t="inlineStr">
        <is>
          <t>2025-08-02</t>
        </is>
      </c>
      <c r="B581" s="49" t="n">
        <v>96593</v>
      </c>
      <c r="C581" s="51" t="inlineStr">
        <is>
          <t>Group20_Ttareungyi_2024-2025.csv.csv</t>
        </is>
      </c>
      <c r="D581" s="51" t="inlineStr">
        <is>
          <t>일치</t>
        </is>
      </c>
    </row>
    <row r="582">
      <c r="A582" s="51" t="inlineStr">
        <is>
          <t>2025-08-03</t>
        </is>
      </c>
      <c r="B582" s="49" t="n">
        <v>71584</v>
      </c>
      <c r="C582" s="51" t="inlineStr">
        <is>
          <t>Group20_Ttareungyi_2024-2025.csv.csv</t>
        </is>
      </c>
      <c r="D582" s="51" t="inlineStr">
        <is>
          <t>일치</t>
        </is>
      </c>
    </row>
    <row r="583">
      <c r="A583" s="51" t="inlineStr">
        <is>
          <t>2025-08-04</t>
        </is>
      </c>
      <c r="B583" s="49" t="n">
        <v>121342</v>
      </c>
      <c r="C583" s="51" t="inlineStr">
        <is>
          <t>Group20_Ttareungyi_2024-2025.csv.csv</t>
        </is>
      </c>
      <c r="D583" s="51" t="inlineStr">
        <is>
          <t>일치</t>
        </is>
      </c>
    </row>
    <row r="584">
      <c r="A584" s="51" t="inlineStr">
        <is>
          <t>2025-08-05</t>
        </is>
      </c>
      <c r="B584" s="49" t="n">
        <v>138013</v>
      </c>
      <c r="C584" s="51" t="inlineStr">
        <is>
          <t>Group20_Ttareungyi_2024-2025.csv.csv</t>
        </is>
      </c>
      <c r="D584" s="51" t="inlineStr">
        <is>
          <t>일치</t>
        </is>
      </c>
    </row>
    <row r="585">
      <c r="A585" s="51" t="inlineStr">
        <is>
          <t>2025-08-06</t>
        </is>
      </c>
      <c r="B585" s="49" t="n">
        <v>85551</v>
      </c>
      <c r="C585" s="51" t="inlineStr">
        <is>
          <t>Group20_Ttareungyi_2024-2025.csv.csv</t>
        </is>
      </c>
      <c r="D585" s="51" t="inlineStr">
        <is>
          <t>일치</t>
        </is>
      </c>
    </row>
    <row r="586">
      <c r="A586" s="51" t="inlineStr">
        <is>
          <t>2025-08-07</t>
        </is>
      </c>
      <c r="B586" s="49" t="n">
        <v>138007</v>
      </c>
      <c r="C586" s="51" t="inlineStr">
        <is>
          <t>Group20_Ttareungyi_2024-2025.csv.csv</t>
        </is>
      </c>
      <c r="D586" s="51" t="inlineStr">
        <is>
          <t>일치</t>
        </is>
      </c>
    </row>
    <row r="587">
      <c r="A587" s="51" t="inlineStr">
        <is>
          <t>2025-08-08</t>
        </is>
      </c>
      <c r="B587" s="49" t="n">
        <v>141953</v>
      </c>
      <c r="C587" s="51" t="inlineStr">
        <is>
          <t>Group20_Ttareungyi_2024-2025.csv.csv</t>
        </is>
      </c>
      <c r="D587" s="51" t="inlineStr">
        <is>
          <t>일치</t>
        </is>
      </c>
    </row>
    <row r="588">
      <c r="A588" s="51" t="inlineStr">
        <is>
          <t>2025-08-09</t>
        </is>
      </c>
      <c r="B588" s="49" t="n">
        <v>101048</v>
      </c>
      <c r="C588" s="51" t="inlineStr">
        <is>
          <t>Group20_Ttareungyi_2024-2025.csv.csv</t>
        </is>
      </c>
      <c r="D588" s="51" t="inlineStr">
        <is>
          <t>일치</t>
        </is>
      </c>
    </row>
    <row r="589">
      <c r="A589" s="51" t="inlineStr">
        <is>
          <t>2025-08-10</t>
        </is>
      </c>
      <c r="B589" s="49" t="n">
        <v>106668</v>
      </c>
      <c r="C589" s="51" t="inlineStr">
        <is>
          <t>Group20_Ttareungyi_2024-2025.csv.csv</t>
        </is>
      </c>
      <c r="D589" s="51" t="inlineStr">
        <is>
          <t>일치</t>
        </is>
      </c>
    </row>
    <row r="590">
      <c r="A590" s="51" t="inlineStr">
        <is>
          <t>2025-08-11</t>
        </is>
      </c>
      <c r="B590" s="49" t="n">
        <v>148096</v>
      </c>
      <c r="C590" s="51" t="inlineStr">
        <is>
          <t>Group20_Ttareungyi_2024-2025.csv.csv</t>
        </is>
      </c>
      <c r="D590" s="51" t="inlineStr">
        <is>
          <t>일치</t>
        </is>
      </c>
    </row>
    <row r="591">
      <c r="A591" s="51" t="inlineStr">
        <is>
          <t>2025-08-12</t>
        </is>
      </c>
      <c r="B591" s="49" t="n">
        <v>148459</v>
      </c>
      <c r="C591" s="51" t="inlineStr">
        <is>
          <t>Group20_Ttareungyi_2024-2025.csv.csv</t>
        </is>
      </c>
      <c r="D591" s="51" t="inlineStr">
        <is>
          <t>일치</t>
        </is>
      </c>
    </row>
    <row r="592">
      <c r="A592" s="51" t="inlineStr">
        <is>
          <t>2025-08-13</t>
        </is>
      </c>
      <c r="B592" s="49" t="n">
        <v>26358</v>
      </c>
      <c r="C592" s="51" t="inlineStr">
        <is>
          <t>Group20_Ttareungyi_2024-2025.csv.csv</t>
        </is>
      </c>
      <c r="D592" s="51" t="inlineStr">
        <is>
          <t>일치</t>
        </is>
      </c>
    </row>
    <row r="593">
      <c r="A593" s="51" t="inlineStr">
        <is>
          <t>2025-08-14</t>
        </is>
      </c>
      <c r="B593" s="49" t="n">
        <v>80291</v>
      </c>
      <c r="C593" s="51" t="inlineStr">
        <is>
          <t>Group20_Ttareungyi_2024-2025.csv.csv</t>
        </is>
      </c>
      <c r="D593" s="51" t="inlineStr">
        <is>
          <t>일치</t>
        </is>
      </c>
    </row>
    <row r="594">
      <c r="A594" s="51" t="inlineStr">
        <is>
          <t>2025-08-15</t>
        </is>
      </c>
      <c r="B594" s="49" t="n">
        <v>91507</v>
      </c>
      <c r="C594" s="51" t="inlineStr">
        <is>
          <t>Group20_Ttareungyi_2024-2025.csv.csv</t>
        </is>
      </c>
      <c r="D594" s="51" t="inlineStr">
        <is>
          <t>일치</t>
        </is>
      </c>
    </row>
    <row r="595">
      <c r="A595" s="51" t="inlineStr">
        <is>
          <t>2025-08-16</t>
        </is>
      </c>
      <c r="B595" s="49" t="n">
        <v>108987</v>
      </c>
      <c r="C595" s="51" t="inlineStr">
        <is>
          <t>Group20_Ttareungyi_2024-2025.csv.csv</t>
        </is>
      </c>
      <c r="D595" s="51" t="inlineStr">
        <is>
          <t>일치</t>
        </is>
      </c>
    </row>
    <row r="596">
      <c r="A596" s="51" t="inlineStr">
        <is>
          <t>2025-08-17</t>
        </is>
      </c>
      <c r="B596" s="49" t="n">
        <v>104200</v>
      </c>
      <c r="C596" s="51" t="inlineStr">
        <is>
          <t>Group20_Ttareungyi_2024-2025.csv.csv</t>
        </is>
      </c>
      <c r="D596" s="51" t="inlineStr">
        <is>
          <t>일치</t>
        </is>
      </c>
    </row>
    <row r="597">
      <c r="A597" s="51" t="inlineStr">
        <is>
          <t>2025-08-18</t>
        </is>
      </c>
      <c r="B597" s="49" t="n">
        <v>108971</v>
      </c>
      <c r="C597" s="51" t="inlineStr">
        <is>
          <t>Group20_Ttareungyi_2024-2025.csv.csv</t>
        </is>
      </c>
      <c r="D597" s="51" t="inlineStr">
        <is>
          <t>일치</t>
        </is>
      </c>
    </row>
    <row r="598">
      <c r="A598" s="51" t="inlineStr">
        <is>
          <t>2025-08-19</t>
        </is>
      </c>
      <c r="B598" s="49" t="n">
        <v>140132</v>
      </c>
      <c r="C598" s="51" t="inlineStr">
        <is>
          <t>Group20_Ttareungyi_2024-2025.csv.csv</t>
        </is>
      </c>
      <c r="D598" s="51" t="inlineStr">
        <is>
          <t>일치</t>
        </is>
      </c>
    </row>
    <row r="599">
      <c r="A599" s="51" t="inlineStr">
        <is>
          <t>2025-08-20</t>
        </is>
      </c>
      <c r="B599" s="49" t="n">
        <v>142190</v>
      </c>
      <c r="C599" s="51" t="inlineStr">
        <is>
          <t>Group20_Ttareungyi_2024-2025.csv.csv</t>
        </is>
      </c>
      <c r="D599" s="51" t="inlineStr">
        <is>
          <t>일치</t>
        </is>
      </c>
    </row>
    <row r="600">
      <c r="A600" s="51" t="inlineStr">
        <is>
          <t>2025-08-21</t>
        </is>
      </c>
      <c r="B600" s="49" t="n">
        <v>141944</v>
      </c>
      <c r="C600" s="51" t="inlineStr">
        <is>
          <t>Group20_Ttareungyi_2024-2025.csv.csv</t>
        </is>
      </c>
      <c r="D600" s="51" t="inlineStr">
        <is>
          <t>일치</t>
        </is>
      </c>
    </row>
    <row r="601">
      <c r="A601" s="51" t="inlineStr">
        <is>
          <t>2025-08-22</t>
        </is>
      </c>
      <c r="B601" s="49" t="n">
        <v>141080</v>
      </c>
      <c r="C601" s="51" t="inlineStr">
        <is>
          <t>Group20_Ttareungyi_2024-2025.csv.csv</t>
        </is>
      </c>
      <c r="D601" s="51" t="inlineStr">
        <is>
          <t>일치</t>
        </is>
      </c>
    </row>
    <row r="602">
      <c r="A602" s="51" t="inlineStr">
        <is>
          <t>2025-08-23</t>
        </is>
      </c>
      <c r="B602" s="49" t="n">
        <v>114416</v>
      </c>
      <c r="C602" s="51" t="inlineStr">
        <is>
          <t>Group20_Ttareungyi_2024-2025.csv.csv</t>
        </is>
      </c>
      <c r="D602" s="51" t="inlineStr">
        <is>
          <t>일치</t>
        </is>
      </c>
    </row>
    <row r="603">
      <c r="A603" s="51" t="inlineStr">
        <is>
          <t>2025-08-24</t>
        </is>
      </c>
      <c r="B603" s="49" t="n">
        <v>98956</v>
      </c>
      <c r="C603" s="51" t="inlineStr">
        <is>
          <t>Group20_Ttareungyi_2024-2025.csv.csv</t>
        </is>
      </c>
      <c r="D603" s="51" t="inlineStr">
        <is>
          <t>일치</t>
        </is>
      </c>
    </row>
    <row r="604">
      <c r="A604" s="51" t="inlineStr">
        <is>
          <t>2025-08-25</t>
        </is>
      </c>
      <c r="B604" s="49" t="n">
        <v>112100</v>
      </c>
      <c r="C604" s="51" t="inlineStr">
        <is>
          <t>Group20_Ttareungyi_2024-2025.csv.csv</t>
        </is>
      </c>
      <c r="D604" s="51" t="inlineStr">
        <is>
          <t>일치</t>
        </is>
      </c>
    </row>
    <row r="605">
      <c r="A605" s="51" t="inlineStr">
        <is>
          <t>2025-08-26</t>
        </is>
      </c>
      <c r="B605" s="49" t="n">
        <v>119255</v>
      </c>
      <c r="C605" s="51" t="inlineStr">
        <is>
          <t>Group20_Ttareungyi_2024-2025.csv.csv</t>
        </is>
      </c>
      <c r="D605" s="51" t="inlineStr">
        <is>
          <t>일치</t>
        </is>
      </c>
    </row>
    <row r="606">
      <c r="A606" s="51" t="inlineStr">
        <is>
          <t>2025-08-27</t>
        </is>
      </c>
      <c r="B606" s="49" t="n">
        <v>148793</v>
      </c>
      <c r="C606" s="51" t="inlineStr">
        <is>
          <t>Group20_Ttareungyi_2024-2025.csv.csv</t>
        </is>
      </c>
      <c r="D606" s="51" t="inlineStr">
        <is>
          <t>일치</t>
        </is>
      </c>
    </row>
    <row r="607">
      <c r="A607" s="51" t="inlineStr">
        <is>
          <t>2025-08-28</t>
        </is>
      </c>
      <c r="B607" s="49" t="n">
        <v>148650</v>
      </c>
      <c r="C607" s="51" t="inlineStr">
        <is>
          <t>Group20_Ttareungyi_2024-2025.csv.csv</t>
        </is>
      </c>
      <c r="D607" s="51" t="inlineStr">
        <is>
          <t>일치</t>
        </is>
      </c>
    </row>
    <row r="608">
      <c r="A608" s="51" t="inlineStr">
        <is>
          <t>2025-08-29</t>
        </is>
      </c>
      <c r="B608" s="49" t="n">
        <v>110681</v>
      </c>
      <c r="C608" s="51" t="inlineStr">
        <is>
          <t>Group20_Ttareungyi_2024-2025.csv.csv</t>
        </is>
      </c>
      <c r="D608" s="51" t="inlineStr">
        <is>
          <t>일치</t>
        </is>
      </c>
    </row>
    <row r="609">
      <c r="A609" s="51" t="inlineStr">
        <is>
          <t>2025-08-30</t>
        </is>
      </c>
      <c r="B609" s="49" t="n">
        <v>94645</v>
      </c>
      <c r="C609" s="51" t="inlineStr">
        <is>
          <t>Group20_Ttareungyi_2024-2025.csv.csv</t>
        </is>
      </c>
      <c r="D609" s="51" t="inlineStr">
        <is>
          <t>일치</t>
        </is>
      </c>
    </row>
    <row r="610">
      <c r="A610" s="51" t="inlineStr">
        <is>
          <t>2025-08-31</t>
        </is>
      </c>
      <c r="B610" s="49" t="n">
        <v>103141</v>
      </c>
      <c r="C610" s="51" t="inlineStr">
        <is>
          <t>Group20_Ttareungyi_2024-2025.csv.csv</t>
        </is>
      </c>
      <c r="D610" s="51" t="inlineStr">
        <is>
          <t>일치</t>
        </is>
      </c>
    </row>
    <row r="611">
      <c r="A611" s="51" t="inlineStr">
        <is>
          <t>2025-09-01</t>
        </is>
      </c>
      <c r="B611" s="49" t="n">
        <v>89505</v>
      </c>
      <c r="C611" s="51" t="inlineStr">
        <is>
          <t>Group20_Ttareungyi_2024-2025.csv.csv</t>
        </is>
      </c>
      <c r="D611" s="51" t="inlineStr">
        <is>
          <t>일치</t>
        </is>
      </c>
    </row>
    <row r="612">
      <c r="A612" s="51" t="inlineStr">
        <is>
          <t>2025-09-02</t>
        </is>
      </c>
      <c r="B612" s="49" t="n">
        <v>154041</v>
      </c>
      <c r="C612" s="51" t="inlineStr">
        <is>
          <t>Group20_Ttareungyi_2024-2025.csv.csv</t>
        </is>
      </c>
      <c r="D612" s="51" t="inlineStr">
        <is>
          <t>일치</t>
        </is>
      </c>
    </row>
    <row r="613">
      <c r="A613" s="51" t="inlineStr">
        <is>
          <t>2025-09-03</t>
        </is>
      </c>
      <c r="B613" s="49" t="n">
        <v>155136</v>
      </c>
      <c r="C613" s="51" t="inlineStr">
        <is>
          <t>Group20_Ttareungyi_2024-2025.csv.csv</t>
        </is>
      </c>
      <c r="D613" s="51" t="inlineStr">
        <is>
          <t>일치</t>
        </is>
      </c>
    </row>
    <row r="614">
      <c r="A614" s="51" t="inlineStr">
        <is>
          <t>2025-09-04</t>
        </is>
      </c>
      <c r="B614" s="49" t="n">
        <v>99884</v>
      </c>
      <c r="C614" s="51" t="inlineStr">
        <is>
          <t>Group20_Ttareungyi_2024-2025.csv.csv</t>
        </is>
      </c>
      <c r="D614" s="51" t="inlineStr">
        <is>
          <t>일치</t>
        </is>
      </c>
    </row>
    <row r="615">
      <c r="A615" s="51" t="inlineStr">
        <is>
          <t>2025-09-05</t>
        </is>
      </c>
      <c r="B615" s="49" t="n">
        <v>152732</v>
      </c>
      <c r="C615" s="51" t="inlineStr">
        <is>
          <t>Group20_Ttareungyi_2024-2025.csv.csv</t>
        </is>
      </c>
      <c r="D615" s="51" t="inlineStr">
        <is>
          <t>일치</t>
        </is>
      </c>
    </row>
    <row r="616">
      <c r="A616" s="51" t="inlineStr">
        <is>
          <t>2025-09-06</t>
        </is>
      </c>
      <c r="B616" s="49" t="n">
        <v>57072</v>
      </c>
      <c r="C616" s="51" t="inlineStr">
        <is>
          <t>Group20_Ttareungyi_2024-2025.csv.csv</t>
        </is>
      </c>
      <c r="D616" s="51" t="inlineStr">
        <is>
          <t>일치</t>
        </is>
      </c>
    </row>
    <row r="617">
      <c r="A617" s="51" t="inlineStr">
        <is>
          <t>2025-09-07</t>
        </is>
      </c>
      <c r="B617" s="49" t="n">
        <v>116306</v>
      </c>
      <c r="C617" s="51" t="inlineStr">
        <is>
          <t>Group20_Ttareungyi_2024-2025.csv.csv</t>
        </is>
      </c>
      <c r="D617" s="51" t="inlineStr">
        <is>
          <t>일치</t>
        </is>
      </c>
    </row>
    <row r="618">
      <c r="A618" s="51" t="inlineStr">
        <is>
          <t>2025-09-08</t>
        </is>
      </c>
      <c r="B618" s="49" t="n">
        <v>152238</v>
      </c>
      <c r="C618" s="51" t="inlineStr">
        <is>
          <t>Group20_Ttareungyi_2024-2025.csv.csv</t>
        </is>
      </c>
      <c r="D618" s="51" t="inlineStr">
        <is>
          <t>일치</t>
        </is>
      </c>
    </row>
    <row r="619">
      <c r="A619" s="51" t="inlineStr">
        <is>
          <t>2025-09-09</t>
        </is>
      </c>
      <c r="B619" s="49" t="n">
        <v>165309</v>
      </c>
      <c r="C619" s="51" t="inlineStr">
        <is>
          <t>Group20_Ttareungyi_2024-2025.csv.csv</t>
        </is>
      </c>
      <c r="D619" s="51" t="inlineStr">
        <is>
          <t>일치</t>
        </is>
      </c>
    </row>
    <row r="620">
      <c r="A620" s="51" t="inlineStr">
        <is>
          <t>2025-09-10</t>
        </is>
      </c>
      <c r="B620" s="49" t="n">
        <v>165849</v>
      </c>
      <c r="C620" s="51" t="inlineStr">
        <is>
          <t>Group20_Ttareungyi_2024-2025.csv.csv</t>
        </is>
      </c>
      <c r="D620" s="51" t="inlineStr">
        <is>
          <t>일치</t>
        </is>
      </c>
    </row>
    <row r="621">
      <c r="A621" s="51" t="inlineStr">
        <is>
          <t>2025-09-11</t>
        </is>
      </c>
      <c r="B621" s="49" t="n">
        <v>166211</v>
      </c>
      <c r="C621" s="51" t="inlineStr">
        <is>
          <t>Group20_Ttareungyi_2024-2025.csv.csv</t>
        </is>
      </c>
      <c r="D621" s="51" t="inlineStr">
        <is>
          <t>일치</t>
        </is>
      </c>
    </row>
    <row r="622">
      <c r="A622" s="51" t="inlineStr">
        <is>
          <t>2025-09-12</t>
        </is>
      </c>
      <c r="B622" s="49" t="n">
        <v>106260</v>
      </c>
      <c r="C622" s="51" t="inlineStr">
        <is>
          <t>Group20_Ttareungyi_2024-2025.csv.csv</t>
        </is>
      </c>
      <c r="D622" s="51" t="inlineStr">
        <is>
          <t>일치</t>
        </is>
      </c>
    </row>
    <row r="623">
      <c r="A623" s="51" t="inlineStr">
        <is>
          <t>2025-09-13</t>
        </is>
      </c>
      <c r="B623" s="49" t="n">
        <v>113754</v>
      </c>
      <c r="C623" s="51" t="inlineStr">
        <is>
          <t>Group20_Ttareungyi_2024-2025.csv.csv</t>
        </is>
      </c>
      <c r="D623" s="51" t="inlineStr">
        <is>
          <t>일치</t>
        </is>
      </c>
    </row>
    <row r="624">
      <c r="A624" s="51" t="inlineStr">
        <is>
          <t>2025-09-14</t>
        </is>
      </c>
      <c r="B624" s="49" t="n">
        <v>134623</v>
      </c>
      <c r="C624" s="51" t="inlineStr">
        <is>
          <t>Group20_Ttareungyi_2024-2025.csv.csv</t>
        </is>
      </c>
      <c r="D624" s="51" t="inlineStr">
        <is>
          <t>일치</t>
        </is>
      </c>
    </row>
    <row r="625">
      <c r="A625" s="51" t="inlineStr">
        <is>
          <t>2025-09-15</t>
        </is>
      </c>
      <c r="B625" s="49" t="n">
        <v>165343</v>
      </c>
      <c r="C625" s="51" t="inlineStr">
        <is>
          <t>Group20_Ttareungyi_2024-2025.csv.csv</t>
        </is>
      </c>
      <c r="D625" s="51" t="inlineStr">
        <is>
          <t>일치</t>
        </is>
      </c>
    </row>
    <row r="626">
      <c r="A626" s="51" t="inlineStr">
        <is>
          <t>2025-09-16</t>
        </is>
      </c>
      <c r="B626" s="49" t="n">
        <v>107806</v>
      </c>
      <c r="C626" s="51" t="inlineStr">
        <is>
          <t>Group20_Ttareungyi_2024-2025.csv.csv</t>
        </is>
      </c>
      <c r="D626" s="51" t="inlineStr">
        <is>
          <t>일치</t>
        </is>
      </c>
    </row>
    <row r="627">
      <c r="A627" s="51" t="inlineStr">
        <is>
          <t>2025-09-17</t>
        </is>
      </c>
      <c r="B627" s="49" t="n">
        <v>84085</v>
      </c>
      <c r="C627" s="51" t="inlineStr">
        <is>
          <t>Group20_Ttareungyi_2024-2025.csv.csv</t>
        </is>
      </c>
      <c r="D627" s="51" t="inlineStr">
        <is>
          <t>일치</t>
        </is>
      </c>
    </row>
    <row r="628">
      <c r="A628" s="51" t="inlineStr">
        <is>
          <t>2025-09-18</t>
        </is>
      </c>
      <c r="B628" s="49" t="n">
        <v>168435</v>
      </c>
      <c r="C628" s="51" t="inlineStr">
        <is>
          <t>Group20_Ttareungyi_2024-2025.csv.csv</t>
        </is>
      </c>
      <c r="D628" s="51" t="inlineStr">
        <is>
          <t>일치</t>
        </is>
      </c>
    </row>
    <row r="629">
      <c r="A629" s="51" t="inlineStr">
        <is>
          <t>2025-09-19</t>
        </is>
      </c>
      <c r="B629" s="49" t="n">
        <v>62548</v>
      </c>
      <c r="C629" s="51" t="inlineStr">
        <is>
          <t>Group20_Ttareungyi_2024-2025.csv.csv</t>
        </is>
      </c>
      <c r="D629" s="51" t="inlineStr">
        <is>
          <t>일치</t>
        </is>
      </c>
    </row>
    <row r="630">
      <c r="A630" s="51" t="inlineStr">
        <is>
          <t>2025-09-20</t>
        </is>
      </c>
      <c r="B630" s="49" t="n">
        <v>112489</v>
      </c>
      <c r="C630" s="51" t="inlineStr">
        <is>
          <t>Group20_Ttareungyi_2024-2025.csv.csv</t>
        </is>
      </c>
      <c r="D630" s="51" t="inlineStr">
        <is>
          <t>일치</t>
        </is>
      </c>
    </row>
    <row r="631">
      <c r="A631" s="51" t="inlineStr">
        <is>
          <t>2025-09-21</t>
        </is>
      </c>
      <c r="B631" s="49" t="n">
        <v>146259</v>
      </c>
      <c r="C631" s="51" t="inlineStr">
        <is>
          <t>Group20_Ttareungyi_2024-2025.csv.csv</t>
        </is>
      </c>
      <c r="D631" s="51" t="inlineStr">
        <is>
          <t>일치</t>
        </is>
      </c>
    </row>
    <row r="632">
      <c r="A632" s="51" t="inlineStr">
        <is>
          <t>2025-09-22</t>
        </is>
      </c>
      <c r="B632" s="49" t="n">
        <v>169397</v>
      </c>
      <c r="C632" s="51" t="inlineStr">
        <is>
          <t>Group20_Ttareungyi_2024-2025.csv.csv</t>
        </is>
      </c>
      <c r="D632" s="51" t="inlineStr">
        <is>
          <t>일치</t>
        </is>
      </c>
    </row>
    <row r="633">
      <c r="A633" s="51" t="inlineStr">
        <is>
          <t>2025-09-23</t>
        </is>
      </c>
      <c r="B633" s="49" t="n">
        <v>173585</v>
      </c>
      <c r="C633" s="51" t="inlineStr">
        <is>
          <t>Group20_Ttareungyi_2024-2025.csv.csv</t>
        </is>
      </c>
      <c r="D633" s="51" t="inlineStr">
        <is>
          <t>일치</t>
        </is>
      </c>
    </row>
    <row r="634">
      <c r="A634" s="51" t="inlineStr">
        <is>
          <t>2025-09-24</t>
        </is>
      </c>
      <c r="B634" s="49" t="n">
        <v>69984</v>
      </c>
      <c r="C634" s="51" t="inlineStr">
        <is>
          <t>Group20_Ttareungyi_2024-2025.csv.csv</t>
        </is>
      </c>
      <c r="D634" s="51" t="inlineStr">
        <is>
          <t>일치</t>
        </is>
      </c>
    </row>
    <row r="635">
      <c r="A635" s="51" t="inlineStr">
        <is>
          <t>2025-09-25</t>
        </is>
      </c>
      <c r="B635" s="49" t="n">
        <v>157347</v>
      </c>
      <c r="C635" s="51" t="inlineStr">
        <is>
          <t>Group20_Ttareungyi_2024-2025.csv.csv</t>
        </is>
      </c>
      <c r="D635" s="51" t="inlineStr">
        <is>
          <t>일치</t>
        </is>
      </c>
    </row>
    <row r="636">
      <c r="A636" s="51" t="inlineStr">
        <is>
          <t>2025-09-26</t>
        </is>
      </c>
      <c r="B636" s="49" t="n">
        <v>176011</v>
      </c>
      <c r="C636" s="51" t="inlineStr">
        <is>
          <t>Group20_Ttareungyi_2024-2025.csv.csv</t>
        </is>
      </c>
      <c r="D636" s="51" t="inlineStr">
        <is>
          <t>일치</t>
        </is>
      </c>
    </row>
    <row r="637">
      <c r="A637" s="51" t="inlineStr">
        <is>
          <t>2025-09-27</t>
        </is>
      </c>
      <c r="B637" s="49" t="n">
        <v>153156</v>
      </c>
      <c r="C637" s="51" t="inlineStr">
        <is>
          <t>Group20_Ttareungyi_2024-2025.csv.csv</t>
        </is>
      </c>
      <c r="D637" s="51" t="inlineStr">
        <is>
          <t>일치</t>
        </is>
      </c>
    </row>
    <row r="638">
      <c r="A638" s="51" t="inlineStr">
        <is>
          <t>2025-09-28</t>
        </is>
      </c>
      <c r="B638" s="49" t="n">
        <v>77624</v>
      </c>
      <c r="C638" s="51" t="inlineStr">
        <is>
          <t>Group20_Ttareungyi_2024-2025.csv.csv</t>
        </is>
      </c>
      <c r="D638" s="51" t="inlineStr">
        <is>
          <t>일치</t>
        </is>
      </c>
    </row>
    <row r="639">
      <c r="A639" s="51" t="inlineStr">
        <is>
          <t>2025-09-29</t>
        </is>
      </c>
      <c r="B639" s="49" t="n">
        <v>168318</v>
      </c>
      <c r="C639" s="51" t="inlineStr">
        <is>
          <t>Group20_Ttareungyi_2024-2025.csv.csv</t>
        </is>
      </c>
      <c r="D639" s="51" t="inlineStr">
        <is>
          <t>일치</t>
        </is>
      </c>
    </row>
    <row r="640">
      <c r="A640" s="51" t="inlineStr">
        <is>
          <t>2025-09-30</t>
        </is>
      </c>
      <c r="B640" s="49" t="n">
        <v>170955</v>
      </c>
      <c r="C640" s="51" t="inlineStr">
        <is>
          <t>Group20_Ttareungyi_2024-2025.csv.csv</t>
        </is>
      </c>
      <c r="D640" s="51" t="inlineStr">
        <is>
          <t>일치</t>
        </is>
      </c>
    </row>
    <row r="641">
      <c r="A641" s="51" t="inlineStr">
        <is>
          <t>2025-10-01</t>
        </is>
      </c>
      <c r="B641" s="49" t="n">
        <v>169645</v>
      </c>
      <c r="C641" s="51" t="inlineStr">
        <is>
          <t>Group20_Ttareungyi_2024-2025.csv.csv</t>
        </is>
      </c>
      <c r="D641" s="51" t="inlineStr">
        <is>
          <t>일치</t>
        </is>
      </c>
    </row>
    <row r="642">
      <c r="A642" s="51" t="inlineStr">
        <is>
          <t>2025-10-02</t>
        </is>
      </c>
      <c r="B642" s="49" t="n">
        <v>175021</v>
      </c>
      <c r="C642" s="51" t="inlineStr">
        <is>
          <t>Group20_Ttareungyi_2024-2025.csv.csv</t>
        </is>
      </c>
      <c r="D642" s="51" t="inlineStr">
        <is>
          <t>일치</t>
        </is>
      </c>
    </row>
    <row r="643">
      <c r="A643" s="51" t="inlineStr">
        <is>
          <t>2025-10-03</t>
        </is>
      </c>
      <c r="B643" s="49" t="n">
        <v>89958</v>
      </c>
      <c r="C643" s="51" t="inlineStr">
        <is>
          <t>Group20_Ttareungyi_2024-2025.csv.csv</t>
        </is>
      </c>
      <c r="D643" s="51" t="inlineStr">
        <is>
          <t>일치</t>
        </is>
      </c>
    </row>
    <row r="644">
      <c r="A644" s="51" t="inlineStr">
        <is>
          <t>2025-10-04</t>
        </is>
      </c>
      <c r="B644" s="49" t="n">
        <v>113200</v>
      </c>
      <c r="C644" s="51" t="inlineStr">
        <is>
          <t>Group20_Ttareungyi_2024-2025.csv.csv</t>
        </is>
      </c>
      <c r="D644" s="51" t="inlineStr">
        <is>
          <t>일치</t>
        </is>
      </c>
    </row>
    <row r="645">
      <c r="A645" s="51" t="inlineStr">
        <is>
          <t>2025-10-05</t>
        </is>
      </c>
      <c r="B645" s="49" t="n">
        <v>53622</v>
      </c>
      <c r="C645" s="51" t="inlineStr">
        <is>
          <t>Group20_Ttareungyi_2024-2025.csv.csv</t>
        </is>
      </c>
      <c r="D645" s="51" t="inlineStr">
        <is>
          <t>일치</t>
        </is>
      </c>
    </row>
    <row r="646">
      <c r="A646" s="51" t="inlineStr">
        <is>
          <t>2025-10-06</t>
        </is>
      </c>
      <c r="B646" s="49" t="n">
        <v>10493</v>
      </c>
      <c r="C646" s="51" t="inlineStr">
        <is>
          <t>Group20_Ttareungyi_2024-2025.csv.csv</t>
        </is>
      </c>
      <c r="D646" s="51" t="inlineStr">
        <is>
          <t>일치</t>
        </is>
      </c>
    </row>
    <row r="647">
      <c r="A647" s="51" t="inlineStr">
        <is>
          <t>2025-10-07</t>
        </is>
      </c>
      <c r="B647" s="49" t="n">
        <v>26673</v>
      </c>
      <c r="C647" s="51" t="inlineStr">
        <is>
          <t>Group20_Ttareungyi_2024-2025.csv.csv</t>
        </is>
      </c>
      <c r="D647" s="51" t="inlineStr">
        <is>
          <t>일치</t>
        </is>
      </c>
    </row>
    <row r="648">
      <c r="A648" s="51" t="inlineStr">
        <is>
          <t>2025-10-08</t>
        </is>
      </c>
      <c r="B648" s="49" t="n">
        <v>126692</v>
      </c>
      <c r="C648" s="51" t="inlineStr">
        <is>
          <t>Group20_Ttareungyi_2024-2025.csv.csv</t>
        </is>
      </c>
      <c r="D648" s="51" t="inlineStr">
        <is>
          <t>일치</t>
        </is>
      </c>
    </row>
    <row r="649">
      <c r="A649" s="51" t="inlineStr">
        <is>
          <t>2025-10-09</t>
        </is>
      </c>
      <c r="B649" s="49" t="n">
        <v>113031</v>
      </c>
      <c r="C649" s="51" t="inlineStr">
        <is>
          <t>Group20_Ttareungyi_2024-2025.csv.csv</t>
        </is>
      </c>
      <c r="D649" s="51" t="inlineStr">
        <is>
          <t>일치</t>
        </is>
      </c>
    </row>
    <row r="650">
      <c r="A650" s="51" t="inlineStr">
        <is>
          <t>2025-10-10</t>
        </is>
      </c>
      <c r="B650" s="49" t="n">
        <v>13939</v>
      </c>
      <c r="C650" s="51" t="inlineStr">
        <is>
          <t>Group20_Ttareungyi_2024-2025.csv.csv</t>
        </is>
      </c>
      <c r="D650" s="51" t="inlineStr">
        <is>
          <t>일치</t>
        </is>
      </c>
    </row>
    <row r="651">
      <c r="A651" s="51" t="inlineStr">
        <is>
          <t>2025-10-11</t>
        </is>
      </c>
      <c r="B651" s="49" t="n">
        <v>55776</v>
      </c>
      <c r="C651" s="51" t="inlineStr">
        <is>
          <t>Group20_Ttareungyi_2024-2025.csv.csv</t>
        </is>
      </c>
      <c r="D651" s="51" t="inlineStr">
        <is>
          <t>일치</t>
        </is>
      </c>
    </row>
    <row r="652">
      <c r="A652" s="51" t="inlineStr">
        <is>
          <t>2025-10-12</t>
        </is>
      </c>
      <c r="B652" s="49" t="n">
        <v>108469</v>
      </c>
      <c r="C652" s="51" t="inlineStr">
        <is>
          <t>Group20_Ttareungyi_2024-2025.csv.csv</t>
        </is>
      </c>
      <c r="D652" s="51" t="inlineStr">
        <is>
          <t>일치</t>
        </is>
      </c>
    </row>
    <row r="653">
      <c r="A653" s="51" t="inlineStr">
        <is>
          <t>2025-10-13</t>
        </is>
      </c>
      <c r="B653" s="49" t="n">
        <v>28941</v>
      </c>
      <c r="C653" s="51" t="inlineStr">
        <is>
          <t>Group20_Ttareungyi_2024-2025.csv.csv</t>
        </is>
      </c>
      <c r="D653" s="51" t="inlineStr">
        <is>
          <t>일치</t>
        </is>
      </c>
    </row>
    <row r="654">
      <c r="A654" s="51" t="inlineStr">
        <is>
          <t>2025-10-14</t>
        </is>
      </c>
      <c r="B654" s="49" t="n">
        <v>130812</v>
      </c>
      <c r="C654" s="51" t="inlineStr">
        <is>
          <t>Group20_Ttareungyi_2024-2025.csv.csv</t>
        </is>
      </c>
      <c r="D654" s="51" t="inlineStr">
        <is>
          <t>일치</t>
        </is>
      </c>
    </row>
    <row r="655">
      <c r="A655" s="51" t="inlineStr">
        <is>
          <t>2025-10-15</t>
        </is>
      </c>
      <c r="B655" s="49" t="n">
        <v>119884</v>
      </c>
      <c r="C655" s="51" t="inlineStr">
        <is>
          <t>Group20_Ttareungyi_2024-2025.csv.csv</t>
        </is>
      </c>
      <c r="D655" s="51" t="inlineStr">
        <is>
          <t>일치</t>
        </is>
      </c>
    </row>
    <row r="656">
      <c r="A656" s="51" t="inlineStr">
        <is>
          <t>2025-10-16</t>
        </is>
      </c>
      <c r="B656" s="49" t="n">
        <v>152149</v>
      </c>
      <c r="C656" s="51" t="inlineStr">
        <is>
          <t>Group20_Ttareungyi_2024-2025.csv.csv</t>
        </is>
      </c>
      <c r="D656" s="51" t="inlineStr">
        <is>
          <t>일치</t>
        </is>
      </c>
    </row>
    <row r="657">
      <c r="A657" s="51" t="inlineStr">
        <is>
          <t>2025-10-17</t>
        </is>
      </c>
      <c r="B657" s="49" t="n">
        <v>112544</v>
      </c>
      <c r="C657" s="51" t="inlineStr">
        <is>
          <t>Group20_Ttareungyi_2024-2025.csv.csv</t>
        </is>
      </c>
      <c r="D657" s="51" t="inlineStr">
        <is>
          <t>일치</t>
        </is>
      </c>
    </row>
    <row r="658">
      <c r="A658" s="51" t="inlineStr">
        <is>
          <t>2025-10-18</t>
        </is>
      </c>
      <c r="B658" s="49" t="n">
        <v>99434</v>
      </c>
      <c r="C658" s="51" t="inlineStr">
        <is>
          <t>Group20_Ttareungyi_2024-2025.csv.csv</t>
        </is>
      </c>
      <c r="D658" s="51" t="inlineStr">
        <is>
          <t>일치</t>
        </is>
      </c>
    </row>
    <row r="659">
      <c r="A659" s="51" t="inlineStr">
        <is>
          <t>2025-10-19</t>
        </is>
      </c>
      <c r="B659" s="49" t="n">
        <v>116009</v>
      </c>
      <c r="C659" s="51" t="inlineStr">
        <is>
          <t>Group20_Ttareungyi_2024-2025.csv.csv</t>
        </is>
      </c>
      <c r="D659" s="51" t="inlineStr">
        <is>
          <t>일치</t>
        </is>
      </c>
    </row>
    <row r="660">
      <c r="A660" s="51" t="inlineStr">
        <is>
          <t>2025-10-20</t>
        </is>
      </c>
      <c r="B660" s="49" t="n">
        <v>131382</v>
      </c>
      <c r="C660" s="51" t="inlineStr">
        <is>
          <t>Group20_Ttareungyi_2024-2025.csv.csv</t>
        </is>
      </c>
      <c r="D660" s="51" t="inlineStr">
        <is>
          <t>일치</t>
        </is>
      </c>
    </row>
    <row r="661">
      <c r="A661" s="51" t="inlineStr">
        <is>
          <t>2025-10-21</t>
        </is>
      </c>
      <c r="B661" s="49" t="n">
        <v>134707</v>
      </c>
      <c r="C661" s="51" t="inlineStr">
        <is>
          <t>Group20_Ttareungyi_2024-2025.csv.csv</t>
        </is>
      </c>
      <c r="D661" s="51" t="inlineStr">
        <is>
          <t>일치</t>
        </is>
      </c>
    </row>
    <row r="662">
      <c r="A662" s="51" t="inlineStr">
        <is>
          <t>2025-10-22</t>
        </is>
      </c>
      <c r="B662" s="49" t="n">
        <v>145055</v>
      </c>
      <c r="C662" s="51" t="inlineStr">
        <is>
          <t>Group20_Ttareungyi_2024-2025.csv.csv</t>
        </is>
      </c>
      <c r="D662" s="51" t="inlineStr">
        <is>
          <t>일치</t>
        </is>
      </c>
    </row>
    <row r="663">
      <c r="A663" s="51" t="inlineStr">
        <is>
          <t>2025-10-23</t>
        </is>
      </c>
      <c r="B663" s="49" t="n">
        <v>151467</v>
      </c>
      <c r="C663" s="51" t="inlineStr">
        <is>
          <t>Group20_Ttareungyi_2024-2025.csv.csv</t>
        </is>
      </c>
      <c r="D663" s="51" t="inlineStr">
        <is>
          <t>일치</t>
        </is>
      </c>
    </row>
    <row r="664">
      <c r="A664" s="51" t="inlineStr">
        <is>
          <t>2025-10-24</t>
        </is>
      </c>
      <c r="B664" s="49" t="n">
        <v>154754</v>
      </c>
      <c r="C664" s="51" t="inlineStr">
        <is>
          <t>Group20_Ttareungyi_2024-2025.csv.csv</t>
        </is>
      </c>
      <c r="D664" s="51" t="inlineStr">
        <is>
          <t>일치</t>
        </is>
      </c>
    </row>
    <row r="665">
      <c r="A665" s="51" t="inlineStr">
        <is>
          <t>2025-10-25</t>
        </is>
      </c>
      <c r="B665" s="49" t="n">
        <v>124942</v>
      </c>
      <c r="C665" s="51" t="inlineStr">
        <is>
          <t>Group20_Ttareungyi_2024-2025.csv.csv</t>
        </is>
      </c>
      <c r="D665" s="51" t="inlineStr">
        <is>
          <t>일치</t>
        </is>
      </c>
    </row>
    <row r="666">
      <c r="A666" s="51" t="inlineStr">
        <is>
          <t>2025-10-26</t>
        </is>
      </c>
      <c r="B666" s="49" t="n">
        <v>82071</v>
      </c>
      <c r="C666" s="51" t="inlineStr">
        <is>
          <t>Group20_Ttareungyi_2024-2025.csv.csv</t>
        </is>
      </c>
      <c r="D666" s="51" t="inlineStr">
        <is>
          <t>일치</t>
        </is>
      </c>
    </row>
    <row r="667">
      <c r="A667" s="51" t="inlineStr">
        <is>
          <t>2025-10-27</t>
        </is>
      </c>
      <c r="B667" s="49" t="n">
        <v>119997</v>
      </c>
      <c r="C667" s="51" t="inlineStr">
        <is>
          <t>Group20_Ttareungyi_2024-2025.csv.csv</t>
        </is>
      </c>
      <c r="D667" s="51" t="inlineStr">
        <is>
          <t>일치</t>
        </is>
      </c>
    </row>
    <row r="668">
      <c r="A668" s="51" t="inlineStr">
        <is>
          <t>2025-10-28</t>
        </is>
      </c>
      <c r="B668" s="49" t="n">
        <v>127462</v>
      </c>
      <c r="C668" s="51" t="inlineStr">
        <is>
          <t>Group20_Ttareungyi_2024-2025.csv.csv</t>
        </is>
      </c>
      <c r="D668" s="51" t="inlineStr">
        <is>
          <t>일치</t>
        </is>
      </c>
    </row>
    <row r="669">
      <c r="A669" s="51" t="inlineStr">
        <is>
          <t>2025-10-29</t>
        </is>
      </c>
      <c r="B669" s="49" t="n">
        <v>137699</v>
      </c>
      <c r="C669" s="51" t="inlineStr">
        <is>
          <t>Group20_Ttareungyi_2024-2025.csv.csv</t>
        </is>
      </c>
      <c r="D669" s="51" t="inlineStr">
        <is>
          <t>일치</t>
        </is>
      </c>
    </row>
    <row r="670">
      <c r="A670" s="51" t="inlineStr">
        <is>
          <t>2025-10-30</t>
        </is>
      </c>
      <c r="B670" s="49" t="n">
        <v>140129</v>
      </c>
      <c r="C670" s="51" t="inlineStr">
        <is>
          <t>Group20_Ttareungyi_2024-2025.csv.csv</t>
        </is>
      </c>
      <c r="D670" s="51" t="inlineStr">
        <is>
          <t>일치</t>
        </is>
      </c>
    </row>
    <row r="671">
      <c r="A671" s="51" t="inlineStr">
        <is>
          <t>2025-10-31</t>
        </is>
      </c>
      <c r="B671" s="49" t="n">
        <v>141807</v>
      </c>
      <c r="C671" s="51" t="inlineStr">
        <is>
          <t>Group20_Ttareungyi_2024-2025.csv.csv</t>
        </is>
      </c>
      <c r="D671" s="51" t="inlineStr">
        <is>
          <t>일치</t>
        </is>
      </c>
    </row>
    <row r="672">
      <c r="A672" s="51" t="inlineStr">
        <is>
          <t>2025-11-01</t>
        </is>
      </c>
      <c r="B672" s="49" t="n">
        <v>94090</v>
      </c>
      <c r="C672" s="51" t="inlineStr">
        <is>
          <t>Group20_Ttareungyi_2024-2025.csv.csv</t>
        </is>
      </c>
      <c r="D672" s="51" t="inlineStr">
        <is>
          <t>일치</t>
        </is>
      </c>
    </row>
    <row r="673">
      <c r="A673" s="51" t="inlineStr">
        <is>
          <t>2025-11-02</t>
        </is>
      </c>
      <c r="B673" s="49" t="n">
        <v>78413</v>
      </c>
      <c r="C673" s="51" t="inlineStr">
        <is>
          <t>Group20_Ttareungyi_2024-2025.csv.csv</t>
        </is>
      </c>
      <c r="D673" s="51" t="inlineStr">
        <is>
          <t>일치</t>
        </is>
      </c>
    </row>
    <row r="674">
      <c r="A674" s="51" t="inlineStr">
        <is>
          <t>2025-11-03</t>
        </is>
      </c>
      <c r="B674" s="49" t="n">
        <v>117514</v>
      </c>
      <c r="C674" s="51" t="inlineStr">
        <is>
          <t>Group20_Ttareungyi_2024-2025.csv.csv</t>
        </is>
      </c>
      <c r="D674" s="51" t="inlineStr">
        <is>
          <t>일치</t>
        </is>
      </c>
    </row>
    <row r="675">
      <c r="A675" s="51" t="inlineStr">
        <is>
          <t>2025-11-04</t>
        </is>
      </c>
      <c r="B675" s="49" t="n">
        <v>131250</v>
      </c>
      <c r="C675" s="51" t="inlineStr">
        <is>
          <t>Group20_Ttareungyi_2024-2025.csv.csv</t>
        </is>
      </c>
      <c r="D675" s="51" t="inlineStr">
        <is>
          <t>일치</t>
        </is>
      </c>
    </row>
    <row r="676">
      <c r="A676" s="51" t="inlineStr">
        <is>
          <t>2025-11-05</t>
        </is>
      </c>
      <c r="B676" s="49" t="n">
        <v>137250</v>
      </c>
      <c r="C676" s="51" t="inlineStr">
        <is>
          <t>Group20_Ttareungyi_2024-2025.csv.csv</t>
        </is>
      </c>
      <c r="D676" s="51" t="inlineStr">
        <is>
          <t>일치</t>
        </is>
      </c>
    </row>
    <row r="677">
      <c r="A677" s="51" t="inlineStr">
        <is>
          <t>2025-11-06</t>
        </is>
      </c>
      <c r="B677" s="49" t="n">
        <v>138404</v>
      </c>
      <c r="C677" s="51" t="inlineStr">
        <is>
          <t>Group20_Ttareungyi_2024-2025.csv.csv</t>
        </is>
      </c>
      <c r="D677" s="51" t="inlineStr">
        <is>
          <t>일치</t>
        </is>
      </c>
    </row>
    <row r="678">
      <c r="A678" s="51" t="inlineStr">
        <is>
          <t>2025-11-07</t>
        </is>
      </c>
      <c r="B678" s="49" t="n">
        <v>141345</v>
      </c>
      <c r="C678" s="51" t="inlineStr">
        <is>
          <t>Group20_Ttareungyi_2024-2025.csv.csv</t>
        </is>
      </c>
      <c r="D678" s="51" t="inlineStr">
        <is>
          <t>일치</t>
        </is>
      </c>
    </row>
    <row r="679">
      <c r="A679" s="51" t="inlineStr">
        <is>
          <t>2025-11-08</t>
        </is>
      </c>
      <c r="B679" s="49" t="n">
        <v>109656</v>
      </c>
      <c r="C679" s="51" t="inlineStr">
        <is>
          <t>Group20_Ttareungyi_2024-2025.csv.csv</t>
        </is>
      </c>
      <c r="D679" s="51" t="inlineStr">
        <is>
          <t>일치</t>
        </is>
      </c>
    </row>
    <row r="680">
      <c r="A680" s="51" t="inlineStr">
        <is>
          <t>2025-11-09</t>
        </is>
      </c>
      <c r="B680" s="49" t="n">
        <v>96346</v>
      </c>
      <c r="C680" s="51" t="inlineStr">
        <is>
          <t>Group20_Ttareungyi_2024-2025.csv.csv</t>
        </is>
      </c>
      <c r="D680" s="51" t="inlineStr">
        <is>
          <t>일치</t>
        </is>
      </c>
    </row>
    <row r="681">
      <c r="A681" s="51" t="inlineStr">
        <is>
          <t>2025-11-10</t>
        </is>
      </c>
      <c r="B681" s="49" t="n">
        <v>119499</v>
      </c>
      <c r="C681" s="51" t="inlineStr">
        <is>
          <t>Group20_Ttareungyi_2024-2025.csv.csv</t>
        </is>
      </c>
      <c r="D681" s="51" t="inlineStr">
        <is>
          <t>일치</t>
        </is>
      </c>
    </row>
    <row r="682">
      <c r="A682" s="51" t="inlineStr">
        <is>
          <t>2025-11-11</t>
        </is>
      </c>
      <c r="B682" s="49" t="n">
        <v>128960</v>
      </c>
      <c r="C682" s="51" t="inlineStr">
        <is>
          <t>Group20_Ttareungyi_2024-2025.csv.csv</t>
        </is>
      </c>
      <c r="D682" s="51" t="inlineStr">
        <is>
          <t>일치</t>
        </is>
      </c>
    </row>
    <row r="683">
      <c r="A683" s="51" t="inlineStr">
        <is>
          <t>2025-11-12</t>
        </is>
      </c>
      <c r="B683" s="49" t="n">
        <v>134781</v>
      </c>
      <c r="C683" s="51" t="inlineStr">
        <is>
          <t>Group20_Ttareungyi_2024-2025.csv.csv</t>
        </is>
      </c>
      <c r="D683" s="51" t="inlineStr">
        <is>
          <t>일치</t>
        </is>
      </c>
    </row>
    <row r="684">
      <c r="A684" s="51" t="inlineStr">
        <is>
          <t>2025-11-13</t>
        </is>
      </c>
      <c r="B684" s="49" t="n">
        <v>130926</v>
      </c>
      <c r="C684" s="51" t="inlineStr">
        <is>
          <t>Group20_Ttareungyi_2024-2025.csv.csv</t>
        </is>
      </c>
      <c r="D684" s="51" t="inlineStr">
        <is>
          <t>일치</t>
        </is>
      </c>
    </row>
    <row r="685">
      <c r="A685" s="51" t="inlineStr">
        <is>
          <t>2025-11-14</t>
        </is>
      </c>
      <c r="B685" s="49" t="n">
        <v>126744</v>
      </c>
      <c r="C685" s="51" t="inlineStr">
        <is>
          <t>Group20_Ttareungyi_2024-2025.csv.csv</t>
        </is>
      </c>
      <c r="D685" s="51" t="inlineStr">
        <is>
          <t>일치</t>
        </is>
      </c>
    </row>
    <row r="686">
      <c r="A686" s="51" t="inlineStr">
        <is>
          <t>2025-11-15</t>
        </is>
      </c>
      <c r="B686" s="49" t="n">
        <v>100268</v>
      </c>
      <c r="C686" s="51" t="inlineStr">
        <is>
          <t>Group20_Ttareungyi_2024-2025.csv.csv</t>
        </is>
      </c>
      <c r="D686" s="51" t="inlineStr">
        <is>
          <t>일치</t>
        </is>
      </c>
    </row>
    <row r="687">
      <c r="A687" s="51" t="inlineStr">
        <is>
          <t>2025-11-16</t>
        </is>
      </c>
      <c r="B687" s="49" t="n">
        <v>86122</v>
      </c>
      <c r="C687" s="51" t="inlineStr">
        <is>
          <t>Group20_Ttareungyi_2024-2025.csv.csv</t>
        </is>
      </c>
      <c r="D687" s="51" t="inlineStr">
        <is>
          <t>일치</t>
        </is>
      </c>
    </row>
    <row r="688">
      <c r="A688" s="51" t="inlineStr">
        <is>
          <t>2025-11-17</t>
        </is>
      </c>
      <c r="B688" s="49" t="n">
        <v>94202</v>
      </c>
      <c r="C688" s="51" t="inlineStr">
        <is>
          <t>Group20_Ttareungyi_2024-2025.csv.csv</t>
        </is>
      </c>
      <c r="D688" s="51" t="inlineStr">
        <is>
          <t>일치</t>
        </is>
      </c>
    </row>
    <row r="689">
      <c r="A689" s="51" t="inlineStr">
        <is>
          <t>2025-11-18</t>
        </is>
      </c>
      <c r="B689" s="49" t="n">
        <v>96573</v>
      </c>
      <c r="C689" s="51" t="inlineStr">
        <is>
          <t>Group20_Ttareungyi_2024-2025.csv.csv</t>
        </is>
      </c>
      <c r="D689" s="51" t="inlineStr">
        <is>
          <t>일치</t>
        </is>
      </c>
    </row>
    <row r="690">
      <c r="A690" s="51" t="inlineStr">
        <is>
          <t>2025-11-19</t>
        </is>
      </c>
      <c r="B690" s="49" t="n">
        <v>103020</v>
      </c>
      <c r="C690" s="51" t="inlineStr">
        <is>
          <t>Group20_Ttareungyi_2024-2025.csv.csv</t>
        </is>
      </c>
      <c r="D690" s="51" t="inlineStr">
        <is>
          <t>일치</t>
        </is>
      </c>
    </row>
    <row r="691">
      <c r="A691" s="51" t="inlineStr">
        <is>
          <t>2025-11-20</t>
        </is>
      </c>
      <c r="B691" s="49" t="n">
        <v>111930</v>
      </c>
      <c r="C691" s="51" t="inlineStr">
        <is>
          <t>Group20_Ttareungyi_2024-2025.csv.csv</t>
        </is>
      </c>
      <c r="D691" s="51" t="inlineStr">
        <is>
          <t>일치</t>
        </is>
      </c>
    </row>
    <row r="692">
      <c r="A692" s="51" t="inlineStr">
        <is>
          <t>2025-11-21</t>
        </is>
      </c>
      <c r="B692" s="49" t="n">
        <v>112820</v>
      </c>
      <c r="C692" s="51" t="inlineStr">
        <is>
          <t>Group20_Ttareungyi_2024-2025.csv.csv</t>
        </is>
      </c>
      <c r="D692" s="51" t="inlineStr">
        <is>
          <t>일치</t>
        </is>
      </c>
    </row>
    <row r="693">
      <c r="A693" s="51" t="inlineStr">
        <is>
          <t>2025-11-22</t>
        </is>
      </c>
      <c r="B693" s="49" t="n">
        <v>90719</v>
      </c>
      <c r="C693" s="51" t="inlineStr">
        <is>
          <t>Group20_Ttareungyi_2024-2025.csv.csv</t>
        </is>
      </c>
      <c r="D693" s="51" t="inlineStr">
        <is>
          <t>일치</t>
        </is>
      </c>
    </row>
    <row r="694">
      <c r="A694" s="51" t="inlineStr">
        <is>
          <t>2025-11-23</t>
        </is>
      </c>
      <c r="B694" s="49" t="n">
        <v>80048</v>
      </c>
      <c r="C694" s="51" t="inlineStr">
        <is>
          <t>Group20_Ttareungyi_2024-2025.csv.csv</t>
        </is>
      </c>
      <c r="D694" s="51" t="inlineStr">
        <is>
          <t>일치</t>
        </is>
      </c>
    </row>
    <row r="695">
      <c r="A695" s="51" t="inlineStr">
        <is>
          <t>2025-11-24</t>
        </is>
      </c>
      <c r="B695" s="49" t="n">
        <v>118617</v>
      </c>
      <c r="C695" s="51" t="inlineStr">
        <is>
          <t>Group20_Ttareungyi_2024-2025.csv.csv</t>
        </is>
      </c>
      <c r="D695" s="51" t="inlineStr">
        <is>
          <t>일치</t>
        </is>
      </c>
    </row>
    <row r="696">
      <c r="A696" s="51" t="inlineStr">
        <is>
          <t>2025-11-25</t>
        </is>
      </c>
      <c r="B696" s="49" t="n">
        <v>72261</v>
      </c>
      <c r="C696" s="51" t="inlineStr">
        <is>
          <t>Group20_Ttareungyi_2024-2025.csv.csv</t>
        </is>
      </c>
      <c r="D696" s="51" t="inlineStr">
        <is>
          <t>일치</t>
        </is>
      </c>
    </row>
    <row r="697">
      <c r="A697" s="51" t="inlineStr">
        <is>
          <t>2025-11-26</t>
        </is>
      </c>
      <c r="B697" s="49" t="n">
        <v>113310</v>
      </c>
      <c r="C697" s="51" t="inlineStr">
        <is>
          <t>Group20_Ttareungyi_2024-2025.csv.csv</t>
        </is>
      </c>
      <c r="D697" s="51" t="inlineStr">
        <is>
          <t>일치</t>
        </is>
      </c>
    </row>
    <row r="698">
      <c r="A698" s="51" t="inlineStr">
        <is>
          <t>2025-11-27</t>
        </is>
      </c>
      <c r="B698" s="49" t="n">
        <v>66248</v>
      </c>
      <c r="C698" s="51" t="inlineStr">
        <is>
          <t>Group20_Ttareungyi_2024-2025.csv.csv</t>
        </is>
      </c>
      <c r="D698" s="51" t="inlineStr">
        <is>
          <t>일치</t>
        </is>
      </c>
    </row>
    <row r="699">
      <c r="A699" s="51" t="inlineStr">
        <is>
          <t>2025-11-28</t>
        </is>
      </c>
      <c r="B699" s="49" t="n">
        <v>99551</v>
      </c>
      <c r="C699" s="51" t="inlineStr">
        <is>
          <t>Group20_Ttareungyi_2024-2025.csv.csv</t>
        </is>
      </c>
      <c r="D699" s="51" t="inlineStr">
        <is>
          <t>일치</t>
        </is>
      </c>
    </row>
    <row r="700">
      <c r="A700" s="51" t="inlineStr">
        <is>
          <t>2025-11-29</t>
        </is>
      </c>
      <c r="B700" s="49" t="n">
        <v>75838</v>
      </c>
      <c r="C700" s="51" t="inlineStr">
        <is>
          <t>Group20_Ttareungyi_2024-2025.csv.csv</t>
        </is>
      </c>
      <c r="D700" s="51" t="inlineStr">
        <is>
          <t>일치</t>
        </is>
      </c>
    </row>
    <row r="701">
      <c r="A701" s="51" t="inlineStr">
        <is>
          <t>2025-11-30</t>
        </is>
      </c>
      <c r="B701" s="49" t="n">
        <v>80210</v>
      </c>
      <c r="C701" s="51" t="inlineStr">
        <is>
          <t>Group20_Ttareungyi_2024-2025.csv.csv</t>
        </is>
      </c>
      <c r="D701" s="51" t="inlineStr">
        <is>
          <t>일치</t>
        </is>
      </c>
    </row>
    <row r="702">
      <c r="A702" s="51" t="inlineStr">
        <is>
          <t>2025-12-01</t>
        </is>
      </c>
      <c r="B702" s="49" t="n">
        <v>101498</v>
      </c>
      <c r="C702" s="51" t="inlineStr">
        <is>
          <t>Group20_Ttareungyi_2024-2025.csv.csv</t>
        </is>
      </c>
      <c r="D702" s="51" t="inlineStr">
        <is>
          <t>일치</t>
        </is>
      </c>
    </row>
    <row r="703">
      <c r="A703" s="51" t="inlineStr">
        <is>
          <t>2025-12-02</t>
        </is>
      </c>
      <c r="B703" s="49" t="n">
        <v>85747</v>
      </c>
      <c r="C703" s="51" t="inlineStr">
        <is>
          <t>Group20_Ttareungyi_2024-2025.csv.csv</t>
        </is>
      </c>
      <c r="D703" s="51" t="inlineStr">
        <is>
          <t>일치</t>
        </is>
      </c>
    </row>
    <row r="704">
      <c r="A704" s="51" t="inlineStr">
        <is>
          <t>2025-12-03</t>
        </is>
      </c>
      <c r="B704" s="49" t="n">
        <v>68173</v>
      </c>
      <c r="C704" s="51" t="inlineStr">
        <is>
          <t>Group20_Ttareungyi_2024-2025.csv.csv</t>
        </is>
      </c>
      <c r="D704" s="51" t="inlineStr">
        <is>
          <t>일치</t>
        </is>
      </c>
    </row>
    <row r="705">
      <c r="A705" s="51" t="inlineStr">
        <is>
          <t>2025-12-04</t>
        </is>
      </c>
      <c r="B705" s="49" t="n">
        <v>56809</v>
      </c>
      <c r="C705" s="51" t="inlineStr">
        <is>
          <t>Group20_Ttareungyi_2024-2025.csv.csv</t>
        </is>
      </c>
      <c r="D705" s="51" t="inlineStr">
        <is>
          <t>일치</t>
        </is>
      </c>
    </row>
    <row r="706">
      <c r="A706" s="51" t="inlineStr">
        <is>
          <t>2025-12-05</t>
        </is>
      </c>
      <c r="B706" s="49" t="n">
        <v>35921</v>
      </c>
      <c r="C706" s="51" t="inlineStr">
        <is>
          <t>Group20_Ttareungyi_2024-2025.csv.csv</t>
        </is>
      </c>
      <c r="D706" s="51" t="inlineStr">
        <is>
          <t>일치</t>
        </is>
      </c>
    </row>
    <row r="707">
      <c r="A707" s="51" t="inlineStr">
        <is>
          <t>2025-12-06</t>
        </is>
      </c>
      <c r="B707" s="49" t="n">
        <v>40497</v>
      </c>
      <c r="C707" s="51" t="inlineStr">
        <is>
          <t>Group20_Ttareungyi_2024-2025.csv.csv</t>
        </is>
      </c>
      <c r="D707" s="51" t="inlineStr">
        <is>
          <t>일치</t>
        </is>
      </c>
    </row>
    <row r="708">
      <c r="A708" s="51" t="inlineStr">
        <is>
          <t>2025-12-07</t>
        </is>
      </c>
      <c r="B708" s="49" t="n">
        <v>56846</v>
      </c>
      <c r="C708" s="51" t="inlineStr">
        <is>
          <t>Group20_Ttareungyi_2024-2025.csv.csv</t>
        </is>
      </c>
      <c r="D708" s="51" t="inlineStr">
        <is>
          <t>일치</t>
        </is>
      </c>
    </row>
    <row r="709">
      <c r="A709" s="51" t="inlineStr">
        <is>
          <t>2025-12-08</t>
        </is>
      </c>
      <c r="B709" s="49" t="n">
        <v>85128</v>
      </c>
      <c r="C709" s="51" t="inlineStr">
        <is>
          <t>Group20_Ttareungyi_2024-2025.csv.csv</t>
        </is>
      </c>
      <c r="D709" s="51" t="inlineStr">
        <is>
          <t>일치</t>
        </is>
      </c>
    </row>
    <row r="710">
      <c r="A710" s="51" t="inlineStr">
        <is>
          <t>2025-12-09</t>
        </is>
      </c>
      <c r="B710" s="49" t="n">
        <v>90395</v>
      </c>
      <c r="C710" s="51" t="inlineStr">
        <is>
          <t>Group20_Ttareungyi_2024-2025.csv.csv</t>
        </is>
      </c>
      <c r="D710" s="51" t="inlineStr">
        <is>
          <t>일치</t>
        </is>
      </c>
    </row>
    <row r="711">
      <c r="A711" s="51" t="inlineStr">
        <is>
          <t>2025-12-10</t>
        </is>
      </c>
      <c r="B711" s="49" t="n">
        <v>95042</v>
      </c>
      <c r="C711" s="51" t="inlineStr">
        <is>
          <t>Group20_Ttareungyi_2024-2025.csv.csv</t>
        </is>
      </c>
      <c r="D711" s="51" t="inlineStr">
        <is>
          <t>일치</t>
        </is>
      </c>
    </row>
    <row r="712">
      <c r="A712" s="51" t="inlineStr">
        <is>
          <t>2025-12-11</t>
        </is>
      </c>
      <c r="B712" s="49" t="n">
        <v>71945</v>
      </c>
      <c r="C712" s="51" t="inlineStr">
        <is>
          <t>Group20_Ttareungyi_2024-2025.csv.csv</t>
        </is>
      </c>
      <c r="D712" s="51" t="inlineStr">
        <is>
          <t>일치</t>
        </is>
      </c>
    </row>
    <row r="713">
      <c r="A713" s="51" t="inlineStr">
        <is>
          <t>2025-12-12</t>
        </is>
      </c>
      <c r="B713" s="49" t="n">
        <v>86950</v>
      </c>
      <c r="C713" s="51" t="inlineStr">
        <is>
          <t>Group20_Ttareungyi_2024-2025.csv.csv</t>
        </is>
      </c>
      <c r="D713" s="51" t="inlineStr">
        <is>
          <t>일치</t>
        </is>
      </c>
    </row>
    <row r="714">
      <c r="A714" s="51" t="inlineStr">
        <is>
          <t>2025-12-13</t>
        </is>
      </c>
      <c r="B714" s="49" t="n">
        <v>19152</v>
      </c>
      <c r="C714" s="51" t="inlineStr">
        <is>
          <t>Group20_Ttareungyi_2024-2025.csv.csv</t>
        </is>
      </c>
      <c r="D714" s="51" t="inlineStr">
        <is>
          <t>일치</t>
        </is>
      </c>
    </row>
    <row r="715">
      <c r="A715" s="51" t="inlineStr">
        <is>
          <t>2025-12-14</t>
        </is>
      </c>
      <c r="B715" s="49" t="n">
        <v>43136</v>
      </c>
      <c r="C715" s="51" t="inlineStr">
        <is>
          <t>Group20_Ttareungyi_2024-2025.csv.csv</t>
        </is>
      </c>
      <c r="D715" s="51" t="inlineStr">
        <is>
          <t>일치</t>
        </is>
      </c>
    </row>
    <row r="716">
      <c r="A716" s="51" t="inlineStr">
        <is>
          <t>2025-12-15</t>
        </is>
      </c>
      <c r="B716" s="49" t="n">
        <v>80403</v>
      </c>
      <c r="C716" s="51" t="inlineStr">
        <is>
          <t>Group20_Ttareungyi_2024-2025.csv.csv</t>
        </is>
      </c>
      <c r="D716" s="51" t="inlineStr">
        <is>
          <t>일치</t>
        </is>
      </c>
    </row>
    <row r="717">
      <c r="A717" s="51" t="inlineStr">
        <is>
          <t>2025-12-16</t>
        </is>
      </c>
      <c r="B717" s="49" t="n">
        <v>48592</v>
      </c>
      <c r="C717" s="51" t="inlineStr">
        <is>
          <t>Group20_Ttareungyi_2024-2025.csv.csv</t>
        </is>
      </c>
      <c r="D717" s="51" t="inlineStr">
        <is>
          <t>일치</t>
        </is>
      </c>
    </row>
    <row r="718">
      <c r="A718" s="51" t="inlineStr">
        <is>
          <t>2025-12-17</t>
        </is>
      </c>
      <c r="B718" s="49" t="n">
        <v>84960</v>
      </c>
      <c r="C718" s="51" t="inlineStr">
        <is>
          <t>Group20_Ttareungyi_2024-2025.csv.csv</t>
        </is>
      </c>
      <c r="D718" s="51" t="inlineStr">
        <is>
          <t>일치</t>
        </is>
      </c>
    </row>
    <row r="719">
      <c r="A719" s="51" t="inlineStr">
        <is>
          <t>2025-12-18</t>
        </is>
      </c>
      <c r="B719" s="49" t="n">
        <v>87556</v>
      </c>
      <c r="C719" s="51" t="inlineStr">
        <is>
          <t>Group20_Ttareungyi_2024-2025.csv.csv</t>
        </is>
      </c>
      <c r="D719" s="51" t="inlineStr">
        <is>
          <t>일치</t>
        </is>
      </c>
    </row>
    <row r="720">
      <c r="A720" s="51" t="inlineStr">
        <is>
          <t>2025-12-19</t>
        </is>
      </c>
      <c r="B720" s="49" t="n">
        <v>91581</v>
      </c>
      <c r="C720" s="51" t="inlineStr">
        <is>
          <t>Group20_Ttareungyi_2024-2025.csv.csv</t>
        </is>
      </c>
      <c r="D720" s="51" t="inlineStr">
        <is>
          <t>일치</t>
        </is>
      </c>
    </row>
    <row r="721">
      <c r="A721" s="51" t="inlineStr">
        <is>
          <t>2025-12-20</t>
        </is>
      </c>
      <c r="B721" s="49" t="n">
        <v>46467</v>
      </c>
      <c r="C721" s="51" t="inlineStr">
        <is>
          <t>Group20_Ttareungyi_2024-2025.csv.csv</t>
        </is>
      </c>
      <c r="D721" s="51" t="inlineStr">
        <is>
          <t>일치</t>
        </is>
      </c>
    </row>
    <row r="722">
      <c r="A722" s="51" t="inlineStr">
        <is>
          <t>2025-12-21</t>
        </is>
      </c>
      <c r="B722" s="49" t="n">
        <v>45073</v>
      </c>
      <c r="C722" s="51" t="inlineStr">
        <is>
          <t>Group20_Ttareungyi_2024-2025.csv.csv</t>
        </is>
      </c>
      <c r="D722" s="51" t="inlineStr">
        <is>
          <t>일치</t>
        </is>
      </c>
    </row>
    <row r="723">
      <c r="A723" s="51" t="inlineStr">
        <is>
          <t>2025-12-22</t>
        </is>
      </c>
      <c r="B723" s="49" t="n">
        <v>76797</v>
      </c>
      <c r="C723" s="51" t="inlineStr">
        <is>
          <t>Group20_Ttareungyi_2024-2025.csv.csv</t>
        </is>
      </c>
      <c r="D723" s="51" t="inlineStr">
        <is>
          <t>일치</t>
        </is>
      </c>
    </row>
    <row r="724">
      <c r="A724" s="51" t="inlineStr">
        <is>
          <t>2025-12-23</t>
        </is>
      </c>
      <c r="B724" s="49" t="n">
        <v>38687</v>
      </c>
      <c r="C724" s="51" t="inlineStr">
        <is>
          <t>Group20_Ttareungyi_2024-2025.csv.csv</t>
        </is>
      </c>
      <c r="D724" s="51" t="inlineStr">
        <is>
          <t>일치</t>
        </is>
      </c>
    </row>
    <row r="725">
      <c r="A725" s="51" t="inlineStr">
        <is>
          <t>2025-12-24</t>
        </is>
      </c>
      <c r="B725" s="49" t="n">
        <v>73410</v>
      </c>
      <c r="C725" s="51" t="inlineStr">
        <is>
          <t>Group20_Ttareungyi_2024-2025.csv.csv</t>
        </is>
      </c>
      <c r="D725" s="51" t="inlineStr">
        <is>
          <t>일치</t>
        </is>
      </c>
    </row>
    <row r="726">
      <c r="A726" s="51" t="inlineStr">
        <is>
          <t>2025-12-25</t>
        </is>
      </c>
      <c r="B726" s="49" t="n">
        <v>32281</v>
      </c>
      <c r="C726" s="51" t="inlineStr">
        <is>
          <t>Group20_Ttareungyi_2024-2025.csv.csv</t>
        </is>
      </c>
      <c r="D726" s="51" t="inlineStr">
        <is>
          <t>일치</t>
        </is>
      </c>
    </row>
    <row r="727">
      <c r="A727" s="51" t="inlineStr">
        <is>
          <t>2025-12-26</t>
        </is>
      </c>
      <c r="B727" s="49" t="n">
        <v>45681</v>
      </c>
      <c r="C727" s="51" t="inlineStr">
        <is>
          <t>Group20_Ttareungyi_2024-2025.csv.csv</t>
        </is>
      </c>
      <c r="D727" s="51" t="inlineStr">
        <is>
          <t>일치</t>
        </is>
      </c>
    </row>
    <row r="728">
      <c r="A728" s="51" t="inlineStr">
        <is>
          <t>2025-12-27</t>
        </is>
      </c>
      <c r="B728" s="49" t="n">
        <v>42381</v>
      </c>
      <c r="C728" s="51" t="inlineStr">
        <is>
          <t>Group20_Ttareungyi_2024-2025.csv.csv</t>
        </is>
      </c>
      <c r="D728" s="51" t="inlineStr">
        <is>
          <t>일치</t>
        </is>
      </c>
    </row>
    <row r="729">
      <c r="A729" s="51" t="inlineStr">
        <is>
          <t>2025-12-28</t>
        </is>
      </c>
      <c r="B729" s="49" t="n">
        <v>40774</v>
      </c>
      <c r="C729" s="51" t="inlineStr">
        <is>
          <t>Group20_Ttareungyi_2024-2025.csv.csv</t>
        </is>
      </c>
      <c r="D729" s="51" t="inlineStr">
        <is>
          <t>일치</t>
        </is>
      </c>
    </row>
    <row r="730">
      <c r="A730" s="51" t="inlineStr">
        <is>
          <t>2025-12-29</t>
        </is>
      </c>
      <c r="B730" s="49" t="n">
        <v>66651</v>
      </c>
      <c r="C730" s="51" t="inlineStr">
        <is>
          <t>Group20_Ttareungyi_2024-2025.csv.csv</t>
        </is>
      </c>
      <c r="D730" s="51" t="inlineStr">
        <is>
          <t>일치</t>
        </is>
      </c>
    </row>
    <row r="731">
      <c r="A731" s="51" t="inlineStr">
        <is>
          <t>2025-12-30</t>
        </is>
      </c>
      <c r="B731" s="49" t="n">
        <v>71025</v>
      </c>
      <c r="C731" s="51" t="inlineStr">
        <is>
          <t>Group20_Ttareungyi_2024-2025.csv.csv</t>
        </is>
      </c>
      <c r="D731" s="51" t="inlineStr">
        <is>
          <t>일치</t>
        </is>
      </c>
    </row>
    <row r="732">
      <c r="A732" s="51" t="inlineStr">
        <is>
          <t>2025-12-31</t>
        </is>
      </c>
      <c r="B732" s="49" t="n">
        <v>55569</v>
      </c>
      <c r="C732" s="51" t="inlineStr">
        <is>
          <t>Group20_Ttareungyi_2024-2025.csv.csv</t>
        </is>
      </c>
      <c r="D732" s="51" t="inlineStr">
        <is>
          <t>일치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30" customWidth="1" style="38" min="1" max="1"/>
    <col width="16" customWidth="1" style="38" min="2" max="2"/>
    <col width="42" customWidth="1" style="38" min="3" max="3"/>
    <col width="34" customWidth="1" style="38" min="4" max="4"/>
  </cols>
  <sheetData>
    <row r="1">
      <c r="A1" s="77" t="inlineStr">
        <is>
          <t>검증 항목</t>
        </is>
      </c>
      <c r="B1" s="77" t="inlineStr">
        <is>
          <t>결과</t>
        </is>
      </c>
      <c r="C1" s="77" t="inlineStr">
        <is>
          <t>해석</t>
        </is>
      </c>
      <c r="D1" s="77" t="inlineStr">
        <is>
          <t>비고</t>
        </is>
      </c>
    </row>
    <row r="2">
      <c r="A2" s="51" t="inlineStr">
        <is>
          <t>통합 행 수</t>
        </is>
      </c>
      <c r="B2" s="51" t="n">
        <v>731</v>
      </c>
      <c r="C2" s="51" t="inlineStr">
        <is>
          <t>2024-01-01 ~ 2025-12-31, 하루 1행</t>
        </is>
      </c>
      <c r="D2" s="51" t="inlineStr">
        <is>
          <t>기존 v1과 동일</t>
        </is>
      </c>
    </row>
    <row r="3">
      <c r="A3" s="51" t="inlineStr">
        <is>
          <t>날짜 중복</t>
        </is>
      </c>
      <c r="B3" s="51" t="n">
        <v>0</v>
      </c>
      <c r="C3" s="51" t="inlineStr">
        <is>
          <t>중복 날짜 없음</t>
        </is>
      </c>
      <c r="D3" s="51" t="inlineStr">
        <is>
          <t>4개 자료 모두 확인</t>
        </is>
      </c>
    </row>
    <row r="4">
      <c r="A4" s="51" t="inlineStr">
        <is>
          <t>날짜 누락</t>
        </is>
      </c>
      <c r="B4" s="51" t="n">
        <v>0</v>
      </c>
      <c r="C4" s="51" t="inlineStr">
        <is>
          <t>731일 날짜가 모든 자료에서 일치</t>
        </is>
      </c>
      <c r="D4" s="51" t="inlineStr">
        <is>
          <t>기존 통합/PM10/기상/Date 파일</t>
        </is>
      </c>
    </row>
    <row r="5">
      <c r="A5" s="51" t="inlineStr">
        <is>
          <t>기존 평균기온 vs 새 기상파일 불일치</t>
        </is>
      </c>
      <c r="B5" s="51" t="n">
        <v>0</v>
      </c>
      <c r="C5" s="51" t="inlineStr">
        <is>
          <t>전 날짜 값 일치</t>
        </is>
      </c>
      <c r="D5" s="51" t="inlineStr">
        <is>
          <t>새 기상파일 검증</t>
        </is>
      </c>
    </row>
    <row r="6">
      <c r="A6" s="51" t="inlineStr">
        <is>
          <t>기존 일강수량 vs 새 기상파일 불일치</t>
        </is>
      </c>
      <c r="B6" s="51" t="n">
        <v>0</v>
      </c>
      <c r="C6" s="51" t="inlineStr">
        <is>
          <t>전 날짜 원자료 값 일치</t>
        </is>
      </c>
      <c r="D6" s="51" t="inlineStr">
        <is>
          <t>공란 포함</t>
        </is>
      </c>
    </row>
    <row r="7">
      <c r="A7" s="51" t="inlineStr">
        <is>
          <t>기존 요일 vs Date 파일 불일치</t>
        </is>
      </c>
      <c r="B7" s="51" t="n">
        <v>0</v>
      </c>
      <c r="C7" s="51" t="inlineStr">
        <is>
          <t>전 날짜 값 일치</t>
        </is>
      </c>
      <c r="D7" s="51" t="n"/>
    </row>
    <row r="8">
      <c r="A8" s="51" t="inlineStr">
        <is>
          <t>기존 주중/주말 vs Date 파일 불일치</t>
        </is>
      </c>
      <c r="B8" s="51" t="n">
        <v>0</v>
      </c>
      <c r="C8" s="51" t="inlineStr">
        <is>
          <t>전 날짜 값 일치</t>
        </is>
      </c>
      <c r="D8" s="51" t="n"/>
    </row>
    <row r="9">
      <c r="A9" s="51" t="inlineStr">
        <is>
          <t>기존 계절 vs Date 파일 불일치</t>
        </is>
      </c>
      <c r="B9" s="51" t="n">
        <v>0</v>
      </c>
      <c r="C9" s="51" t="inlineStr">
        <is>
          <t>전 날짜 값 일치</t>
        </is>
      </c>
      <c r="D9" s="51" t="n"/>
    </row>
    <row r="10">
      <c r="A10" s="51" t="inlineStr">
        <is>
          <t>PM10 결측</t>
        </is>
      </c>
      <c r="B10" s="51" t="n">
        <v>0</v>
      </c>
      <c r="C10" s="51" t="inlineStr">
        <is>
          <t>일평균/분류/유효측정소수 모두 완전</t>
        </is>
      </c>
      <c r="D10" s="51" t="n"/>
    </row>
    <row r="11">
      <c r="A11" s="51" t="inlineStr">
        <is>
          <t>평균 풍속 결측</t>
        </is>
      </c>
      <c r="B11" s="51" t="n">
        <v>3</v>
      </c>
      <c r="C11" s="51" t="inlineStr">
        <is>
          <t>2024-03-11, 03-12, 03-14 공란 유지</t>
        </is>
      </c>
      <c r="D11" s="51" t="inlineStr">
        <is>
          <t>실제 결측으로 취급; 분석 시 제외/별도 처리</t>
        </is>
      </c>
    </row>
    <row r="12">
      <c r="A12" s="51" t="inlineStr">
        <is>
          <t>평균 상대습도 결측</t>
        </is>
      </c>
      <c r="B12" s="51" t="n">
        <v>0</v>
      </c>
      <c r="C12" s="51" t="inlineStr">
        <is>
          <t>완전</t>
        </is>
      </c>
      <c r="D12" s="51" t="n"/>
    </row>
    <row r="13">
      <c r="A13" s="51" t="inlineStr">
        <is>
          <t>원자료 적설 공란</t>
        </is>
      </c>
      <c r="B13" s="51" t="n">
        <v>696</v>
      </c>
      <c r="C13" s="51" t="inlineStr">
        <is>
          <t>snow_cm에서는 0으로 변환</t>
        </is>
      </c>
      <c r="D13" s="51" t="inlineStr">
        <is>
          <t>강수와 같은 규칙 적용 가정(Hypothesis)</t>
        </is>
      </c>
    </row>
    <row r="14">
      <c r="A14" s="51" t="inlineStr">
        <is>
          <t>원자료 강수 공란</t>
        </is>
      </c>
      <c r="B14" s="51" t="n">
        <v>411</v>
      </c>
      <c r="C14" s="51" t="inlineStr">
        <is>
          <t>rain_mm에서는 0으로 변환</t>
        </is>
      </c>
      <c r="D14" s="51" t="inlineStr">
        <is>
          <t>기상청 QnA 기준 공란 = 무강수</t>
        </is>
      </c>
    </row>
    <row r="15">
      <c r="A15" s="51" t="inlineStr">
        <is>
          <t>rain_day=1</t>
        </is>
      </c>
      <c r="B15" s="51" t="n">
        <v>227</v>
      </c>
      <c r="C15" s="51" t="inlineStr">
        <is>
          <t>rain_mm ≥ 0.1 mm인 날</t>
        </is>
      </c>
      <c r="D15" s="51" t="n"/>
    </row>
    <row r="16">
      <c r="A16" s="51" t="inlineStr">
        <is>
          <t>trace=1</t>
        </is>
      </c>
      <c r="B16" s="51" t="n">
        <v>93</v>
      </c>
      <c r="C16" s="51" t="inlineStr">
        <is>
          <t>원자료 일강수량이 0으로 기록된 날</t>
        </is>
      </c>
      <c r="D16" s="51" t="inlineStr">
        <is>
          <t>공란을 0 처리한 날과 구분</t>
        </is>
      </c>
    </row>
    <row r="17">
      <c r="A17" s="51" t="inlineStr">
        <is>
          <t>snow_cm &gt; 0</t>
        </is>
      </c>
      <c r="B17" s="51" t="n">
        <v>35</v>
      </c>
      <c r="C17" s="51" t="inlineStr">
        <is>
          <t>원자료에 적설값이 기록된 날</t>
        </is>
      </c>
      <c r="D17" s="51" t="inlineStr">
        <is>
          <t>그 외 공란은 0 처리</t>
        </is>
      </c>
    </row>
    <row r="18">
      <c r="A18" s="51" t="inlineStr">
        <is>
          <t>공휴일 더미=1</t>
        </is>
      </c>
      <c r="B18" s="51" t="n">
        <v>38</v>
      </c>
      <c r="C18" s="51" t="inlineStr">
        <is>
          <t>법정/대체/임시 공휴일로 표시된 날</t>
        </is>
      </c>
      <c r="D18" s="51" t="inlineStr">
        <is>
          <t>Date 파일 기준</t>
        </is>
      </c>
    </row>
    <row r="19">
      <c r="A19" s="51" t="inlineStr">
        <is>
          <t>주말 더미=1</t>
        </is>
      </c>
      <c r="B19" s="51" t="n">
        <v>208</v>
      </c>
      <c r="C19" s="51" t="inlineStr">
        <is>
          <t>토·일</t>
        </is>
      </c>
      <c r="D19" s="51" t="inlineStr">
        <is>
          <t>Date 파일 기준</t>
        </is>
      </c>
    </row>
    <row r="20">
      <c r="A20" s="51" t="inlineStr">
        <is>
          <t>Day_Off=1</t>
        </is>
      </c>
      <c r="B20" s="51" t="n">
        <v>241</v>
      </c>
      <c r="C20" s="51" t="inlineStr">
        <is>
          <t>주말 또는 공휴일</t>
        </is>
      </c>
      <c r="D20" s="51" t="inlineStr">
        <is>
          <t>OR(주말 더미, 공휴일 더미)</t>
        </is>
      </c>
    </row>
    <row r="21">
      <c r="A21" s="51" t="inlineStr">
        <is>
          <t>truncated_flag=1</t>
        </is>
      </c>
      <c r="B21" s="51" t="n">
        <v>1</v>
      </c>
      <c r="C21" s="51" t="inlineStr">
        <is>
          <t>2025-02-28 따릉이 원자료 절단 가능성 표시</t>
        </is>
      </c>
      <c r="D21" s="51" t="inlineStr">
        <is>
          <t>민감도 분석 시 제외 가능</t>
        </is>
      </c>
    </row>
    <row r="22">
      <c r="A22" s="51" t="inlineStr">
        <is>
          <t>PM10 Good</t>
        </is>
      </c>
      <c r="B22" s="51" t="n">
        <v>414</v>
      </c>
      <c r="C22" s="51" t="inlineStr">
        <is>
          <t>PM10 분류 일수</t>
        </is>
      </c>
      <c r="D22" s="51" t="n"/>
    </row>
    <row r="23">
      <c r="A23" s="51" t="inlineStr">
        <is>
          <t>PM10 Moderate</t>
        </is>
      </c>
      <c r="B23" s="51" t="n">
        <v>297</v>
      </c>
      <c r="C23" s="51" t="inlineStr">
        <is>
          <t>PM10 분류 일수</t>
        </is>
      </c>
      <c r="D23" s="51" t="n"/>
    </row>
    <row r="24">
      <c r="A24" s="51" t="inlineStr">
        <is>
          <t>PM10 Bad</t>
        </is>
      </c>
      <c r="B24" s="51" t="n">
        <v>19</v>
      </c>
      <c r="C24" s="51" t="inlineStr">
        <is>
          <t>PM10 분류 일수</t>
        </is>
      </c>
      <c r="D24" s="51" t="n"/>
    </row>
    <row r="25">
      <c r="A25" s="51" t="inlineStr">
        <is>
          <t>PM10 Very Bad</t>
        </is>
      </c>
      <c r="B25" s="51" t="n">
        <v>1</v>
      </c>
      <c r="C25" s="51" t="inlineStr">
        <is>
          <t>PM10 분류 일수</t>
        </is>
      </c>
      <c r="D25" s="51" t="n"/>
    </row>
    <row r="26">
      <c r="A26" s="51" t="inlineStr">
        <is>
          <t>PM10 주의보 새 발령</t>
        </is>
      </c>
      <c r="B26" s="51" t="n">
        <v>5</v>
      </c>
      <c r="C26" s="51" t="inlineStr">
        <is>
          <t>발령 플래그 합계</t>
        </is>
      </c>
      <c r="D26" s="51" t="n"/>
    </row>
    <row r="27">
      <c r="A27" s="51" t="inlineStr">
        <is>
          <t>PM10 경보 새 발령</t>
        </is>
      </c>
      <c r="B27" s="51" t="n">
        <v>1</v>
      </c>
      <c r="C27" s="51" t="inlineStr">
        <is>
          <t>발령 플래그 합계</t>
        </is>
      </c>
      <c r="D27" s="51" t="n"/>
    </row>
    <row r="28">
      <c r="A28" s="51" t="inlineStr">
        <is>
          <t>PM10 주의보 유효</t>
        </is>
      </c>
      <c r="B28" s="51" t="n">
        <v>7</v>
      </c>
      <c r="C28" s="51" t="inlineStr">
        <is>
          <t>유효 플래그 합계</t>
        </is>
      </c>
      <c r="D28" s="51" t="n"/>
    </row>
    <row r="29">
      <c r="A29" s="51" t="inlineStr">
        <is>
          <t>PM10 경보 유효</t>
        </is>
      </c>
      <c r="B29" s="51" t="n">
        <v>1</v>
      </c>
      <c r="C29" s="51" t="inlineStr">
        <is>
          <t>유효 플래그 합계</t>
        </is>
      </c>
      <c r="D29" s="51" t="n"/>
    </row>
    <row r="30">
      <c r="A30" s="51" t="inlineStr">
        <is>
          <t>근로자의날 처리</t>
        </is>
      </c>
      <c r="B30" s="51" t="inlineStr">
        <is>
          <t>공휴일 더미 0</t>
        </is>
      </c>
      <c r="C30" s="51" t="inlineStr">
        <is>
          <t>Holiday Name은 '근로자의날*'로 별도 표기</t>
        </is>
      </c>
      <c r="D30" s="51" t="inlineStr">
        <is>
          <t>법정 공휴일이 아니므로 Date 파일 원칙 유지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RowHeight="15"/>
  <cols>
    <col width="24" customWidth="1" style="38" min="1" max="1"/>
    <col width="36" customWidth="1" style="38" min="2" max="2"/>
    <col width="18" customWidth="1" style="38" min="3" max="3"/>
    <col width="28" customWidth="1" style="38" min="4" max="4"/>
    <col width="34" customWidth="1" style="38" min="5" max="5"/>
    <col width="42" customWidth="1" style="38" min="6" max="6"/>
  </cols>
  <sheetData>
    <row r="1">
      <c r="A1" s="82" t="inlineStr">
        <is>
          <t>열 이름</t>
        </is>
      </c>
      <c r="B1" s="82" t="inlineStr">
        <is>
          <t>의미</t>
        </is>
      </c>
      <c r="C1" s="82" t="inlineStr">
        <is>
          <t>형태/단위</t>
        </is>
      </c>
      <c r="D1" s="82" t="inlineStr">
        <is>
          <t>분석 역할 예시</t>
        </is>
      </c>
      <c r="E1" s="82" t="inlineStr">
        <is>
          <t>출처</t>
        </is>
      </c>
      <c r="F1" s="82" t="inlineStr">
        <is>
          <t>결측/주의사항</t>
        </is>
      </c>
    </row>
    <row r="2">
      <c r="A2" s="51" t="inlineStr">
        <is>
          <t>일시</t>
        </is>
      </c>
      <c r="B2" s="51" t="inlineStr">
        <is>
          <t>관측 날짜</t>
        </is>
      </c>
      <c r="C2" s="51" t="inlineStr">
        <is>
          <t>Date</t>
        </is>
      </c>
      <c r="D2" s="51" t="inlineStr">
        <is>
          <t>병합 키</t>
        </is>
      </c>
      <c r="E2" s="51" t="inlineStr">
        <is>
          <t>기존 통합파일</t>
        </is>
      </c>
      <c r="F2" s="51" t="inlineStr">
        <is>
          <t>2024-01-01~2025-12-31, 731일</t>
        </is>
      </c>
    </row>
    <row r="3">
      <c r="A3" s="51" t="inlineStr">
        <is>
          <t>따릉이 하루 총 이용건수</t>
        </is>
      </c>
      <c r="B3" s="51" t="inlineStr">
        <is>
          <t>서울시 일별 따릉이 이용건수</t>
        </is>
      </c>
      <c r="C3" s="51" t="inlineStr">
        <is>
          <t>Count</t>
        </is>
      </c>
      <c r="D3" s="51" t="inlineStr">
        <is>
          <t>Outcome (Y)</t>
        </is>
      </c>
      <c r="E3" s="51" t="inlineStr">
        <is>
          <t>기존 통합파일 / 서울 열린데이터광장</t>
        </is>
      </c>
      <c r="F3" s="51" t="inlineStr">
        <is>
          <t>2025-02-28 원자료 절단 가능성 메모는 기존 검증 시트 참조</t>
        </is>
      </c>
    </row>
    <row r="4">
      <c r="A4" s="51" t="inlineStr">
        <is>
          <t>서울 PM2.5 일평균 (㎍/㎥)</t>
        </is>
      </c>
      <c r="B4" s="51" t="inlineStr">
        <is>
          <t>서울 일별 PM2.5 평균</t>
        </is>
      </c>
      <c r="C4" s="51" t="inlineStr">
        <is>
          <t>Continuous, ㎍/㎥</t>
        </is>
      </c>
      <c r="D4" s="51" t="inlineStr">
        <is>
          <t>Predictor (X)</t>
        </is>
      </c>
      <c r="E4" s="51" t="inlineStr">
        <is>
          <t>기존 통합파일 / 서울 열린데이터광장</t>
        </is>
      </c>
      <c r="F4" s="51" t="inlineStr">
        <is>
          <t>결측 0</t>
        </is>
      </c>
    </row>
    <row r="5">
      <c r="A5" s="51" t="inlineStr">
        <is>
          <t>PM2.5 분류</t>
        </is>
      </c>
      <c r="B5" s="51" t="inlineStr">
        <is>
          <t>Good/Moderate/Bad/Very Bad</t>
        </is>
      </c>
      <c r="C5" s="51" t="inlineStr">
        <is>
          <t>Categorical</t>
        </is>
      </c>
      <c r="D5" s="51" t="inlineStr">
        <is>
          <t>그룹 비교용</t>
        </is>
      </c>
      <c r="E5" s="51" t="inlineStr">
        <is>
          <t>기존 통합파일</t>
        </is>
      </c>
      <c r="F5" s="51" t="inlineStr">
        <is>
          <t>Good ≤15; Moderate &gt;15~35; Bad &gt;35~75; Very Bad &gt;75</t>
        </is>
      </c>
    </row>
    <row r="6">
      <c r="A6" s="51" t="inlineStr">
        <is>
          <t>평균기온(°C)</t>
        </is>
      </c>
      <c r="B6" s="51" t="inlineStr">
        <is>
          <t>서울(108) 일평균 기온</t>
        </is>
      </c>
      <c r="C6" s="51" t="inlineStr">
        <is>
          <t>Continuous, °C</t>
        </is>
      </c>
      <c r="D6" s="51" t="inlineStr">
        <is>
          <t>Weather variable</t>
        </is>
      </c>
      <c r="E6" s="51" t="inlineStr">
        <is>
          <t>기상청 ASOS 서울(108)</t>
        </is>
      </c>
      <c r="F6" s="51" t="inlineStr">
        <is>
          <t>결측 0</t>
        </is>
      </c>
    </row>
    <row r="7">
      <c r="A7" s="51" t="inlineStr">
        <is>
          <t>일강수량(mm)</t>
        </is>
      </c>
      <c r="B7" s="51" t="inlineStr">
        <is>
          <t>서울(108) 일강수량</t>
        </is>
      </c>
      <c r="C7" s="51" t="inlineStr">
        <is>
          <t>Continuous, mm</t>
        </is>
      </c>
      <c r="D7" s="51" t="inlineStr">
        <is>
          <t>Weather variable</t>
        </is>
      </c>
      <c r="E7" s="51" t="inlineStr">
        <is>
          <t>기상청 ASOS 서울(108)</t>
        </is>
      </c>
      <c r="F7" s="51" t="inlineStr">
        <is>
          <t>원자료 공란 411일 유지; 분석용 rain_mm에서 QnA 기준 0 처리</t>
        </is>
      </c>
    </row>
    <row r="8">
      <c r="A8" s="51" t="inlineStr">
        <is>
          <t>요일</t>
        </is>
      </c>
      <c r="B8" s="51" t="inlineStr">
        <is>
          <t>요일</t>
        </is>
      </c>
      <c r="C8" s="51" t="inlineStr">
        <is>
          <t>Categorical</t>
        </is>
      </c>
      <c r="D8" s="51" t="inlineStr">
        <is>
          <t>Calendar variable</t>
        </is>
      </c>
      <c r="E8" s="51" t="inlineStr">
        <is>
          <t>Date_2024-2025.xlsx</t>
        </is>
      </c>
      <c r="F8" s="51" t="inlineStr">
        <is>
          <t>결측 0</t>
        </is>
      </c>
    </row>
    <row r="9">
      <c r="A9" s="51" t="inlineStr">
        <is>
          <t>주중/주말</t>
        </is>
      </c>
      <c r="B9" s="51" t="inlineStr">
        <is>
          <t>Weekday/Weekend</t>
        </is>
      </c>
      <c r="C9" s="51" t="inlineStr">
        <is>
          <t>Categorical</t>
        </is>
      </c>
      <c r="D9" s="51" t="inlineStr">
        <is>
          <t>Calendar variable</t>
        </is>
      </c>
      <c r="E9" s="51" t="inlineStr">
        <is>
          <t>Date_2024-2025.xlsx</t>
        </is>
      </c>
      <c r="F9" s="51" t="inlineStr">
        <is>
          <t>결측 0</t>
        </is>
      </c>
    </row>
    <row r="10">
      <c r="A10" s="51" t="inlineStr">
        <is>
          <t>계절</t>
        </is>
      </c>
      <c r="B10" s="51" t="inlineStr">
        <is>
          <t>Spring/Summer/Fall/Winter</t>
        </is>
      </c>
      <c r="C10" s="51" t="inlineStr">
        <is>
          <t>Categorical</t>
        </is>
      </c>
      <c r="D10" s="51" t="inlineStr">
        <is>
          <t>Seasonality</t>
        </is>
      </c>
      <c r="E10" s="51" t="inlineStr">
        <is>
          <t>Date_2024-2025.xlsx</t>
        </is>
      </c>
      <c r="F10" s="51" t="inlineStr">
        <is>
          <t>결측 0</t>
        </is>
      </c>
    </row>
    <row r="11">
      <c r="A11" s="51" t="inlineStr">
        <is>
          <t>PM2.5 유효측정소수</t>
        </is>
      </c>
      <c r="B11" s="51" t="inlineStr">
        <is>
          <t>PM2.5 일평균 계산에 사용된 측정소 수</t>
        </is>
      </c>
      <c r="C11" s="51" t="inlineStr">
        <is>
          <t>Count</t>
        </is>
      </c>
      <c r="D11" s="51" t="inlineStr">
        <is>
          <t>Data quality</t>
        </is>
      </c>
      <c r="E11" s="51" t="inlineStr">
        <is>
          <t>기존 PM2.5 자료</t>
        </is>
      </c>
      <c r="F11" s="51" t="inlineStr">
        <is>
          <t>결측 0</t>
        </is>
      </c>
    </row>
    <row r="12">
      <c r="A12" s="51" t="inlineStr">
        <is>
          <t>서울 PM10 일평균 (㎍/㎥)</t>
        </is>
      </c>
      <c r="B12" s="51" t="inlineStr">
        <is>
          <t>서울 일별 PM10 평균</t>
        </is>
      </c>
      <c r="C12" s="51" t="inlineStr">
        <is>
          <t>Continuous, ㎍/㎥</t>
        </is>
      </c>
      <c r="D12" s="51" t="inlineStr">
        <is>
          <t>Additional air-quality predictor</t>
        </is>
      </c>
      <c r="E12" s="51" t="inlineStr">
        <is>
          <t>서울_PM10_일평균_및_주의보경보_2024-2025.xlsx</t>
        </is>
      </c>
      <c r="F12" s="51" t="inlineStr">
        <is>
          <t>결측 0</t>
        </is>
      </c>
    </row>
    <row r="13">
      <c r="A13" s="51" t="inlineStr">
        <is>
          <t>PM10 분류</t>
        </is>
      </c>
      <c r="B13" s="51" t="inlineStr">
        <is>
          <t>PM10 대기질 분류</t>
        </is>
      </c>
      <c r="C13" s="51" t="inlineStr">
        <is>
          <t>Categorical</t>
        </is>
      </c>
      <c r="D13" s="51" t="inlineStr">
        <is>
          <t>Air-quality category</t>
        </is>
      </c>
      <c r="E13" s="51" t="inlineStr">
        <is>
          <t>동일 PM10 파일</t>
        </is>
      </c>
      <c r="F13" s="51" t="inlineStr">
        <is>
          <t>결측 0</t>
        </is>
      </c>
    </row>
    <row r="14">
      <c r="A14" s="51" t="inlineStr">
        <is>
          <t>PM10 유효측정소수</t>
        </is>
      </c>
      <c r="B14" s="51" t="inlineStr">
        <is>
          <t>PM10 일평균 계산에 사용된 측정소 수</t>
        </is>
      </c>
      <c r="C14" s="51" t="inlineStr">
        <is>
          <t>Count</t>
        </is>
      </c>
      <c r="D14" s="51" t="inlineStr">
        <is>
          <t>Data quality</t>
        </is>
      </c>
      <c r="E14" s="51" t="inlineStr">
        <is>
          <t>동일 PM10 파일</t>
        </is>
      </c>
      <c r="F14" s="51" t="inlineStr">
        <is>
          <t>결측 0</t>
        </is>
      </c>
    </row>
    <row r="15">
      <c r="A15" s="51" t="inlineStr">
        <is>
          <t>PM10 주의보 새 발령 (0/1)</t>
        </is>
      </c>
      <c r="B15" s="51" t="inlineStr">
        <is>
          <t>해당 날짜에 주의보가 새로 발령되었는지</t>
        </is>
      </c>
      <c r="C15" s="51" t="inlineStr">
        <is>
          <t>Dummy</t>
        </is>
      </c>
      <c r="D15" s="51" t="inlineStr">
        <is>
          <t>Event variable</t>
        </is>
      </c>
      <c r="E15" s="51" t="inlineStr">
        <is>
          <t>동일 PM10 파일</t>
        </is>
      </c>
      <c r="F15" s="51" t="inlineStr">
        <is>
          <t>0/1</t>
        </is>
      </c>
    </row>
    <row r="16">
      <c r="A16" s="51" t="inlineStr">
        <is>
          <t>PM10 경보 새 발령 (0/1)</t>
        </is>
      </c>
      <c r="B16" s="51" t="inlineStr">
        <is>
          <t>해당 날짜에 경보가 새로 발령되었는지</t>
        </is>
      </c>
      <c r="C16" s="51" t="inlineStr">
        <is>
          <t>Dummy</t>
        </is>
      </c>
      <c r="D16" s="51" t="inlineStr">
        <is>
          <t>Event variable</t>
        </is>
      </c>
      <c r="E16" s="51" t="inlineStr">
        <is>
          <t>동일 PM10 파일</t>
        </is>
      </c>
      <c r="F16" s="51" t="inlineStr">
        <is>
          <t>0/1</t>
        </is>
      </c>
    </row>
    <row r="17">
      <c r="A17" s="51" t="inlineStr">
        <is>
          <t>PM10 주의보 유효 (0/1)</t>
        </is>
      </c>
      <c r="B17" s="51" t="inlineStr">
        <is>
          <t>해당 날짜에 주의보가 유효했는지</t>
        </is>
      </c>
      <c r="C17" s="51" t="inlineStr">
        <is>
          <t>Dummy</t>
        </is>
      </c>
      <c r="D17" s="51" t="inlineStr">
        <is>
          <t>Event variable</t>
        </is>
      </c>
      <c r="E17" s="51" t="inlineStr">
        <is>
          <t>동일 PM10 파일</t>
        </is>
      </c>
      <c r="F17" s="51" t="inlineStr">
        <is>
          <t>0/1</t>
        </is>
      </c>
    </row>
    <row r="18">
      <c r="A18" s="51" t="inlineStr">
        <is>
          <t>PM10 경보 유효 (0/1)</t>
        </is>
      </c>
      <c r="B18" s="51" t="inlineStr">
        <is>
          <t>해당 날짜에 경보가 유효했는지</t>
        </is>
      </c>
      <c r="C18" s="51" t="inlineStr">
        <is>
          <t>Dummy</t>
        </is>
      </c>
      <c r="D18" s="51" t="inlineStr">
        <is>
          <t>Event variable</t>
        </is>
      </c>
      <c r="E18" s="51" t="inlineStr">
        <is>
          <t>동일 PM10 파일</t>
        </is>
      </c>
      <c r="F18" s="51" t="inlineStr">
        <is>
          <t>0/1</t>
        </is>
      </c>
    </row>
    <row r="19">
      <c r="A19" s="51" t="inlineStr">
        <is>
          <t>평균 풍속(m/s)</t>
        </is>
      </c>
      <c r="B19" s="51" t="inlineStr">
        <is>
          <t>서울(108) 일평균 풍속</t>
        </is>
      </c>
      <c r="C19" s="51" t="inlineStr">
        <is>
          <t>Continuous, m/s</t>
        </is>
      </c>
      <c r="D19" s="51" t="inlineStr">
        <is>
          <t>Weather variable</t>
        </is>
      </c>
      <c r="E19" s="51" t="inlineStr">
        <is>
          <t>기온·강수량·습도·풍속·적설.xlsx</t>
        </is>
      </c>
      <c r="F19" s="51" t="inlineStr">
        <is>
          <t>3일 실제 결측 유지: 2024-03-11, 03-12, 03-14</t>
        </is>
      </c>
    </row>
    <row r="20">
      <c r="A20" s="51" t="inlineStr">
        <is>
          <t>평균 상대습도(%)</t>
        </is>
      </c>
      <c r="B20" s="51" t="inlineStr">
        <is>
          <t>서울(108) 일평균 상대습도</t>
        </is>
      </c>
      <c r="C20" s="51" t="inlineStr">
        <is>
          <t>Continuous, %</t>
        </is>
      </c>
      <c r="D20" s="51" t="inlineStr">
        <is>
          <t>Weather variable</t>
        </is>
      </c>
      <c r="E20" s="51" t="inlineStr">
        <is>
          <t>동일 기상 파일</t>
        </is>
      </c>
      <c r="F20" s="51" t="inlineStr">
        <is>
          <t>결측 0</t>
        </is>
      </c>
    </row>
    <row r="21">
      <c r="A21" s="51" t="inlineStr">
        <is>
          <t>일 최심신적설(cm)</t>
        </is>
      </c>
      <c r="B21" s="51" t="inlineStr">
        <is>
          <t>하루 중 새로 쌓인 눈의 최대 깊이</t>
        </is>
      </c>
      <c r="C21" s="51" t="inlineStr">
        <is>
          <t>Continuous, cm</t>
        </is>
      </c>
      <c r="D21" s="51" t="inlineStr">
        <is>
          <t>Weather variable</t>
        </is>
      </c>
      <c r="E21" s="51" t="inlineStr">
        <is>
          <t>동일 기상 파일</t>
        </is>
      </c>
      <c r="F21" s="51" t="inlineStr">
        <is>
          <t>원자료 공란 696일 유지; 분석용 snow_cm에서 0 처리(강수와 같은 규칙 적용 가정)</t>
        </is>
      </c>
    </row>
    <row r="22">
      <c r="A22" s="51" t="inlineStr">
        <is>
          <t>주말 더미 (0=평일,1=주말)</t>
        </is>
      </c>
      <c r="B22" s="51" t="inlineStr">
        <is>
          <t>평일/주말 이진 변수</t>
        </is>
      </c>
      <c r="C22" s="51" t="inlineStr">
        <is>
          <t>Dummy</t>
        </is>
      </c>
      <c r="D22" s="51" t="inlineStr">
        <is>
          <t>Regression-ready calendar variable</t>
        </is>
      </c>
      <c r="E22" s="51" t="inlineStr">
        <is>
          <t>Date_2024-2025.xlsx Dummy-coded</t>
        </is>
      </c>
      <c r="F22" s="51" t="inlineStr">
        <is>
          <t>0=Weekday, 1=Weekend</t>
        </is>
      </c>
    </row>
    <row r="23">
      <c r="A23" s="51" t="inlineStr">
        <is>
          <t>공휴일 더미 (0=아님,1=공휴일)</t>
        </is>
      </c>
      <c r="B23" s="51" t="inlineStr">
        <is>
          <t>공휴일 여부 이진 변수</t>
        </is>
      </c>
      <c r="C23" s="51" t="inlineStr">
        <is>
          <t>Dummy</t>
        </is>
      </c>
      <c r="D23" s="51" t="inlineStr">
        <is>
          <t>Regression-ready calendar variable</t>
        </is>
      </c>
      <c r="E23" s="51" t="inlineStr">
        <is>
          <t>Date_2024-2025.xlsx Dummy-coded</t>
        </is>
      </c>
      <c r="F23" s="51" t="inlineStr">
        <is>
          <t>근로자의날은 0으로 유지</t>
        </is>
      </c>
    </row>
    <row r="24">
      <c r="A24" s="51" t="inlineStr">
        <is>
          <t>공휴일명</t>
        </is>
      </c>
      <c r="B24" s="51" t="inlineStr">
        <is>
          <t>해당 날짜의 공휴일/특별일 이름</t>
        </is>
      </c>
      <c r="C24" s="51" t="inlineStr">
        <is>
          <t>Text</t>
        </is>
      </c>
      <c r="D24" s="51" t="inlineStr">
        <is>
          <t>Interpretation</t>
        </is>
      </c>
      <c r="E24" s="51" t="inlineStr">
        <is>
          <t>Date_2024-2025.xlsx</t>
        </is>
      </c>
      <c r="F24" s="51" t="inlineStr">
        <is>
          <t>비공휴일은 공란; 근로자의날*은 이름만 표기</t>
        </is>
      </c>
    </row>
    <row r="25">
      <c r="A25" s="51" t="inlineStr">
        <is>
          <t>월</t>
        </is>
      </c>
      <c r="B25" s="51" t="inlineStr">
        <is>
          <t>Jan~Dec</t>
        </is>
      </c>
      <c r="C25" s="51" t="inlineStr">
        <is>
          <t>Categorical</t>
        </is>
      </c>
      <c r="D25" s="51" t="inlineStr">
        <is>
          <t>Seasonality</t>
        </is>
      </c>
      <c r="E25" s="51" t="inlineStr">
        <is>
          <t>Date_2024-2025.xlsx</t>
        </is>
      </c>
      <c r="F25" s="51" t="inlineStr">
        <is>
          <t>결측 0</t>
        </is>
      </c>
    </row>
    <row r="26">
      <c r="A26" s="51" t="inlineStr">
        <is>
          <t>연도</t>
        </is>
      </c>
      <c r="B26" s="51" t="inlineStr">
        <is>
          <t>2024/2025</t>
        </is>
      </c>
      <c r="C26" s="51" t="inlineStr">
        <is>
          <t>Categorical/Integer</t>
        </is>
      </c>
      <c r="D26" s="51" t="inlineStr">
        <is>
          <t>Year control / split</t>
        </is>
      </c>
      <c r="E26" s="51" t="inlineStr">
        <is>
          <t>Date_2024-2025.xlsx</t>
        </is>
      </c>
      <c r="F26" s="51" t="inlineStr">
        <is>
          <t>2024=366일, 2025=365일</t>
        </is>
      </c>
    </row>
    <row r="27">
      <c r="A27" s="51" t="inlineStr">
        <is>
          <t>rain_mm</t>
        </is>
      </c>
      <c r="B27" s="51" t="inlineStr">
        <is>
          <t>분석용 강수량: 원자료 공란을 무강수로 보고 0 처리</t>
        </is>
      </c>
      <c r="C27" s="51" t="inlineStr">
        <is>
          <t>Continuous, mm</t>
        </is>
      </c>
      <c r="D27" s="51" t="inlineStr">
        <is>
          <t>Weather variable / regression-ready</t>
        </is>
      </c>
      <c r="E27" s="51" t="inlineStr">
        <is>
          <t>기상청 ASOS 서울(108) + 기상청 QnA 처리기준</t>
        </is>
      </c>
      <c r="F27" s="51" t="inlineStr">
        <is>
          <t>공란 411일→0; 원자료 값은 일강수량(mm)에 보존</t>
        </is>
      </c>
    </row>
    <row r="28">
      <c r="A28" s="51" t="inlineStr">
        <is>
          <t>rain_day</t>
        </is>
      </c>
      <c r="B28" s="51" t="inlineStr">
        <is>
          <t>강수일 여부: rain_mm가 0.1mm 이상이면 1</t>
        </is>
      </c>
      <c r="C28" s="51" t="inlineStr">
        <is>
          <t>Dummy</t>
        </is>
      </c>
      <c r="D28" s="51" t="inlineStr">
        <is>
          <t>Rain-event variable</t>
        </is>
      </c>
      <c r="E28" s="51" t="inlineStr">
        <is>
          <t>rain_mm에서 파생</t>
        </is>
      </c>
      <c r="F28" s="51" t="inlineStr">
        <is>
          <t>1인 날 227일</t>
        </is>
      </c>
    </row>
    <row r="29">
      <c r="A29" s="51" t="inlineStr">
        <is>
          <t>trace</t>
        </is>
      </c>
      <c r="B29" s="51" t="inlineStr">
        <is>
          <t>원자료 일강수량이 정확히 0으로 기록된 날</t>
        </is>
      </c>
      <c r="C29" s="51" t="inlineStr">
        <is>
          <t>Dummy</t>
        </is>
      </c>
      <c r="D29" s="51" t="inlineStr">
        <is>
          <t>Raw-zero indicator</t>
        </is>
      </c>
      <c r="E29" s="51" t="inlineStr">
        <is>
          <t>일강수량(mm)에서 파생</t>
        </is>
      </c>
      <c r="F29" s="51" t="inlineStr">
        <is>
          <t>1인 날 93일; 원자료 공란→0 처리한 날과 구분</t>
        </is>
      </c>
    </row>
    <row r="30">
      <c r="A30" s="51" t="inlineStr">
        <is>
          <t>snow_cm</t>
        </is>
      </c>
      <c r="B30" s="51" t="inlineStr">
        <is>
          <t>분석용 적설량: 원자료 공란을 0으로 처리</t>
        </is>
      </c>
      <c r="C30" s="51" t="inlineStr">
        <is>
          <t>Continuous, cm</t>
        </is>
      </c>
      <c r="D30" s="51" t="inlineStr">
        <is>
          <t>Snow variable / regression-ready</t>
        </is>
      </c>
      <c r="E30" s="51" t="inlineStr">
        <is>
          <t>일 최심신적설(cm)에서 파생</t>
        </is>
      </c>
      <c r="F30" s="51" t="inlineStr">
        <is>
          <t>공란 696일→0; 강수와 같은 규칙 적용 가정(Hypothesis)</t>
        </is>
      </c>
    </row>
    <row r="31">
      <c r="A31" s="51" t="inlineStr">
        <is>
          <t>Day_Off</t>
        </is>
      </c>
      <c r="B31" s="51" t="inlineStr">
        <is>
          <t>주말 또는 공휴일 여부</t>
        </is>
      </c>
      <c r="C31" s="51" t="inlineStr">
        <is>
          <t>Dummy</t>
        </is>
      </c>
      <c r="D31" s="51" t="inlineStr">
        <is>
          <t>Calendar variable / regression-ready</t>
        </is>
      </c>
      <c r="E31" s="51" t="inlineStr">
        <is>
          <t>주말 더미·공휴일 더미에서 파생</t>
        </is>
      </c>
      <c r="F31" s="51" t="inlineStr">
        <is>
          <t>1인 날 241일</t>
        </is>
      </c>
    </row>
    <row r="32">
      <c r="A32" s="51" t="inlineStr">
        <is>
          <t>truncated_flag</t>
        </is>
      </c>
      <c r="B32" s="51" t="inlineStr">
        <is>
          <t>따릉이 원자료 절단 가능성 표시</t>
        </is>
      </c>
      <c r="C32" s="51" t="inlineStr">
        <is>
          <t>Dummy</t>
        </is>
      </c>
      <c r="D32" s="51" t="inlineStr">
        <is>
          <t>Data-quality / sensitivity analysis</t>
        </is>
      </c>
      <c r="E32" s="51" t="inlineStr">
        <is>
          <t>기존 따릉이 검증 메모</t>
        </is>
      </c>
      <c r="F32" s="51" t="inlineStr">
        <is>
          <t>2025-02-28만 1; 그 외 0</t>
        </is>
      </c>
    </row>
    <row r="33">
      <c r="A33" s="51" t="inlineStr">
        <is>
          <t>한강500_대여</t>
        </is>
      </c>
      <c r="B33" s="51" t="inlineStr">
        <is>
          <t>한강 본류 500m 이내 분류 대여소의 일별 이용건수 합</t>
        </is>
      </c>
      <c r="C33" s="51" t="inlineStr">
        <is>
          <t>Count</t>
        </is>
      </c>
      <c r="D33" s="51" t="inlineStr">
        <is>
          <t>Primary outcome component</t>
        </is>
      </c>
      <c r="E33" s="51" t="inlineStr">
        <is>
          <t>station_2024/2025_daily + stations_union_2312_2512_hangang.csv</t>
        </is>
      </c>
      <c r="F33" s="51" t="inlineStr">
        <is>
          <t>대여소 위치분류 기준 사전 고정; 위치미상 제외</t>
        </is>
      </c>
    </row>
    <row r="34">
      <c r="A34" s="51" t="inlineStr">
        <is>
          <t>그외500_대여</t>
        </is>
      </c>
      <c r="B34" s="51" t="inlineStr">
        <is>
          <t>위치 확인 대여소 중 한강 본류 500m 밖의 일별 이용건수 합</t>
        </is>
      </c>
      <c r="C34" s="51" t="inlineStr">
        <is>
          <t>Count</t>
        </is>
      </c>
      <c r="D34" s="51" t="inlineStr">
        <is>
          <t>Primary outcome component</t>
        </is>
      </c>
      <c r="E34" s="51" t="inlineStr">
        <is>
          <t>동일</t>
        </is>
      </c>
      <c r="F34" s="51" t="inlineStr">
        <is>
          <t>한강500 + 그외500 + 위치미상 = station_daily 일별 합</t>
        </is>
      </c>
    </row>
    <row r="35">
      <c r="A35" s="51" t="inlineStr">
        <is>
          <t>위치미상_대여</t>
        </is>
      </c>
      <c r="B35" s="51" t="inlineStr">
        <is>
          <t>한강 분류 파일에서 위치를 찾지 못한 대여소 이용건수</t>
        </is>
      </c>
      <c r="C35" s="51" t="inlineStr">
        <is>
          <t>Count</t>
        </is>
      </c>
      <c r="D35" s="51" t="inlineStr">
        <is>
          <t>Data quality</t>
        </is>
      </c>
      <c r="E35" s="51" t="inlineStr">
        <is>
          <t>station_daily vs station union</t>
        </is>
      </c>
      <c r="F35" s="51" t="inlineStr">
        <is>
          <t>R500/R1km에서 제외</t>
        </is>
      </c>
    </row>
    <row r="36">
      <c r="A36" s="51" t="inlineStr">
        <is>
          <t>R500</t>
        </is>
      </c>
      <c r="B36" s="51" t="inlineStr">
        <is>
          <t>ln(한강500_대여) - ln(그외500_대여)</t>
        </is>
      </c>
      <c r="C36" s="51" t="inlineStr">
        <is>
          <t>Log ratio</t>
        </is>
      </c>
      <c r="D36" s="51" t="inlineStr">
        <is>
          <t>Primary DML outcome</t>
        </is>
      </c>
      <c r="E36" s="51" t="inlineStr">
        <is>
          <t>파생</t>
        </is>
      </c>
      <c r="F36" s="51" t="inlineStr">
        <is>
          <t>값이 클수록 한강500 이용이 상대적으로 큼</t>
        </is>
      </c>
    </row>
    <row r="37">
      <c r="A37" s="51" t="inlineStr">
        <is>
          <t>한강1km_대여</t>
        </is>
      </c>
      <c r="B37" s="51" t="inlineStr">
        <is>
          <t>한강 본류 1km 이내 대여소 이용건수</t>
        </is>
      </c>
      <c r="C37" s="51" t="inlineStr">
        <is>
          <t>Count</t>
        </is>
      </c>
      <c r="D37" s="51" t="inlineStr">
        <is>
          <t>Robustness component</t>
        </is>
      </c>
      <c r="E37" s="51" t="inlineStr">
        <is>
          <t>station_daily + hangang classification</t>
        </is>
      </c>
      <c r="F37" s="51" t="inlineStr">
        <is>
          <t>위치미상 제외</t>
        </is>
      </c>
    </row>
    <row r="38">
      <c r="A38" s="51" t="inlineStr">
        <is>
          <t>그외1km_대여</t>
        </is>
      </c>
      <c r="B38" s="51" t="inlineStr">
        <is>
          <t>위치 확인 대여소 중 한강 본류 1km 밖 이용건수</t>
        </is>
      </c>
      <c r="C38" s="51" t="inlineStr">
        <is>
          <t>Count</t>
        </is>
      </c>
      <c r="D38" s="51" t="inlineStr">
        <is>
          <t>Robustness component</t>
        </is>
      </c>
      <c r="E38" s="51" t="inlineStr">
        <is>
          <t>동일</t>
        </is>
      </c>
      <c r="F38" s="51" t="inlineStr">
        <is>
          <t>위치미상 제외</t>
        </is>
      </c>
    </row>
    <row r="39">
      <c r="A39" s="51" t="inlineStr">
        <is>
          <t>R1km</t>
        </is>
      </c>
      <c r="B39" s="51" t="inlineStr">
        <is>
          <t>ln(한강1km_대여) - ln(그외1km_대여)</t>
        </is>
      </c>
      <c r="C39" s="51" t="inlineStr">
        <is>
          <t>Log ratio</t>
        </is>
      </c>
      <c r="D39" s="51" t="inlineStr">
        <is>
          <t>Robustness outcome</t>
        </is>
      </c>
      <c r="E39" s="51" t="inlineStr">
        <is>
          <t>파생</t>
        </is>
      </c>
      <c r="F39" s="51" t="inlineStr">
        <is>
          <t>500m 기준 민감도 확인</t>
        </is>
      </c>
    </row>
    <row r="40">
      <c r="A40" s="51" t="inlineStr">
        <is>
          <t>한강500_panel_대여</t>
        </is>
      </c>
      <c r="B40" s="51" t="inlineStr">
        <is>
          <t>panel_all5=1 대여소 중 한강500 이용건수</t>
        </is>
      </c>
      <c r="C40" s="51" t="inlineStr">
        <is>
          <t>Count</t>
        </is>
      </c>
      <c r="D40" s="51" t="inlineStr">
        <is>
          <t>Panel component</t>
        </is>
      </c>
      <c r="E40" s="51" t="inlineStr">
        <is>
          <t>station_daily + hangang classification</t>
        </is>
      </c>
      <c r="F40" s="51" t="inlineStr">
        <is>
          <t>2년 내내 관측 가능한 대여소만</t>
        </is>
      </c>
    </row>
    <row r="41">
      <c r="A41" s="51" t="inlineStr">
        <is>
          <t>그외500_panel_대여</t>
        </is>
      </c>
      <c r="B41" s="51" t="inlineStr">
        <is>
          <t>panel_all5=1 대여소 중 한강500 밖 이용건수</t>
        </is>
      </c>
      <c r="C41" s="51" t="inlineStr">
        <is>
          <t>Count</t>
        </is>
      </c>
      <c r="D41" s="51" t="inlineStr">
        <is>
          <t>Panel component</t>
        </is>
      </c>
      <c r="E41" s="51" t="inlineStr">
        <is>
          <t>동일</t>
        </is>
      </c>
      <c r="F41" s="51" t="inlineStr">
        <is>
          <t>비패널·위치미상 제외</t>
        </is>
      </c>
    </row>
    <row r="42">
      <c r="A42" s="51" t="inlineStr">
        <is>
          <t>R500_panel</t>
        </is>
      </c>
      <c r="B42" s="51" t="inlineStr">
        <is>
          <t>ln(한강500_panel_대여)-ln(그외500_panel_대여)</t>
        </is>
      </c>
      <c r="C42" s="51" t="inlineStr">
        <is>
          <t>Log ratio</t>
        </is>
      </c>
      <c r="D42" s="51" t="inlineStr">
        <is>
          <t>Panel robustness outcome</t>
        </is>
      </c>
      <c r="E42" s="51" t="inlineStr">
        <is>
          <t>파생</t>
        </is>
      </c>
      <c r="F42" s="51" t="inlineStr">
        <is>
          <t>대여소 진입·퇴출 영향 완화</t>
        </is>
      </c>
    </row>
    <row r="43">
      <c r="A43" s="51" t="inlineStr">
        <is>
          <t>한강500_noTrib_대여</t>
        </is>
      </c>
      <c r="B43" s="51" t="inlineStr">
        <is>
          <t>지류 근처 5개 대여소를 제외한 한강500 이용건수</t>
        </is>
      </c>
      <c r="C43" s="51" t="inlineStr">
        <is>
          <t>Count</t>
        </is>
      </c>
      <c r="D43" s="51" t="inlineStr">
        <is>
          <t>Sensitivity component</t>
        </is>
      </c>
      <c r="E43" s="51" t="inlineStr">
        <is>
          <t>station_daily + hangang classification</t>
        </is>
      </c>
      <c r="F43" s="51" t="inlineStr">
        <is>
          <t>제외: 227, 556, 3550, 3761, 3794</t>
        </is>
      </c>
    </row>
    <row r="44">
      <c r="A44" s="51" t="inlineStr">
        <is>
          <t>그외500_noTrib_대여</t>
        </is>
      </c>
      <c r="B44" s="51" t="inlineStr">
        <is>
          <t>같은 5개를 제외한 한강500 밖 이용건수</t>
        </is>
      </c>
      <c r="C44" s="51" t="inlineStr">
        <is>
          <t>Count</t>
        </is>
      </c>
      <c r="D44" s="51" t="inlineStr">
        <is>
          <t>Sensitivity component</t>
        </is>
      </c>
      <c r="E44" s="51" t="inlineStr">
        <is>
          <t>동일</t>
        </is>
      </c>
      <c r="F44" s="51" t="inlineStr">
        <is>
          <t>5개 대여소 완전 제외</t>
        </is>
      </c>
    </row>
    <row r="45">
      <c r="A45" s="51" t="inlineStr">
        <is>
          <t>R500_noTrib</t>
        </is>
      </c>
      <c r="B45" s="51" t="inlineStr">
        <is>
          <t>ln(한강500_noTrib_대여)-ln(그외500_noTrib_대여)</t>
        </is>
      </c>
      <c r="C45" s="51" t="inlineStr">
        <is>
          <t>Log ratio</t>
        </is>
      </c>
      <c r="D45" s="51" t="inlineStr">
        <is>
          <t>Sensitivity outcome</t>
        </is>
      </c>
      <c r="E45" s="51" t="inlineStr">
        <is>
          <t>파생</t>
        </is>
      </c>
      <c r="F45" s="51" t="inlineStr">
        <is>
          <t>지류 인접 분류 영향 확인</t>
        </is>
      </c>
    </row>
    <row r="46">
      <c r="A46" s="51" t="inlineStr">
        <is>
          <t>왕복</t>
        </is>
      </c>
      <c r="B46" s="51" t="inlineStr">
        <is>
          <t>대여 대여소와 반납 대여소가 같은 이용 건수</t>
        </is>
      </c>
      <c r="C46" s="51" t="inlineStr">
        <is>
          <t>Count</t>
        </is>
      </c>
      <c r="D46" s="51" t="inlineStr">
        <is>
          <t>Secondary outcome component</t>
        </is>
      </c>
      <c r="E46" s="51" t="inlineStr">
        <is>
          <t>OA-15182 → make_roundtrip_daily.py</t>
        </is>
      </c>
      <c r="F46" s="51" t="inlineStr">
        <is>
          <t>같은 곳 반납 2분 이하는 제외</t>
        </is>
      </c>
    </row>
    <row r="47">
      <c r="A47" s="51" t="inlineStr">
        <is>
          <t>편도</t>
        </is>
      </c>
      <c r="B47" s="51" t="inlineStr">
        <is>
          <t>대여·반납 대여소가 다른 이용 건수</t>
        </is>
      </c>
      <c r="C47" s="51" t="inlineStr">
        <is>
          <t>Count</t>
        </is>
      </c>
      <c r="D47" s="51" t="inlineStr">
        <is>
          <t>Secondary outcome component</t>
        </is>
      </c>
      <c r="E47" s="51" t="inlineStr">
        <is>
          <t>동일</t>
        </is>
      </c>
      <c r="F47" s="51" t="inlineStr">
        <is>
          <t>대여/반납 station 누락 건 제외</t>
        </is>
      </c>
    </row>
    <row r="48">
      <c r="A48" s="51" t="inlineStr">
        <is>
          <t>왕복집계_제외</t>
        </is>
      </c>
      <c r="B48" s="51" t="inlineStr">
        <is>
          <t>2분 이하 동일대여소 반납 또는 station 누락 건수</t>
        </is>
      </c>
      <c r="C48" s="51" t="inlineStr">
        <is>
          <t>Count</t>
        </is>
      </c>
      <c r="D48" s="51" t="inlineStr">
        <is>
          <t>Quality check</t>
        </is>
      </c>
      <c r="E48" s="51" t="inlineStr">
        <is>
          <t>동일</t>
        </is>
      </c>
      <c r="F48" s="51" t="inlineStr">
        <is>
          <t>왕복·편도에서 제외</t>
        </is>
      </c>
    </row>
    <row r="49">
      <c r="A49" s="51" t="inlineStr">
        <is>
          <t>한강500_왕복</t>
        </is>
      </c>
      <c r="B49" s="51" t="inlineStr">
        <is>
          <t>한강500 대여소에서 출발한 왕복 이용 건수</t>
        </is>
      </c>
      <c r="C49" s="51" t="inlineStr">
        <is>
          <t>Count</t>
        </is>
      </c>
      <c r="D49" s="51" t="inlineStr">
        <is>
          <t>Exploratory</t>
        </is>
      </c>
      <c r="E49" s="51" t="inlineStr">
        <is>
          <t>roundtrip_daily.csv</t>
        </is>
      </c>
      <c r="F49" s="51" t="inlineStr">
        <is>
          <t>출발 대여소 기준</t>
        </is>
      </c>
    </row>
    <row r="50">
      <c r="A50" s="51" t="inlineStr">
        <is>
          <t>한강500_편도</t>
        </is>
      </c>
      <c r="B50" s="51" t="inlineStr">
        <is>
          <t>한강500 대여소에서 출발한 편도 이용 건수</t>
        </is>
      </c>
      <c r="C50" s="51" t="inlineStr">
        <is>
          <t>Count</t>
        </is>
      </c>
      <c r="D50" s="51" t="inlineStr">
        <is>
          <t>Exploratory</t>
        </is>
      </c>
      <c r="E50" s="51" t="inlineStr">
        <is>
          <t>roundtrip_daily.csv</t>
        </is>
      </c>
      <c r="F50" s="51" t="inlineStr">
        <is>
          <t>출발 대여소 기준</t>
        </is>
      </c>
    </row>
    <row r="51">
      <c r="A51" s="51" t="inlineStr">
        <is>
          <t>R2</t>
        </is>
      </c>
      <c r="B51" s="51" t="inlineStr">
        <is>
          <t>ln(왕복) - ln(편도)</t>
        </is>
      </c>
      <c r="C51" s="51" t="inlineStr">
        <is>
          <t>Log ratio</t>
        </is>
      </c>
      <c r="D51" s="51" t="inlineStr">
        <is>
          <t>Secondary DML outcome</t>
        </is>
      </c>
      <c r="E51" s="51" t="inlineStr">
        <is>
          <t>파생</t>
        </is>
      </c>
      <c r="F51" s="51" t="inlineStr">
        <is>
          <t>값이 클수록 왕복 이용이 상대적으로 큼</t>
        </is>
      </c>
    </row>
    <row r="52">
      <c r="A52" s="51" t="inlineStr">
        <is>
          <t>합계 일조시간(hr)</t>
        </is>
      </c>
      <c r="B52" s="51" t="inlineStr">
        <is>
          <t>서울(108) 일별 합계 일조시간</t>
        </is>
      </c>
      <c r="C52" s="51" t="inlineStr">
        <is>
          <t>Continuous, hr</t>
        </is>
      </c>
      <c r="D52" s="51" t="inlineStr">
        <is>
          <t>Weather control</t>
        </is>
      </c>
      <c r="E52" s="51" t="inlineStr">
        <is>
          <t>기상자료개방포털 ASOS 서울(108)</t>
        </is>
      </c>
      <c r="F52" s="51" t="inlineStr">
        <is>
          <t>공란 4일 유지: 2024-03-11, 03-14, 11-16, 2025-09-13</t>
        </is>
      </c>
    </row>
    <row r="53">
      <c r="A53" s="51" t="inlineStr">
        <is>
          <t>합계 일사량(MJ/m2)</t>
        </is>
      </c>
      <c r="B53" s="51" t="inlineStr">
        <is>
          <t>서울(108) 일별 합계 일사량</t>
        </is>
      </c>
      <c r="C53" s="51" t="inlineStr">
        <is>
          <t>Continuous, MJ/m²</t>
        </is>
      </c>
      <c r="D53" s="51" t="inlineStr">
        <is>
          <t>Weather control</t>
        </is>
      </c>
      <c r="E53" s="51" t="inlineStr">
        <is>
          <t>기상자료개방포털 ASOS 서울(108)</t>
        </is>
      </c>
      <c r="F53" s="51" t="inlineStr">
        <is>
          <t>공란 4일 유지</t>
        </is>
      </c>
    </row>
    <row r="54">
      <c r="A54" s="51" t="inlineStr">
        <is>
          <t>평균 전운량(1/10)</t>
        </is>
      </c>
      <c r="B54" s="51" t="inlineStr">
        <is>
          <t>서울(108) 일평균 전운량</t>
        </is>
      </c>
      <c r="C54" s="51" t="inlineStr">
        <is>
          <t>Continuous, 1/10</t>
        </is>
      </c>
      <c r="D54" s="51" t="inlineStr">
        <is>
          <t>Weather control</t>
        </is>
      </c>
      <c r="E54" s="51" t="inlineStr">
        <is>
          <t>기상자료개방포털 ASOS 서울(108)</t>
        </is>
      </c>
      <c r="F54" s="51" t="inlineStr">
        <is>
          <t>원자료 값 유지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1" customWidth="1" style="38" min="1" max="1"/>
    <col width="23" customWidth="1" style="38" min="2" max="2"/>
    <col width="58" customWidth="1" style="38" min="3" max="3"/>
    <col width="12" customWidth="1" style="38" min="4" max="4"/>
  </cols>
  <sheetData>
    <row r="1">
      <c r="A1" s="81" t="inlineStr">
        <is>
          <t>검증 항목</t>
        </is>
      </c>
      <c r="B1" s="81" t="inlineStr">
        <is>
          <t>결과</t>
        </is>
      </c>
      <c r="C1" s="81" t="inlineStr">
        <is>
          <t>세부</t>
        </is>
      </c>
      <c r="D1" s="81" t="inlineStr">
        <is>
          <t>판정</t>
        </is>
      </c>
    </row>
    <row r="2">
      <c r="A2" s="51" t="inlineStr">
        <is>
          <t>기준 기간</t>
        </is>
      </c>
      <c r="B2" s="51" t="inlineStr">
        <is>
          <t>2024-01-01 ~ 2025-12-31</t>
        </is>
      </c>
      <c r="C2" s="51" t="inlineStr">
        <is>
          <t>731일</t>
        </is>
      </c>
      <c r="D2" s="51" t="inlineStr">
        <is>
          <t>PASS</t>
        </is>
      </c>
    </row>
    <row r="3">
      <c r="A3" s="51" t="inlineStr">
        <is>
          <t>station_daily 누락 날짜</t>
        </is>
      </c>
      <c r="B3" s="51" t="n">
        <v>0</v>
      </c>
      <c r="C3" s="51" t="inlineStr">
        <is>
          <t>없음</t>
        </is>
      </c>
      <c r="D3" s="51" t="inlineStr">
        <is>
          <t>PASS</t>
        </is>
      </c>
    </row>
    <row r="4">
      <c r="A4" s="51" t="inlineStr">
        <is>
          <t>roundtrip_daily 누락 날짜</t>
        </is>
      </c>
      <c r="B4" s="51" t="n">
        <v>0</v>
      </c>
      <c r="C4" s="51" t="inlineStr">
        <is>
          <t>없음</t>
        </is>
      </c>
      <c r="D4" s="51" t="inlineStr">
        <is>
          <t>PASS</t>
        </is>
      </c>
    </row>
    <row r="5">
      <c r="A5" s="51" t="inlineStr">
        <is>
          <t>weather_extra 누락 날짜</t>
        </is>
      </c>
      <c r="B5" s="51" t="n">
        <v>0</v>
      </c>
      <c r="C5" s="51" t="inlineStr">
        <is>
          <t>없음</t>
        </is>
      </c>
      <c r="D5" s="51" t="inlineStr">
        <is>
          <t>PASS</t>
        </is>
      </c>
    </row>
    <row r="6">
      <c r="A6" s="51" t="inlineStr">
        <is>
          <t>station_daily vs v2 총이용건수 불일치</t>
        </is>
      </c>
      <c r="B6" s="51" t="n">
        <v>0</v>
      </c>
      <c r="C6" s="51" t="inlineStr">
        <is>
          <t>없음</t>
        </is>
      </c>
      <c r="D6" s="51" t="inlineStr">
        <is>
          <t>PASS</t>
        </is>
      </c>
    </row>
    <row r="7">
      <c r="A7" s="51" t="inlineStr">
        <is>
          <t>500m 구성 합 오류 날짜</t>
        </is>
      </c>
      <c r="B7" s="51" t="n">
        <v>0</v>
      </c>
      <c r="C7" s="51" t="inlineStr">
        <is>
          <t>없음</t>
        </is>
      </c>
      <c r="D7" s="51" t="inlineStr">
        <is>
          <t>PASS</t>
        </is>
      </c>
    </row>
    <row r="8">
      <c r="A8" s="51" t="inlineStr">
        <is>
          <t>1km 구성 합 오류 날짜</t>
        </is>
      </c>
      <c r="B8" s="51" t="n">
        <v>0</v>
      </c>
      <c r="C8" s="51" t="inlineStr">
        <is>
          <t>없음</t>
        </is>
      </c>
      <c r="D8" s="51" t="inlineStr">
        <is>
          <t>PASS</t>
        </is>
      </c>
    </row>
    <row r="9">
      <c r="A9" s="51" t="inlineStr">
        <is>
          <t>한강500 분류 대여소 수</t>
        </is>
      </c>
      <c r="B9" s="51" t="n">
        <v>159</v>
      </c>
      <c r="C9" s="51" t="inlineStr">
        <is>
          <t>전체 분류 CSV 기준</t>
        </is>
      </c>
      <c r="D9" s="51" t="inlineStr">
        <is>
          <t>INFO</t>
        </is>
      </c>
    </row>
    <row r="10">
      <c r="A10" s="51" t="inlineStr">
        <is>
          <t>panel_all5 대여소 수</t>
        </is>
      </c>
      <c r="B10" s="51" t="n">
        <v>2659</v>
      </c>
      <c r="C10" s="51" t="inlineStr">
        <is>
          <t>전체 분류 CSV 기준</t>
        </is>
      </c>
      <c r="D10" s="51" t="inlineStr">
        <is>
          <t>INFO</t>
        </is>
      </c>
    </row>
    <row r="11">
      <c r="A11" s="51" t="inlineStr">
        <is>
          <t>roundtrip 전체 합</t>
        </is>
      </c>
      <c r="B11" s="51" t="n">
        <v>5617531</v>
      </c>
      <c r="C11" s="51" t="inlineStr">
        <is>
          <t>roundtrip_daily.csv</t>
        </is>
      </c>
      <c r="D11" s="51" t="inlineStr">
        <is>
          <t>INFO</t>
        </is>
      </c>
    </row>
    <row r="12">
      <c r="A12" s="51" t="inlineStr">
        <is>
          <t>one-way 전체 합</t>
        </is>
      </c>
      <c r="B12" s="51" t="n">
        <v>75092893</v>
      </c>
      <c r="C12" s="51" t="inlineStr">
        <is>
          <t>roundtrip_daily.csv</t>
        </is>
      </c>
      <c r="D12" s="51" t="inlineStr">
        <is>
          <t>INFO</t>
        </is>
      </c>
    </row>
    <row r="13">
      <c r="A13" s="51" t="inlineStr">
        <is>
          <t>왕복집계 제외 합</t>
        </is>
      </c>
      <c r="B13" s="51" t="n">
        <v>514168</v>
      </c>
      <c r="C13" s="51" t="inlineStr">
        <is>
          <t>2분 이하 동일대여소 + station 누락</t>
        </is>
      </c>
      <c r="D13" s="51" t="inlineStr">
        <is>
          <t>INFO</t>
        </is>
      </c>
    </row>
    <row r="14">
      <c r="A14" s="51" t="inlineStr">
        <is>
          <t>왕복 비중</t>
        </is>
      </c>
      <c r="B14" s="89" t="n">
        <v>0.06960105921386313</v>
      </c>
      <c r="C14" s="51" t="inlineStr">
        <is>
          <t>kept trips 중 왕복 비율</t>
        </is>
      </c>
      <c r="D14" s="51" t="inlineStr">
        <is>
          <t>INFO</t>
        </is>
      </c>
    </row>
    <row r="15">
      <c r="A15" s="51" t="inlineStr">
        <is>
          <t>일조/일사 공란</t>
        </is>
      </c>
      <c r="B15" s="51" t="n">
        <v>4</v>
      </c>
      <c r="C15" s="51" t="inlineStr">
        <is>
          <t>2024-03-11, 2024-03-14, 2024-11-16, 2025-09-13</t>
        </is>
      </c>
      <c r="D15" s="51" t="inlineStr">
        <is>
          <t>INFO</t>
        </is>
      </c>
    </row>
    <row r="16">
      <c r="A16" s="51" t="inlineStr">
        <is>
          <t>truncated_flag</t>
        </is>
      </c>
      <c r="B16" s="51" t="inlineStr">
        <is>
          <t>2025-02-28만 1</t>
        </is>
      </c>
      <c r="C16" s="51" t="inlineStr">
        <is>
          <t>숫자 0/1 형식으로 수정</t>
        </is>
      </c>
      <c r="D16" s="51" t="inlineStr">
        <is>
          <t>PASS</t>
        </is>
      </c>
    </row>
    <row r="17">
      <c r="A17" t="inlineStr">
        <is>
          <t>trace 열 복원</t>
        </is>
      </c>
      <c r="B17" t="inlineStr">
        <is>
          <t>v2 값으로 복원 (1인 날 93일)</t>
        </is>
      </c>
      <c r="C17" t="inlineStr">
        <is>
          <t>병합 중 전부 0으로 덮어써진 것을 v2 원값으로 되돌림</t>
        </is>
      </c>
      <c r="D17" t="inlineStr">
        <is>
          <t>PASS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2026-10-10T14:26:09Z</dcterms:created>
  <dcterms:modified xmlns:dcterms="http://purl.org/dc/terms/" xmlns:xsi="http://www.w3.org/2001/XMLSchema-instance" xsi:type="dcterms:W3CDTF">2026-10-10T14:26:09Z</dcterms:modified>
</cp:coreProperties>
</file>